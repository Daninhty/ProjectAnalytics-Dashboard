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CV\RevoU\Project RevoU\Rekap Proyek\"/>
    </mc:Choice>
  </mc:AlternateContent>
  <xr:revisionPtr revIDLastSave="0" documentId="13_ncr:1_{B166CDA1-6F5A-425D-8094-FD1DBEA04781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Original Data" sheetId="1" r:id="rId1"/>
    <sheet name="Raw Dataset" sheetId="2" r:id="rId2"/>
    <sheet name="Data Cleaning" sheetId="11" r:id="rId3"/>
    <sheet name="Null Data" sheetId="12" r:id="rId4"/>
    <sheet name="Feature Engineering" sheetId="13" r:id="rId5"/>
    <sheet name="Pivot Table" sheetId="15" r:id="rId6"/>
    <sheet name="Project Reference" sheetId="3" state="hidden" r:id="rId7"/>
    <sheet name="Variable Check List" sheetId="5" state="hidden" r:id="rId8"/>
  </sheets>
  <definedNames>
    <definedName name="_xlnm._FilterDatabase" localSheetId="2" hidden="1">'Data Cleaning'!$J$1:$K$500</definedName>
    <definedName name="_xlnm._FilterDatabase" localSheetId="4" hidden="1">'Feature Engineering'!$J$1:$K$500</definedName>
    <definedName name="_xlnm._FilterDatabase" localSheetId="3" hidden="1">'Null Data'!$J$1:$K$500</definedName>
    <definedName name="_xlnm._FilterDatabase" localSheetId="0" hidden="1">'Original Data'!$A$1:$K$501</definedName>
    <definedName name="_xlnm._FilterDatabase" localSheetId="6" hidden="1">'Project Reference'!$A$1:$A$500</definedName>
    <definedName name="_xlnm._FilterDatabase" localSheetId="1" hidden="1">'Raw Dataset'!$A$1:$H$501</definedName>
    <definedName name="_xlcn.WorksheetConnection_DataRekapProyek20232024.xlsxTable2451" hidden="1">Table245[]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</pivotCaches>
  <extLst>
    <ext xmlns:x15="http://schemas.microsoft.com/office/spreadsheetml/2010/11/main" uri="{FCE2AD5D-F65C-4FA6-A056-5C36A1767C68}">
      <x15:dataModel>
        <x15:modelTables>
          <x15:modelTable id="Table245" name="Table245" connection="WorksheetConnection_Data Rekap Proyek 2023-2024.xlsx!Table2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3" l="1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J23" i="13"/>
  <c r="J229" i="13"/>
  <c r="I2" i="13"/>
  <c r="J2" i="13" s="1"/>
  <c r="I3" i="13"/>
  <c r="J3" i="13" s="1"/>
  <c r="I4" i="13"/>
  <c r="J4" i="13" s="1"/>
  <c r="I5" i="13"/>
  <c r="J5" i="13" s="1"/>
  <c r="I6" i="13"/>
  <c r="J6" i="13" s="1"/>
  <c r="I7" i="13"/>
  <c r="J7" i="13" s="1"/>
  <c r="I8" i="13"/>
  <c r="J8" i="13" s="1"/>
  <c r="I9" i="13"/>
  <c r="J9" i="13" s="1"/>
  <c r="I10" i="13"/>
  <c r="J10" i="13" s="1"/>
  <c r="I11" i="13"/>
  <c r="J11" i="13" s="1"/>
  <c r="I12" i="13"/>
  <c r="J12" i="13" s="1"/>
  <c r="I13" i="13"/>
  <c r="J13" i="13" s="1"/>
  <c r="I14" i="13"/>
  <c r="J14" i="13" s="1"/>
  <c r="I15" i="13"/>
  <c r="J15" i="13" s="1"/>
  <c r="I16" i="13"/>
  <c r="J16" i="13" s="1"/>
  <c r="I17" i="13"/>
  <c r="J17" i="13" s="1"/>
  <c r="I18" i="13"/>
  <c r="J18" i="13" s="1"/>
  <c r="I19" i="13"/>
  <c r="J19" i="13" s="1"/>
  <c r="I20" i="13"/>
  <c r="J20" i="13" s="1"/>
  <c r="I21" i="13"/>
  <c r="J21" i="13" s="1"/>
  <c r="I22" i="13"/>
  <c r="J22" i="13" s="1"/>
  <c r="I24" i="13"/>
  <c r="J24" i="13" s="1"/>
  <c r="I25" i="13"/>
  <c r="J25" i="13" s="1"/>
  <c r="I26" i="13"/>
  <c r="J26" i="13" s="1"/>
  <c r="I27" i="13"/>
  <c r="J27" i="13" s="1"/>
  <c r="I28" i="13"/>
  <c r="J28" i="13" s="1"/>
  <c r="I29" i="13"/>
  <c r="J29" i="13" s="1"/>
  <c r="I30" i="13"/>
  <c r="J30" i="13" s="1"/>
  <c r="I31" i="13"/>
  <c r="J31" i="13" s="1"/>
  <c r="I32" i="13"/>
  <c r="J32" i="13" s="1"/>
  <c r="I33" i="13"/>
  <c r="J33" i="13" s="1"/>
  <c r="I34" i="13"/>
  <c r="J34" i="13" s="1"/>
  <c r="I35" i="13"/>
  <c r="J35" i="13" s="1"/>
  <c r="I36" i="13"/>
  <c r="J36" i="13" s="1"/>
  <c r="I37" i="13"/>
  <c r="J37" i="13" s="1"/>
  <c r="I38" i="13"/>
  <c r="J38" i="13" s="1"/>
  <c r="I39" i="13"/>
  <c r="J39" i="13" s="1"/>
  <c r="I40" i="13"/>
  <c r="J40" i="13" s="1"/>
  <c r="I41" i="13"/>
  <c r="J41" i="13" s="1"/>
  <c r="I42" i="13"/>
  <c r="J42" i="13" s="1"/>
  <c r="I43" i="13"/>
  <c r="J43" i="13" s="1"/>
  <c r="I44" i="13"/>
  <c r="J44" i="13" s="1"/>
  <c r="I45" i="13"/>
  <c r="J45" i="13" s="1"/>
  <c r="I46" i="13"/>
  <c r="J46" i="13" s="1"/>
  <c r="I47" i="13"/>
  <c r="J47" i="13" s="1"/>
  <c r="I48" i="13"/>
  <c r="J48" i="13" s="1"/>
  <c r="I49" i="13"/>
  <c r="J49" i="13" s="1"/>
  <c r="I50" i="13"/>
  <c r="J50" i="13" s="1"/>
  <c r="I51" i="13"/>
  <c r="J51" i="13" s="1"/>
  <c r="I52" i="13"/>
  <c r="J52" i="13" s="1"/>
  <c r="I53" i="13"/>
  <c r="J53" i="13" s="1"/>
  <c r="I54" i="13"/>
  <c r="J54" i="13" s="1"/>
  <c r="I55" i="13"/>
  <c r="J55" i="13" s="1"/>
  <c r="I56" i="13"/>
  <c r="J56" i="13" s="1"/>
  <c r="I57" i="13"/>
  <c r="J57" i="13" s="1"/>
  <c r="I58" i="13"/>
  <c r="J58" i="13" s="1"/>
  <c r="I59" i="13"/>
  <c r="J59" i="13" s="1"/>
  <c r="I60" i="13"/>
  <c r="J60" i="13" s="1"/>
  <c r="I61" i="13"/>
  <c r="J61" i="13" s="1"/>
  <c r="I62" i="13"/>
  <c r="J62" i="13" s="1"/>
  <c r="I63" i="13"/>
  <c r="J63" i="13" s="1"/>
  <c r="I64" i="13"/>
  <c r="J64" i="13" s="1"/>
  <c r="I65" i="13"/>
  <c r="J65" i="13" s="1"/>
  <c r="I66" i="13"/>
  <c r="J66" i="13" s="1"/>
  <c r="I67" i="13"/>
  <c r="J67" i="13" s="1"/>
  <c r="I68" i="13"/>
  <c r="J68" i="13" s="1"/>
  <c r="I69" i="13"/>
  <c r="J69" i="13" s="1"/>
  <c r="I70" i="13"/>
  <c r="J70" i="13" s="1"/>
  <c r="I71" i="13"/>
  <c r="J71" i="13" s="1"/>
  <c r="I72" i="13"/>
  <c r="J72" i="13" s="1"/>
  <c r="I73" i="13"/>
  <c r="J73" i="13" s="1"/>
  <c r="I74" i="13"/>
  <c r="J74" i="13" s="1"/>
  <c r="I75" i="13"/>
  <c r="J75" i="13" s="1"/>
  <c r="I76" i="13"/>
  <c r="J76" i="13" s="1"/>
  <c r="I77" i="13"/>
  <c r="J77" i="13" s="1"/>
  <c r="I78" i="13"/>
  <c r="J78" i="13" s="1"/>
  <c r="I79" i="13"/>
  <c r="J79" i="13" s="1"/>
  <c r="I80" i="13"/>
  <c r="J80" i="13" s="1"/>
  <c r="I81" i="13"/>
  <c r="J81" i="13" s="1"/>
  <c r="I82" i="13"/>
  <c r="J82" i="13" s="1"/>
  <c r="I83" i="13"/>
  <c r="J83" i="13" s="1"/>
  <c r="I84" i="13"/>
  <c r="J84" i="13" s="1"/>
  <c r="I85" i="13"/>
  <c r="J85" i="13" s="1"/>
  <c r="I86" i="13"/>
  <c r="J86" i="13" s="1"/>
  <c r="I87" i="13"/>
  <c r="J87" i="13" s="1"/>
  <c r="I88" i="13"/>
  <c r="J88" i="13" s="1"/>
  <c r="I89" i="13"/>
  <c r="J89" i="13" s="1"/>
  <c r="I90" i="13"/>
  <c r="J90" i="13" s="1"/>
  <c r="I91" i="13"/>
  <c r="J91" i="13" s="1"/>
  <c r="I92" i="13"/>
  <c r="J92" i="13" s="1"/>
  <c r="I93" i="13"/>
  <c r="J93" i="13" s="1"/>
  <c r="I94" i="13"/>
  <c r="J94" i="13" s="1"/>
  <c r="I95" i="13"/>
  <c r="J95" i="13" s="1"/>
  <c r="I96" i="13"/>
  <c r="J96" i="13" s="1"/>
  <c r="I97" i="13"/>
  <c r="J97" i="13" s="1"/>
  <c r="I98" i="13"/>
  <c r="J98" i="13" s="1"/>
  <c r="I99" i="13"/>
  <c r="J99" i="13" s="1"/>
  <c r="I100" i="13"/>
  <c r="J100" i="13" s="1"/>
  <c r="I101" i="13"/>
  <c r="J101" i="13" s="1"/>
  <c r="I102" i="13"/>
  <c r="J102" i="13" s="1"/>
  <c r="I103" i="13"/>
  <c r="J103" i="13" s="1"/>
  <c r="I104" i="13"/>
  <c r="J104" i="13" s="1"/>
  <c r="I105" i="13"/>
  <c r="J105" i="13" s="1"/>
  <c r="I106" i="13"/>
  <c r="J106" i="13" s="1"/>
  <c r="I107" i="13"/>
  <c r="J107" i="13" s="1"/>
  <c r="I108" i="13"/>
  <c r="J108" i="13" s="1"/>
  <c r="I109" i="13"/>
  <c r="J109" i="13" s="1"/>
  <c r="I110" i="13"/>
  <c r="J110" i="13" s="1"/>
  <c r="I111" i="13"/>
  <c r="J111" i="13" s="1"/>
  <c r="I112" i="13"/>
  <c r="J112" i="13" s="1"/>
  <c r="I113" i="13"/>
  <c r="J113" i="13" s="1"/>
  <c r="I114" i="13"/>
  <c r="J114" i="13" s="1"/>
  <c r="I115" i="13"/>
  <c r="J115" i="13" s="1"/>
  <c r="I116" i="13"/>
  <c r="J116" i="13" s="1"/>
  <c r="I117" i="13"/>
  <c r="J117" i="13" s="1"/>
  <c r="I118" i="13"/>
  <c r="J118" i="13" s="1"/>
  <c r="I119" i="13"/>
  <c r="J119" i="13" s="1"/>
  <c r="I120" i="13"/>
  <c r="J120" i="13" s="1"/>
  <c r="I121" i="13"/>
  <c r="J121" i="13" s="1"/>
  <c r="I122" i="13"/>
  <c r="J122" i="13" s="1"/>
  <c r="I123" i="13"/>
  <c r="J123" i="13" s="1"/>
  <c r="I124" i="13"/>
  <c r="J124" i="13" s="1"/>
  <c r="I125" i="13"/>
  <c r="J125" i="13" s="1"/>
  <c r="I126" i="13"/>
  <c r="J126" i="13" s="1"/>
  <c r="I127" i="13"/>
  <c r="J127" i="13" s="1"/>
  <c r="I128" i="13"/>
  <c r="J128" i="13" s="1"/>
  <c r="I129" i="13"/>
  <c r="J129" i="13" s="1"/>
  <c r="I130" i="13"/>
  <c r="J130" i="13" s="1"/>
  <c r="I131" i="13"/>
  <c r="J131" i="13" s="1"/>
  <c r="I132" i="13"/>
  <c r="J132" i="13" s="1"/>
  <c r="I133" i="13"/>
  <c r="J133" i="13" s="1"/>
  <c r="I134" i="13"/>
  <c r="J134" i="13" s="1"/>
  <c r="I135" i="13"/>
  <c r="J135" i="13" s="1"/>
  <c r="I136" i="13"/>
  <c r="J136" i="13" s="1"/>
  <c r="I137" i="13"/>
  <c r="J137" i="13" s="1"/>
  <c r="I138" i="13"/>
  <c r="J138" i="13" s="1"/>
  <c r="I139" i="13"/>
  <c r="J139" i="13" s="1"/>
  <c r="I140" i="13"/>
  <c r="J140" i="13" s="1"/>
  <c r="I141" i="13"/>
  <c r="J141" i="13" s="1"/>
  <c r="I142" i="13"/>
  <c r="J142" i="13" s="1"/>
  <c r="I143" i="13"/>
  <c r="J143" i="13" s="1"/>
  <c r="I144" i="13"/>
  <c r="J144" i="13" s="1"/>
  <c r="I145" i="13"/>
  <c r="J145" i="13" s="1"/>
  <c r="I146" i="13"/>
  <c r="J146" i="13" s="1"/>
  <c r="I147" i="13"/>
  <c r="J147" i="13" s="1"/>
  <c r="I148" i="13"/>
  <c r="J148" i="13" s="1"/>
  <c r="I149" i="13"/>
  <c r="J149" i="13" s="1"/>
  <c r="I150" i="13"/>
  <c r="J150" i="13" s="1"/>
  <c r="I151" i="13"/>
  <c r="J151" i="13" s="1"/>
  <c r="I152" i="13"/>
  <c r="J152" i="13" s="1"/>
  <c r="I153" i="13"/>
  <c r="J153" i="13" s="1"/>
  <c r="I154" i="13"/>
  <c r="J154" i="13" s="1"/>
  <c r="I155" i="13"/>
  <c r="J155" i="13" s="1"/>
  <c r="I156" i="13"/>
  <c r="J156" i="13" s="1"/>
  <c r="I157" i="13"/>
  <c r="J157" i="13" s="1"/>
  <c r="I158" i="13"/>
  <c r="J158" i="13" s="1"/>
  <c r="I159" i="13"/>
  <c r="J159" i="13" s="1"/>
  <c r="I160" i="13"/>
  <c r="J160" i="13" s="1"/>
  <c r="I161" i="13"/>
  <c r="J161" i="13" s="1"/>
  <c r="I162" i="13"/>
  <c r="J162" i="13" s="1"/>
  <c r="I163" i="13"/>
  <c r="J163" i="13" s="1"/>
  <c r="I164" i="13"/>
  <c r="J164" i="13" s="1"/>
  <c r="I165" i="13"/>
  <c r="J165" i="13" s="1"/>
  <c r="I166" i="13"/>
  <c r="J166" i="13" s="1"/>
  <c r="I167" i="13"/>
  <c r="J167" i="13" s="1"/>
  <c r="I168" i="13"/>
  <c r="J168" i="13" s="1"/>
  <c r="I169" i="13"/>
  <c r="J169" i="13" s="1"/>
  <c r="I170" i="13"/>
  <c r="J170" i="13" s="1"/>
  <c r="I171" i="13"/>
  <c r="J171" i="13" s="1"/>
  <c r="I172" i="13"/>
  <c r="J172" i="13" s="1"/>
  <c r="I173" i="13"/>
  <c r="J173" i="13" s="1"/>
  <c r="I174" i="13"/>
  <c r="J174" i="13" s="1"/>
  <c r="I175" i="13"/>
  <c r="J175" i="13" s="1"/>
  <c r="I176" i="13"/>
  <c r="J176" i="13" s="1"/>
  <c r="I177" i="13"/>
  <c r="J177" i="13" s="1"/>
  <c r="I178" i="13"/>
  <c r="J178" i="13" s="1"/>
  <c r="I179" i="13"/>
  <c r="J179" i="13" s="1"/>
  <c r="I180" i="13"/>
  <c r="J180" i="13" s="1"/>
  <c r="I181" i="13"/>
  <c r="J181" i="13" s="1"/>
  <c r="I182" i="13"/>
  <c r="J182" i="13" s="1"/>
  <c r="I183" i="13"/>
  <c r="J183" i="13" s="1"/>
  <c r="I184" i="13"/>
  <c r="J184" i="13" s="1"/>
  <c r="I185" i="13"/>
  <c r="J185" i="13" s="1"/>
  <c r="I186" i="13"/>
  <c r="J186" i="13" s="1"/>
  <c r="I187" i="13"/>
  <c r="J187" i="13" s="1"/>
  <c r="I188" i="13"/>
  <c r="J188" i="13" s="1"/>
  <c r="I189" i="13"/>
  <c r="J189" i="13" s="1"/>
  <c r="I190" i="13"/>
  <c r="J190" i="13" s="1"/>
  <c r="I191" i="13"/>
  <c r="J191" i="13" s="1"/>
  <c r="I192" i="13"/>
  <c r="J192" i="13" s="1"/>
  <c r="I193" i="13"/>
  <c r="J193" i="13" s="1"/>
  <c r="I194" i="13"/>
  <c r="J194" i="13" s="1"/>
  <c r="I195" i="13"/>
  <c r="J195" i="13" s="1"/>
  <c r="I196" i="13"/>
  <c r="J196" i="13" s="1"/>
  <c r="I197" i="13"/>
  <c r="J197" i="13" s="1"/>
  <c r="I198" i="13"/>
  <c r="J198" i="13" s="1"/>
  <c r="I199" i="13"/>
  <c r="J199" i="13" s="1"/>
  <c r="I200" i="13"/>
  <c r="J200" i="13" s="1"/>
  <c r="I201" i="13"/>
  <c r="J201" i="13" s="1"/>
  <c r="I202" i="13"/>
  <c r="J202" i="13" s="1"/>
  <c r="I203" i="13"/>
  <c r="J203" i="13" s="1"/>
  <c r="I204" i="13"/>
  <c r="J204" i="13" s="1"/>
  <c r="I205" i="13"/>
  <c r="J205" i="13" s="1"/>
  <c r="I206" i="13"/>
  <c r="J206" i="13" s="1"/>
  <c r="I207" i="13"/>
  <c r="J207" i="13" s="1"/>
  <c r="I208" i="13"/>
  <c r="J208" i="13" s="1"/>
  <c r="I209" i="13"/>
  <c r="J209" i="13" s="1"/>
  <c r="I210" i="13"/>
  <c r="J210" i="13" s="1"/>
  <c r="I211" i="13"/>
  <c r="J211" i="13" s="1"/>
  <c r="I212" i="13"/>
  <c r="J212" i="13" s="1"/>
  <c r="I213" i="13"/>
  <c r="J213" i="13" s="1"/>
  <c r="I214" i="13"/>
  <c r="J214" i="13" s="1"/>
  <c r="I215" i="13"/>
  <c r="J215" i="13" s="1"/>
  <c r="I216" i="13"/>
  <c r="J216" i="13" s="1"/>
  <c r="I217" i="13"/>
  <c r="J217" i="13" s="1"/>
  <c r="I218" i="13"/>
  <c r="J218" i="13" s="1"/>
  <c r="I219" i="13"/>
  <c r="J219" i="13" s="1"/>
  <c r="I220" i="13"/>
  <c r="J220" i="13" s="1"/>
  <c r="I221" i="13"/>
  <c r="J221" i="13" s="1"/>
  <c r="I222" i="13"/>
  <c r="J222" i="13" s="1"/>
  <c r="I223" i="13"/>
  <c r="J223" i="13" s="1"/>
  <c r="I224" i="13"/>
  <c r="J224" i="13" s="1"/>
  <c r="I225" i="13"/>
  <c r="J225" i="13" s="1"/>
  <c r="I226" i="13"/>
  <c r="J226" i="13" s="1"/>
  <c r="I227" i="13"/>
  <c r="J227" i="13" s="1"/>
  <c r="I228" i="13"/>
  <c r="J228" i="13" s="1"/>
  <c r="I230" i="13"/>
  <c r="J230" i="13" s="1"/>
  <c r="I231" i="13"/>
  <c r="J231" i="13" s="1"/>
  <c r="I232" i="13"/>
  <c r="J232" i="13" s="1"/>
  <c r="I233" i="13"/>
  <c r="J233" i="13" s="1"/>
  <c r="I234" i="13"/>
  <c r="J234" i="13" s="1"/>
  <c r="I235" i="13"/>
  <c r="J235" i="13" s="1"/>
  <c r="I236" i="13"/>
  <c r="J236" i="13" s="1"/>
  <c r="I237" i="13"/>
  <c r="J237" i="13" s="1"/>
  <c r="I238" i="13"/>
  <c r="J238" i="13" s="1"/>
  <c r="I239" i="13"/>
  <c r="J239" i="13" s="1"/>
  <c r="I240" i="13"/>
  <c r="J240" i="13" s="1"/>
  <c r="I241" i="13"/>
  <c r="J241" i="13" s="1"/>
  <c r="I242" i="13"/>
  <c r="J242" i="13" s="1"/>
  <c r="I243" i="13"/>
  <c r="J243" i="13" s="1"/>
  <c r="I244" i="13"/>
  <c r="J244" i="13" s="1"/>
  <c r="I245" i="13"/>
  <c r="J245" i="13" s="1"/>
  <c r="I246" i="13"/>
  <c r="J246" i="13" s="1"/>
  <c r="I247" i="13"/>
  <c r="J247" i="13" s="1"/>
  <c r="I248" i="13"/>
  <c r="J248" i="13" s="1"/>
  <c r="I249" i="13"/>
  <c r="J249" i="13" s="1"/>
  <c r="I250" i="13"/>
  <c r="J250" i="13" s="1"/>
  <c r="I251" i="13"/>
  <c r="J251" i="13" s="1"/>
  <c r="I252" i="13"/>
  <c r="J252" i="13" s="1"/>
  <c r="I253" i="13"/>
  <c r="J253" i="13" s="1"/>
  <c r="I254" i="13"/>
  <c r="J254" i="13" s="1"/>
  <c r="I255" i="13"/>
  <c r="J255" i="13" s="1"/>
  <c r="I256" i="13"/>
  <c r="J256" i="13" s="1"/>
  <c r="I257" i="13"/>
  <c r="J257" i="13" s="1"/>
  <c r="I258" i="13"/>
  <c r="J258" i="13" s="1"/>
  <c r="I259" i="13"/>
  <c r="J259" i="13" s="1"/>
  <c r="I260" i="13"/>
  <c r="J260" i="13" s="1"/>
  <c r="I261" i="13"/>
  <c r="J261" i="13" s="1"/>
  <c r="I262" i="13"/>
  <c r="J262" i="13" s="1"/>
  <c r="I263" i="13"/>
  <c r="J263" i="13" s="1"/>
  <c r="I264" i="13"/>
  <c r="J264" i="13" s="1"/>
  <c r="I265" i="13"/>
  <c r="J265" i="13" s="1"/>
  <c r="I266" i="13"/>
  <c r="J266" i="13" s="1"/>
  <c r="I267" i="13"/>
  <c r="J267" i="13" s="1"/>
  <c r="I268" i="13"/>
  <c r="J268" i="13" s="1"/>
  <c r="I269" i="13"/>
  <c r="J269" i="13" s="1"/>
  <c r="I270" i="13"/>
  <c r="J270" i="13" s="1"/>
  <c r="I271" i="13"/>
  <c r="J271" i="13" s="1"/>
  <c r="I272" i="13"/>
  <c r="J272" i="13" s="1"/>
  <c r="I273" i="13"/>
  <c r="J273" i="13" s="1"/>
  <c r="I274" i="13"/>
  <c r="J274" i="13" s="1"/>
  <c r="I275" i="13"/>
  <c r="J275" i="13" s="1"/>
  <c r="I276" i="13"/>
  <c r="J276" i="13" s="1"/>
  <c r="I277" i="13"/>
  <c r="J277" i="13" s="1"/>
  <c r="I278" i="13"/>
  <c r="J278" i="13" s="1"/>
  <c r="I279" i="13"/>
  <c r="J279" i="13" s="1"/>
  <c r="I280" i="13"/>
  <c r="J280" i="13" s="1"/>
  <c r="I281" i="13"/>
  <c r="J281" i="13" s="1"/>
  <c r="I282" i="13"/>
  <c r="J282" i="13" s="1"/>
  <c r="I283" i="13"/>
  <c r="J283" i="13" s="1"/>
  <c r="I284" i="13"/>
  <c r="J284" i="13" s="1"/>
  <c r="I285" i="13"/>
  <c r="J285" i="13" s="1"/>
  <c r="I286" i="13"/>
  <c r="J286" i="13" s="1"/>
  <c r="I287" i="13"/>
  <c r="J287" i="13" s="1"/>
  <c r="I288" i="13"/>
  <c r="J288" i="13" s="1"/>
  <c r="I289" i="13"/>
  <c r="J289" i="13" s="1"/>
  <c r="I290" i="13"/>
  <c r="J290" i="13" s="1"/>
  <c r="I291" i="13"/>
  <c r="J291" i="13" s="1"/>
  <c r="I292" i="13"/>
  <c r="J292" i="13" s="1"/>
  <c r="I293" i="13"/>
  <c r="J293" i="13" s="1"/>
  <c r="I294" i="13"/>
  <c r="J294" i="13" s="1"/>
  <c r="I295" i="13"/>
  <c r="J295" i="13" s="1"/>
  <c r="I296" i="13"/>
  <c r="J296" i="13" s="1"/>
  <c r="I297" i="13"/>
  <c r="J297" i="13" s="1"/>
  <c r="I298" i="13"/>
  <c r="J298" i="13" s="1"/>
  <c r="I299" i="13"/>
  <c r="J299" i="13" s="1"/>
  <c r="I300" i="13"/>
  <c r="J300" i="13" s="1"/>
  <c r="I301" i="13"/>
  <c r="J301" i="13" s="1"/>
  <c r="I302" i="13"/>
  <c r="J302" i="13" s="1"/>
  <c r="I303" i="13"/>
  <c r="J303" i="13" s="1"/>
  <c r="I304" i="13"/>
  <c r="J304" i="13" s="1"/>
  <c r="I305" i="13"/>
  <c r="J305" i="13" s="1"/>
  <c r="I306" i="13"/>
  <c r="J306" i="13" s="1"/>
  <c r="I307" i="13"/>
  <c r="J307" i="13" s="1"/>
  <c r="I308" i="13"/>
  <c r="J308" i="13" s="1"/>
  <c r="I309" i="13"/>
  <c r="J309" i="13" s="1"/>
  <c r="I310" i="13"/>
  <c r="J310" i="13" s="1"/>
  <c r="I311" i="13"/>
  <c r="J311" i="13" s="1"/>
  <c r="I312" i="13"/>
  <c r="J312" i="13" s="1"/>
  <c r="I313" i="13"/>
  <c r="J313" i="13" s="1"/>
  <c r="I314" i="13"/>
  <c r="J314" i="13" s="1"/>
  <c r="I315" i="13"/>
  <c r="J315" i="13" s="1"/>
  <c r="I316" i="13"/>
  <c r="J316" i="13" s="1"/>
  <c r="I317" i="13"/>
  <c r="J317" i="13" s="1"/>
  <c r="I318" i="13"/>
  <c r="J318" i="13" s="1"/>
  <c r="I319" i="13"/>
  <c r="J319" i="13" s="1"/>
  <c r="I320" i="13"/>
  <c r="J320" i="13" s="1"/>
  <c r="I321" i="13"/>
  <c r="J321" i="13" s="1"/>
  <c r="I322" i="13"/>
  <c r="J322" i="13" s="1"/>
  <c r="I323" i="13"/>
  <c r="J323" i="13" s="1"/>
  <c r="I324" i="13"/>
  <c r="J324" i="13" s="1"/>
  <c r="I325" i="13"/>
  <c r="J325" i="13" s="1"/>
  <c r="I326" i="13"/>
  <c r="J326" i="13" s="1"/>
  <c r="I327" i="13"/>
  <c r="J327" i="13" s="1"/>
  <c r="I328" i="13"/>
  <c r="J328" i="13" s="1"/>
  <c r="I329" i="13"/>
  <c r="J329" i="13" s="1"/>
  <c r="I330" i="13"/>
  <c r="J330" i="13" s="1"/>
  <c r="I331" i="13"/>
  <c r="J331" i="13" s="1"/>
  <c r="I332" i="13"/>
  <c r="J332" i="13" s="1"/>
  <c r="I333" i="13"/>
  <c r="J333" i="13" s="1"/>
  <c r="I334" i="13"/>
  <c r="J334" i="13" s="1"/>
  <c r="I335" i="13"/>
  <c r="J335" i="13" s="1"/>
  <c r="I336" i="13"/>
  <c r="J336" i="13" s="1"/>
  <c r="I337" i="13"/>
  <c r="J337" i="13" s="1"/>
  <c r="I338" i="13"/>
  <c r="J338" i="13" s="1"/>
  <c r="I339" i="13"/>
  <c r="J339" i="13" s="1"/>
  <c r="I340" i="13"/>
  <c r="J340" i="13" s="1"/>
  <c r="I341" i="13"/>
  <c r="J341" i="13" s="1"/>
  <c r="I342" i="13"/>
  <c r="J342" i="13" s="1"/>
  <c r="I343" i="13"/>
  <c r="J343" i="13" s="1"/>
  <c r="I344" i="13"/>
  <c r="J344" i="13" s="1"/>
  <c r="I345" i="13"/>
  <c r="J345" i="13" s="1"/>
  <c r="I346" i="13"/>
  <c r="J346" i="13" s="1"/>
  <c r="I347" i="13"/>
  <c r="J347" i="13" s="1"/>
  <c r="I348" i="13"/>
  <c r="J348" i="13" s="1"/>
  <c r="I349" i="13"/>
  <c r="J349" i="13" s="1"/>
  <c r="I350" i="13"/>
  <c r="J350" i="13" s="1"/>
  <c r="I351" i="13"/>
  <c r="J351" i="13" s="1"/>
  <c r="I352" i="13"/>
  <c r="J352" i="13" s="1"/>
  <c r="I353" i="13"/>
  <c r="J353" i="13" s="1"/>
  <c r="I354" i="13"/>
  <c r="J354" i="13" s="1"/>
  <c r="I355" i="13"/>
  <c r="J355" i="13" s="1"/>
  <c r="I356" i="13"/>
  <c r="J356" i="13" s="1"/>
  <c r="I357" i="13"/>
  <c r="J357" i="13" s="1"/>
  <c r="I358" i="13"/>
  <c r="J358" i="13" s="1"/>
  <c r="I359" i="13"/>
  <c r="J359" i="13" s="1"/>
  <c r="I360" i="13"/>
  <c r="J360" i="13" s="1"/>
  <c r="I361" i="13"/>
  <c r="J361" i="13" s="1"/>
  <c r="I362" i="13"/>
  <c r="J362" i="13" s="1"/>
  <c r="I363" i="13"/>
  <c r="J363" i="13" s="1"/>
  <c r="I364" i="13"/>
  <c r="J364" i="13" s="1"/>
  <c r="I365" i="13"/>
  <c r="J365" i="13" s="1"/>
  <c r="I366" i="13"/>
  <c r="J366" i="13" s="1"/>
  <c r="I367" i="13"/>
  <c r="J367" i="13" s="1"/>
  <c r="I368" i="13"/>
  <c r="J368" i="13" s="1"/>
  <c r="I369" i="13"/>
  <c r="J369" i="13" s="1"/>
  <c r="I370" i="13"/>
  <c r="J370" i="13" s="1"/>
  <c r="I371" i="13"/>
  <c r="J371" i="13" s="1"/>
  <c r="I372" i="13"/>
  <c r="J372" i="13" s="1"/>
  <c r="I373" i="13"/>
  <c r="J373" i="13" s="1"/>
  <c r="I374" i="13"/>
  <c r="J374" i="13" s="1"/>
  <c r="I375" i="13"/>
  <c r="J375" i="13" s="1"/>
  <c r="I376" i="13"/>
  <c r="J376" i="13" s="1"/>
  <c r="I377" i="13"/>
  <c r="J377" i="13" s="1"/>
  <c r="I378" i="13"/>
  <c r="J378" i="13" s="1"/>
  <c r="I379" i="13"/>
  <c r="J379" i="13" s="1"/>
  <c r="I380" i="13"/>
  <c r="J380" i="13" s="1"/>
  <c r="I381" i="13"/>
  <c r="J381" i="13" s="1"/>
  <c r="I382" i="13"/>
  <c r="J382" i="13" s="1"/>
  <c r="I383" i="13"/>
  <c r="J383" i="13" s="1"/>
  <c r="I384" i="13"/>
  <c r="J384" i="13" s="1"/>
  <c r="I385" i="13"/>
  <c r="J385" i="13" s="1"/>
  <c r="I386" i="13"/>
  <c r="J386" i="13" s="1"/>
  <c r="I387" i="13"/>
  <c r="J387" i="13" s="1"/>
  <c r="I388" i="13"/>
  <c r="J388" i="13" s="1"/>
  <c r="I389" i="13"/>
  <c r="J389" i="13" s="1"/>
  <c r="I390" i="13"/>
  <c r="J390" i="13" s="1"/>
  <c r="I391" i="13"/>
  <c r="J391" i="13" s="1"/>
  <c r="I392" i="13"/>
  <c r="J392" i="13" s="1"/>
  <c r="I393" i="13"/>
  <c r="J393" i="13" s="1"/>
  <c r="I394" i="13"/>
  <c r="J394" i="13" s="1"/>
  <c r="I395" i="13"/>
  <c r="J395" i="13" s="1"/>
  <c r="I396" i="13"/>
  <c r="J396" i="13" s="1"/>
  <c r="I397" i="13"/>
  <c r="J397" i="13" s="1"/>
  <c r="I398" i="13"/>
  <c r="J398" i="13" s="1"/>
  <c r="I399" i="13"/>
  <c r="J399" i="13" s="1"/>
  <c r="I400" i="13"/>
  <c r="J400" i="13" s="1"/>
  <c r="I401" i="13"/>
  <c r="J401" i="13" s="1"/>
  <c r="I402" i="13"/>
  <c r="J402" i="13" s="1"/>
  <c r="I403" i="13"/>
  <c r="J403" i="13" s="1"/>
  <c r="I404" i="13"/>
  <c r="J404" i="13" s="1"/>
  <c r="I405" i="13"/>
  <c r="J405" i="13" s="1"/>
  <c r="I406" i="13"/>
  <c r="J406" i="13" s="1"/>
  <c r="I407" i="13"/>
  <c r="J407" i="13" s="1"/>
  <c r="I408" i="13"/>
  <c r="J408" i="13" s="1"/>
  <c r="I409" i="13"/>
  <c r="J409" i="13" s="1"/>
  <c r="I410" i="13"/>
  <c r="J410" i="13" s="1"/>
  <c r="I411" i="13"/>
  <c r="J411" i="13" s="1"/>
  <c r="I412" i="13"/>
  <c r="J412" i="13" s="1"/>
  <c r="I413" i="13"/>
  <c r="J413" i="13" s="1"/>
  <c r="I414" i="13"/>
  <c r="J414" i="13" s="1"/>
  <c r="I415" i="13"/>
  <c r="J415" i="13" s="1"/>
  <c r="I416" i="13"/>
  <c r="J416" i="13" s="1"/>
  <c r="I417" i="13"/>
  <c r="J417" i="13" s="1"/>
  <c r="I418" i="13"/>
  <c r="J418" i="13" s="1"/>
  <c r="I419" i="13"/>
  <c r="J419" i="13" s="1"/>
  <c r="I420" i="13"/>
  <c r="J420" i="13" s="1"/>
  <c r="I421" i="13"/>
  <c r="J421" i="13" s="1"/>
  <c r="I422" i="13"/>
  <c r="J422" i="13" s="1"/>
  <c r="I423" i="13"/>
  <c r="J423" i="13" s="1"/>
  <c r="I424" i="13"/>
  <c r="J424" i="13" s="1"/>
  <c r="I425" i="13"/>
  <c r="J425" i="13" s="1"/>
  <c r="I426" i="13"/>
  <c r="J426" i="13" s="1"/>
  <c r="I427" i="13"/>
  <c r="J427" i="13" s="1"/>
  <c r="I428" i="13"/>
  <c r="J428" i="13" s="1"/>
  <c r="I429" i="13"/>
  <c r="J429" i="13" s="1"/>
  <c r="I430" i="13"/>
  <c r="J430" i="13" s="1"/>
  <c r="I431" i="13"/>
  <c r="J431" i="13" s="1"/>
  <c r="I432" i="13"/>
  <c r="J432" i="13" s="1"/>
  <c r="I433" i="13"/>
  <c r="J433" i="13" s="1"/>
  <c r="I434" i="13"/>
  <c r="J434" i="13" s="1"/>
  <c r="I435" i="13"/>
  <c r="J435" i="13" s="1"/>
  <c r="I436" i="13"/>
  <c r="J436" i="13" s="1"/>
  <c r="I437" i="13"/>
  <c r="J437" i="13" s="1"/>
  <c r="I438" i="13"/>
  <c r="J438" i="13" s="1"/>
  <c r="I439" i="13"/>
  <c r="J439" i="13" s="1"/>
  <c r="I440" i="13"/>
  <c r="J440" i="13" s="1"/>
  <c r="I441" i="13"/>
  <c r="J441" i="13" s="1"/>
  <c r="I442" i="13"/>
  <c r="J442" i="13" s="1"/>
  <c r="I443" i="13"/>
  <c r="J443" i="13" s="1"/>
  <c r="I444" i="13"/>
  <c r="J444" i="13" s="1"/>
  <c r="I445" i="13"/>
  <c r="J445" i="13" s="1"/>
  <c r="I446" i="13"/>
  <c r="J446" i="13" s="1"/>
  <c r="I447" i="13"/>
  <c r="J447" i="13" s="1"/>
  <c r="I448" i="13"/>
  <c r="J448" i="13" s="1"/>
  <c r="I449" i="13"/>
  <c r="J449" i="13" s="1"/>
  <c r="I450" i="13"/>
  <c r="J450" i="13" s="1"/>
  <c r="I451" i="13"/>
  <c r="J451" i="13" s="1"/>
  <c r="I452" i="13"/>
  <c r="J452" i="13" s="1"/>
  <c r="I453" i="13"/>
  <c r="J453" i="13" s="1"/>
  <c r="I454" i="13"/>
  <c r="J454" i="13" s="1"/>
  <c r="I455" i="13"/>
  <c r="J455" i="13" s="1"/>
  <c r="I456" i="13"/>
  <c r="J456" i="13" s="1"/>
  <c r="I457" i="13"/>
  <c r="J457" i="13" s="1"/>
  <c r="I458" i="13"/>
  <c r="J458" i="13" s="1"/>
  <c r="I459" i="13"/>
  <c r="J459" i="13" s="1"/>
  <c r="I460" i="13"/>
  <c r="J460" i="13" s="1"/>
  <c r="I461" i="13"/>
  <c r="J461" i="13" s="1"/>
  <c r="I462" i="13"/>
  <c r="J462" i="13" s="1"/>
  <c r="I463" i="13"/>
  <c r="J463" i="13" s="1"/>
  <c r="I464" i="13"/>
  <c r="J464" i="13" s="1"/>
  <c r="I465" i="13"/>
  <c r="J465" i="13" s="1"/>
  <c r="I466" i="13"/>
  <c r="J466" i="13" s="1"/>
  <c r="I467" i="13"/>
  <c r="J467" i="13" s="1"/>
  <c r="I468" i="13"/>
  <c r="J468" i="13" s="1"/>
  <c r="I469" i="13"/>
  <c r="J469" i="13" s="1"/>
  <c r="I470" i="13"/>
  <c r="J470" i="13" s="1"/>
  <c r="I471" i="13"/>
  <c r="J471" i="13" s="1"/>
  <c r="I472" i="13"/>
  <c r="J472" i="13" s="1"/>
  <c r="I473" i="13"/>
  <c r="J473" i="13" s="1"/>
  <c r="I474" i="13"/>
  <c r="J474" i="13" s="1"/>
  <c r="I475" i="13"/>
  <c r="J475" i="13" s="1"/>
  <c r="I476" i="13"/>
  <c r="J476" i="13" s="1"/>
  <c r="I477" i="13"/>
  <c r="J477" i="13" s="1"/>
  <c r="I478" i="13"/>
  <c r="J478" i="13" s="1"/>
  <c r="I479" i="13"/>
  <c r="J479" i="13" s="1"/>
  <c r="I480" i="13"/>
  <c r="J480" i="13" s="1"/>
  <c r="I481" i="13"/>
  <c r="J481" i="13" s="1"/>
  <c r="I482" i="13"/>
  <c r="J482" i="13" s="1"/>
  <c r="I483" i="13"/>
  <c r="J483" i="13" s="1"/>
  <c r="I484" i="13"/>
  <c r="J484" i="13" s="1"/>
  <c r="I485" i="13"/>
  <c r="J485" i="13" s="1"/>
  <c r="I486" i="13"/>
  <c r="J486" i="13" s="1"/>
  <c r="I487" i="13"/>
  <c r="J487" i="13" s="1"/>
  <c r="I488" i="13"/>
  <c r="J488" i="13" s="1"/>
  <c r="I489" i="13"/>
  <c r="J489" i="13" s="1"/>
  <c r="I490" i="13"/>
  <c r="J490" i="13" s="1"/>
  <c r="I491" i="13"/>
  <c r="J491" i="13" s="1"/>
  <c r="I492" i="13"/>
  <c r="J492" i="13" s="1"/>
  <c r="I493" i="13"/>
  <c r="J493" i="13" s="1"/>
  <c r="I494" i="13"/>
  <c r="J494" i="13" s="1"/>
  <c r="I495" i="13"/>
  <c r="J495" i="13" s="1"/>
  <c r="I496" i="13"/>
  <c r="J496" i="13" s="1"/>
  <c r="I497" i="13"/>
  <c r="J497" i="13" s="1"/>
  <c r="I498" i="13"/>
  <c r="J498" i="13" s="1"/>
  <c r="I499" i="13"/>
  <c r="J499" i="13" s="1"/>
  <c r="I500" i="13"/>
  <c r="J500" i="13" s="1"/>
  <c r="H500" i="13"/>
  <c r="D500" i="13"/>
  <c r="C500" i="13"/>
  <c r="B500" i="13"/>
  <c r="H499" i="13"/>
  <c r="D499" i="13"/>
  <c r="C499" i="13"/>
  <c r="B499" i="13"/>
  <c r="H498" i="13"/>
  <c r="D498" i="13"/>
  <c r="C498" i="13"/>
  <c r="B498" i="13"/>
  <c r="H497" i="13"/>
  <c r="D497" i="13"/>
  <c r="C497" i="13"/>
  <c r="B497" i="13"/>
  <c r="H496" i="13"/>
  <c r="D496" i="13"/>
  <c r="C496" i="13"/>
  <c r="B496" i="13"/>
  <c r="H495" i="13"/>
  <c r="D495" i="13"/>
  <c r="C495" i="13"/>
  <c r="B495" i="13"/>
  <c r="H494" i="13"/>
  <c r="D494" i="13"/>
  <c r="C494" i="13"/>
  <c r="B494" i="13"/>
  <c r="H493" i="13"/>
  <c r="D493" i="13"/>
  <c r="C493" i="13"/>
  <c r="B493" i="13"/>
  <c r="H492" i="13"/>
  <c r="D492" i="13"/>
  <c r="C492" i="13"/>
  <c r="B492" i="13"/>
  <c r="H491" i="13"/>
  <c r="D491" i="13"/>
  <c r="C491" i="13"/>
  <c r="B491" i="13"/>
  <c r="H490" i="13"/>
  <c r="D490" i="13"/>
  <c r="C490" i="13"/>
  <c r="B490" i="13"/>
  <c r="H489" i="13"/>
  <c r="D489" i="13"/>
  <c r="C489" i="13"/>
  <c r="B489" i="13"/>
  <c r="H488" i="13"/>
  <c r="D488" i="13"/>
  <c r="C488" i="13"/>
  <c r="B488" i="13"/>
  <c r="H487" i="13"/>
  <c r="D487" i="13"/>
  <c r="C487" i="13"/>
  <c r="B487" i="13"/>
  <c r="H486" i="13"/>
  <c r="D486" i="13"/>
  <c r="C486" i="13"/>
  <c r="B486" i="13"/>
  <c r="H485" i="13"/>
  <c r="D485" i="13"/>
  <c r="C485" i="13"/>
  <c r="B485" i="13"/>
  <c r="H484" i="13"/>
  <c r="D484" i="13"/>
  <c r="C484" i="13"/>
  <c r="B484" i="13"/>
  <c r="H483" i="13"/>
  <c r="D483" i="13"/>
  <c r="C483" i="13"/>
  <c r="B483" i="13"/>
  <c r="H482" i="13"/>
  <c r="D482" i="13"/>
  <c r="C482" i="13"/>
  <c r="B482" i="13"/>
  <c r="H481" i="13"/>
  <c r="D481" i="13"/>
  <c r="C481" i="13"/>
  <c r="B481" i="13"/>
  <c r="H480" i="13"/>
  <c r="D480" i="13"/>
  <c r="C480" i="13"/>
  <c r="B480" i="13"/>
  <c r="H479" i="13"/>
  <c r="D479" i="13"/>
  <c r="C479" i="13"/>
  <c r="B479" i="13"/>
  <c r="H478" i="13"/>
  <c r="D478" i="13"/>
  <c r="C478" i="13"/>
  <c r="B478" i="13"/>
  <c r="H477" i="13"/>
  <c r="D477" i="13"/>
  <c r="C477" i="13"/>
  <c r="B477" i="13"/>
  <c r="H476" i="13"/>
  <c r="D476" i="13"/>
  <c r="C476" i="13"/>
  <c r="B476" i="13"/>
  <c r="H475" i="13"/>
  <c r="D475" i="13"/>
  <c r="C475" i="13"/>
  <c r="B475" i="13"/>
  <c r="H474" i="13"/>
  <c r="D474" i="13"/>
  <c r="C474" i="13"/>
  <c r="B474" i="13"/>
  <c r="H473" i="13"/>
  <c r="D473" i="13"/>
  <c r="C473" i="13"/>
  <c r="B473" i="13"/>
  <c r="H472" i="13"/>
  <c r="D472" i="13"/>
  <c r="C472" i="13"/>
  <c r="B472" i="13"/>
  <c r="H471" i="13"/>
  <c r="D471" i="13"/>
  <c r="C471" i="13"/>
  <c r="B471" i="13"/>
  <c r="H470" i="13"/>
  <c r="D470" i="13"/>
  <c r="C470" i="13"/>
  <c r="B470" i="13"/>
  <c r="H469" i="13"/>
  <c r="D469" i="13"/>
  <c r="C469" i="13"/>
  <c r="B469" i="13"/>
  <c r="H468" i="13"/>
  <c r="D468" i="13"/>
  <c r="C468" i="13"/>
  <c r="B468" i="13"/>
  <c r="H467" i="13"/>
  <c r="D467" i="13"/>
  <c r="C467" i="13"/>
  <c r="B467" i="13"/>
  <c r="H466" i="13"/>
  <c r="D466" i="13"/>
  <c r="C466" i="13"/>
  <c r="B466" i="13"/>
  <c r="H465" i="13"/>
  <c r="D465" i="13"/>
  <c r="C465" i="13"/>
  <c r="B465" i="13"/>
  <c r="H464" i="13"/>
  <c r="D464" i="13"/>
  <c r="C464" i="13"/>
  <c r="B464" i="13"/>
  <c r="H463" i="13"/>
  <c r="D463" i="13"/>
  <c r="C463" i="13"/>
  <c r="B463" i="13"/>
  <c r="H462" i="13"/>
  <c r="D462" i="13"/>
  <c r="C462" i="13"/>
  <c r="B462" i="13"/>
  <c r="H461" i="13"/>
  <c r="D461" i="13"/>
  <c r="C461" i="13"/>
  <c r="B461" i="13"/>
  <c r="H460" i="13"/>
  <c r="D460" i="13"/>
  <c r="C460" i="13"/>
  <c r="B460" i="13"/>
  <c r="H459" i="13"/>
  <c r="D459" i="13"/>
  <c r="C459" i="13"/>
  <c r="B459" i="13"/>
  <c r="H458" i="13"/>
  <c r="D458" i="13"/>
  <c r="C458" i="13"/>
  <c r="B458" i="13"/>
  <c r="H457" i="13"/>
  <c r="D457" i="13"/>
  <c r="C457" i="13"/>
  <c r="B457" i="13"/>
  <c r="H456" i="13"/>
  <c r="D456" i="13"/>
  <c r="C456" i="13"/>
  <c r="B456" i="13"/>
  <c r="H455" i="13"/>
  <c r="D455" i="13"/>
  <c r="C455" i="13"/>
  <c r="B455" i="13"/>
  <c r="H454" i="13"/>
  <c r="D454" i="13"/>
  <c r="C454" i="13"/>
  <c r="B454" i="13"/>
  <c r="H453" i="13"/>
  <c r="D453" i="13"/>
  <c r="C453" i="13"/>
  <c r="B453" i="13"/>
  <c r="H452" i="13"/>
  <c r="D452" i="13"/>
  <c r="C452" i="13"/>
  <c r="B452" i="13"/>
  <c r="H451" i="13"/>
  <c r="D451" i="13"/>
  <c r="C451" i="13"/>
  <c r="B451" i="13"/>
  <c r="H450" i="13"/>
  <c r="D450" i="13"/>
  <c r="C450" i="13"/>
  <c r="B450" i="13"/>
  <c r="H449" i="13"/>
  <c r="D449" i="13"/>
  <c r="C449" i="13"/>
  <c r="B449" i="13"/>
  <c r="H448" i="13"/>
  <c r="D448" i="13"/>
  <c r="C448" i="13"/>
  <c r="B448" i="13"/>
  <c r="H447" i="13"/>
  <c r="D447" i="13"/>
  <c r="C447" i="13"/>
  <c r="B447" i="13"/>
  <c r="H446" i="13"/>
  <c r="D446" i="13"/>
  <c r="C446" i="13"/>
  <c r="B446" i="13"/>
  <c r="H445" i="13"/>
  <c r="D445" i="13"/>
  <c r="C445" i="13"/>
  <c r="B445" i="13"/>
  <c r="H444" i="13"/>
  <c r="D444" i="13"/>
  <c r="C444" i="13"/>
  <c r="B444" i="13"/>
  <c r="H443" i="13"/>
  <c r="D443" i="13"/>
  <c r="C443" i="13"/>
  <c r="B443" i="13"/>
  <c r="H442" i="13"/>
  <c r="D442" i="13"/>
  <c r="C442" i="13"/>
  <c r="B442" i="13"/>
  <c r="H441" i="13"/>
  <c r="D441" i="13"/>
  <c r="C441" i="13"/>
  <c r="B441" i="13"/>
  <c r="H440" i="13"/>
  <c r="D440" i="13"/>
  <c r="C440" i="13"/>
  <c r="B440" i="13"/>
  <c r="H439" i="13"/>
  <c r="D439" i="13"/>
  <c r="C439" i="13"/>
  <c r="B439" i="13"/>
  <c r="H438" i="13"/>
  <c r="D438" i="13"/>
  <c r="C438" i="13"/>
  <c r="B438" i="13"/>
  <c r="H437" i="13"/>
  <c r="D437" i="13"/>
  <c r="C437" i="13"/>
  <c r="B437" i="13"/>
  <c r="H436" i="13"/>
  <c r="D436" i="13"/>
  <c r="C436" i="13"/>
  <c r="B436" i="13"/>
  <c r="H435" i="13"/>
  <c r="D435" i="13"/>
  <c r="C435" i="13"/>
  <c r="B435" i="13"/>
  <c r="H434" i="13"/>
  <c r="D434" i="13"/>
  <c r="C434" i="13"/>
  <c r="B434" i="13"/>
  <c r="H433" i="13"/>
  <c r="D433" i="13"/>
  <c r="C433" i="13"/>
  <c r="B433" i="13"/>
  <c r="H432" i="13"/>
  <c r="D432" i="13"/>
  <c r="C432" i="13"/>
  <c r="B432" i="13"/>
  <c r="H431" i="13"/>
  <c r="D431" i="13"/>
  <c r="C431" i="13"/>
  <c r="B431" i="13"/>
  <c r="H430" i="13"/>
  <c r="D430" i="13"/>
  <c r="C430" i="13"/>
  <c r="B430" i="13"/>
  <c r="H429" i="13"/>
  <c r="D429" i="13"/>
  <c r="C429" i="13"/>
  <c r="B429" i="13"/>
  <c r="H428" i="13"/>
  <c r="D428" i="13"/>
  <c r="C428" i="13"/>
  <c r="B428" i="13"/>
  <c r="H427" i="13"/>
  <c r="D427" i="13"/>
  <c r="C427" i="13"/>
  <c r="B427" i="13"/>
  <c r="H426" i="13"/>
  <c r="D426" i="13"/>
  <c r="C426" i="13"/>
  <c r="B426" i="13"/>
  <c r="H425" i="13"/>
  <c r="D425" i="13"/>
  <c r="C425" i="13"/>
  <c r="B425" i="13"/>
  <c r="H424" i="13"/>
  <c r="D424" i="13"/>
  <c r="C424" i="13"/>
  <c r="B424" i="13"/>
  <c r="H423" i="13"/>
  <c r="D423" i="13"/>
  <c r="C423" i="13"/>
  <c r="B423" i="13"/>
  <c r="H422" i="13"/>
  <c r="D422" i="13"/>
  <c r="C422" i="13"/>
  <c r="B422" i="13"/>
  <c r="H421" i="13"/>
  <c r="D421" i="13"/>
  <c r="C421" i="13"/>
  <c r="B421" i="13"/>
  <c r="H420" i="13"/>
  <c r="D420" i="13"/>
  <c r="C420" i="13"/>
  <c r="B420" i="13"/>
  <c r="H419" i="13"/>
  <c r="D419" i="13"/>
  <c r="C419" i="13"/>
  <c r="B419" i="13"/>
  <c r="H418" i="13"/>
  <c r="D418" i="13"/>
  <c r="C418" i="13"/>
  <c r="B418" i="13"/>
  <c r="H417" i="13"/>
  <c r="D417" i="13"/>
  <c r="C417" i="13"/>
  <c r="B417" i="13"/>
  <c r="H416" i="13"/>
  <c r="D416" i="13"/>
  <c r="C416" i="13"/>
  <c r="B416" i="13"/>
  <c r="H415" i="13"/>
  <c r="D415" i="13"/>
  <c r="C415" i="13"/>
  <c r="B415" i="13"/>
  <c r="H414" i="13"/>
  <c r="D414" i="13"/>
  <c r="C414" i="13"/>
  <c r="B414" i="13"/>
  <c r="H413" i="13"/>
  <c r="D413" i="13"/>
  <c r="C413" i="13"/>
  <c r="B413" i="13"/>
  <c r="H412" i="13"/>
  <c r="D412" i="13"/>
  <c r="C412" i="13"/>
  <c r="B412" i="13"/>
  <c r="H411" i="13"/>
  <c r="D411" i="13"/>
  <c r="C411" i="13"/>
  <c r="B411" i="13"/>
  <c r="H410" i="13"/>
  <c r="D410" i="13"/>
  <c r="C410" i="13"/>
  <c r="B410" i="13"/>
  <c r="H409" i="13"/>
  <c r="D409" i="13"/>
  <c r="C409" i="13"/>
  <c r="B409" i="13"/>
  <c r="H408" i="13"/>
  <c r="D408" i="13"/>
  <c r="C408" i="13"/>
  <c r="B408" i="13"/>
  <c r="H407" i="13"/>
  <c r="D407" i="13"/>
  <c r="C407" i="13"/>
  <c r="B407" i="13"/>
  <c r="H406" i="13"/>
  <c r="D406" i="13"/>
  <c r="C406" i="13"/>
  <c r="B406" i="13"/>
  <c r="H405" i="13"/>
  <c r="D405" i="13"/>
  <c r="C405" i="13"/>
  <c r="B405" i="13"/>
  <c r="H404" i="13"/>
  <c r="D404" i="13"/>
  <c r="C404" i="13"/>
  <c r="B404" i="13"/>
  <c r="H403" i="13"/>
  <c r="D403" i="13"/>
  <c r="C403" i="13"/>
  <c r="B403" i="13"/>
  <c r="H402" i="13"/>
  <c r="D402" i="13"/>
  <c r="C402" i="13"/>
  <c r="B402" i="13"/>
  <c r="H401" i="13"/>
  <c r="D401" i="13"/>
  <c r="C401" i="13"/>
  <c r="B401" i="13"/>
  <c r="H400" i="13"/>
  <c r="D400" i="13"/>
  <c r="C400" i="13"/>
  <c r="B400" i="13"/>
  <c r="H399" i="13"/>
  <c r="D399" i="13"/>
  <c r="C399" i="13"/>
  <c r="B399" i="13"/>
  <c r="H398" i="13"/>
  <c r="D398" i="13"/>
  <c r="C398" i="13"/>
  <c r="B398" i="13"/>
  <c r="H397" i="13"/>
  <c r="D397" i="13"/>
  <c r="C397" i="13"/>
  <c r="B397" i="13"/>
  <c r="H396" i="13"/>
  <c r="D396" i="13"/>
  <c r="C396" i="13"/>
  <c r="B396" i="13"/>
  <c r="H395" i="13"/>
  <c r="D395" i="13"/>
  <c r="C395" i="13"/>
  <c r="B395" i="13"/>
  <c r="H394" i="13"/>
  <c r="D394" i="13"/>
  <c r="C394" i="13"/>
  <c r="B394" i="13"/>
  <c r="H393" i="13"/>
  <c r="D393" i="13"/>
  <c r="C393" i="13"/>
  <c r="B393" i="13"/>
  <c r="H392" i="13"/>
  <c r="D392" i="13"/>
  <c r="C392" i="13"/>
  <c r="B392" i="13"/>
  <c r="H391" i="13"/>
  <c r="D391" i="13"/>
  <c r="C391" i="13"/>
  <c r="B391" i="13"/>
  <c r="H390" i="13"/>
  <c r="D390" i="13"/>
  <c r="C390" i="13"/>
  <c r="B390" i="13"/>
  <c r="H389" i="13"/>
  <c r="D389" i="13"/>
  <c r="C389" i="13"/>
  <c r="B389" i="13"/>
  <c r="H388" i="13"/>
  <c r="D388" i="13"/>
  <c r="C388" i="13"/>
  <c r="B388" i="13"/>
  <c r="H387" i="13"/>
  <c r="D387" i="13"/>
  <c r="C387" i="13"/>
  <c r="B387" i="13"/>
  <c r="H386" i="13"/>
  <c r="D386" i="13"/>
  <c r="C386" i="13"/>
  <c r="B386" i="13"/>
  <c r="H385" i="13"/>
  <c r="D385" i="13"/>
  <c r="C385" i="13"/>
  <c r="B385" i="13"/>
  <c r="H384" i="13"/>
  <c r="D384" i="13"/>
  <c r="C384" i="13"/>
  <c r="B384" i="13"/>
  <c r="H383" i="13"/>
  <c r="D383" i="13"/>
  <c r="C383" i="13"/>
  <c r="B383" i="13"/>
  <c r="H382" i="13"/>
  <c r="D382" i="13"/>
  <c r="C382" i="13"/>
  <c r="B382" i="13"/>
  <c r="H381" i="13"/>
  <c r="D381" i="13"/>
  <c r="C381" i="13"/>
  <c r="B381" i="13"/>
  <c r="H380" i="13"/>
  <c r="D380" i="13"/>
  <c r="C380" i="13"/>
  <c r="B380" i="13"/>
  <c r="H379" i="13"/>
  <c r="D379" i="13"/>
  <c r="C379" i="13"/>
  <c r="B379" i="13"/>
  <c r="H378" i="13"/>
  <c r="D378" i="13"/>
  <c r="C378" i="13"/>
  <c r="B378" i="13"/>
  <c r="H377" i="13"/>
  <c r="D377" i="13"/>
  <c r="C377" i="13"/>
  <c r="B377" i="13"/>
  <c r="H376" i="13"/>
  <c r="D376" i="13"/>
  <c r="C376" i="13"/>
  <c r="B376" i="13"/>
  <c r="H375" i="13"/>
  <c r="D375" i="13"/>
  <c r="C375" i="13"/>
  <c r="B375" i="13"/>
  <c r="H374" i="13"/>
  <c r="D374" i="13"/>
  <c r="C374" i="13"/>
  <c r="B374" i="13"/>
  <c r="H373" i="13"/>
  <c r="D373" i="13"/>
  <c r="C373" i="13"/>
  <c r="B373" i="13"/>
  <c r="H372" i="13"/>
  <c r="D372" i="13"/>
  <c r="C372" i="13"/>
  <c r="B372" i="13"/>
  <c r="H371" i="13"/>
  <c r="D371" i="13"/>
  <c r="C371" i="13"/>
  <c r="B371" i="13"/>
  <c r="H370" i="13"/>
  <c r="D370" i="13"/>
  <c r="C370" i="13"/>
  <c r="B370" i="13"/>
  <c r="H369" i="13"/>
  <c r="D369" i="13"/>
  <c r="C369" i="13"/>
  <c r="B369" i="13"/>
  <c r="H368" i="13"/>
  <c r="D368" i="13"/>
  <c r="C368" i="13"/>
  <c r="B368" i="13"/>
  <c r="H367" i="13"/>
  <c r="D367" i="13"/>
  <c r="C367" i="13"/>
  <c r="B367" i="13"/>
  <c r="H366" i="13"/>
  <c r="D366" i="13"/>
  <c r="C366" i="13"/>
  <c r="B366" i="13"/>
  <c r="H365" i="13"/>
  <c r="D365" i="13"/>
  <c r="C365" i="13"/>
  <c r="B365" i="13"/>
  <c r="H364" i="13"/>
  <c r="D364" i="13"/>
  <c r="C364" i="13"/>
  <c r="B364" i="13"/>
  <c r="H363" i="13"/>
  <c r="D363" i="13"/>
  <c r="C363" i="13"/>
  <c r="B363" i="13"/>
  <c r="H362" i="13"/>
  <c r="D362" i="13"/>
  <c r="C362" i="13"/>
  <c r="B362" i="13"/>
  <c r="H361" i="13"/>
  <c r="D361" i="13"/>
  <c r="C361" i="13"/>
  <c r="B361" i="13"/>
  <c r="H360" i="13"/>
  <c r="D360" i="13"/>
  <c r="C360" i="13"/>
  <c r="B360" i="13"/>
  <c r="H359" i="13"/>
  <c r="D359" i="13"/>
  <c r="C359" i="13"/>
  <c r="B359" i="13"/>
  <c r="H358" i="13"/>
  <c r="D358" i="13"/>
  <c r="C358" i="13"/>
  <c r="B358" i="13"/>
  <c r="H357" i="13"/>
  <c r="D357" i="13"/>
  <c r="C357" i="13"/>
  <c r="B357" i="13"/>
  <c r="H356" i="13"/>
  <c r="D356" i="13"/>
  <c r="C356" i="13"/>
  <c r="B356" i="13"/>
  <c r="H355" i="13"/>
  <c r="D355" i="13"/>
  <c r="C355" i="13"/>
  <c r="B355" i="13"/>
  <c r="H354" i="13"/>
  <c r="D354" i="13"/>
  <c r="C354" i="13"/>
  <c r="B354" i="13"/>
  <c r="H353" i="13"/>
  <c r="D353" i="13"/>
  <c r="C353" i="13"/>
  <c r="B353" i="13"/>
  <c r="H352" i="13"/>
  <c r="D352" i="13"/>
  <c r="C352" i="13"/>
  <c r="B352" i="13"/>
  <c r="H351" i="13"/>
  <c r="D351" i="13"/>
  <c r="C351" i="13"/>
  <c r="B351" i="13"/>
  <c r="H350" i="13"/>
  <c r="D350" i="13"/>
  <c r="C350" i="13"/>
  <c r="B350" i="13"/>
  <c r="H349" i="13"/>
  <c r="D349" i="13"/>
  <c r="C349" i="13"/>
  <c r="B349" i="13"/>
  <c r="H348" i="13"/>
  <c r="D348" i="13"/>
  <c r="C348" i="13"/>
  <c r="B348" i="13"/>
  <c r="H347" i="13"/>
  <c r="D347" i="13"/>
  <c r="C347" i="13"/>
  <c r="B347" i="13"/>
  <c r="H346" i="13"/>
  <c r="D346" i="13"/>
  <c r="C346" i="13"/>
  <c r="B346" i="13"/>
  <c r="H345" i="13"/>
  <c r="D345" i="13"/>
  <c r="C345" i="13"/>
  <c r="B345" i="13"/>
  <c r="H344" i="13"/>
  <c r="D344" i="13"/>
  <c r="C344" i="13"/>
  <c r="B344" i="13"/>
  <c r="H343" i="13"/>
  <c r="D343" i="13"/>
  <c r="C343" i="13"/>
  <c r="B343" i="13"/>
  <c r="H342" i="13"/>
  <c r="D342" i="13"/>
  <c r="C342" i="13"/>
  <c r="B342" i="13"/>
  <c r="H341" i="13"/>
  <c r="D341" i="13"/>
  <c r="C341" i="13"/>
  <c r="B341" i="13"/>
  <c r="H340" i="13"/>
  <c r="D340" i="13"/>
  <c r="C340" i="13"/>
  <c r="B340" i="13"/>
  <c r="H339" i="13"/>
  <c r="D339" i="13"/>
  <c r="C339" i="13"/>
  <c r="B339" i="13"/>
  <c r="H338" i="13"/>
  <c r="D338" i="13"/>
  <c r="C338" i="13"/>
  <c r="B338" i="13"/>
  <c r="H337" i="13"/>
  <c r="D337" i="13"/>
  <c r="C337" i="13"/>
  <c r="B337" i="13"/>
  <c r="H336" i="13"/>
  <c r="D336" i="13"/>
  <c r="C336" i="13"/>
  <c r="B336" i="13"/>
  <c r="H335" i="13"/>
  <c r="D335" i="13"/>
  <c r="C335" i="13"/>
  <c r="B335" i="13"/>
  <c r="H334" i="13"/>
  <c r="D334" i="13"/>
  <c r="C334" i="13"/>
  <c r="B334" i="13"/>
  <c r="H333" i="13"/>
  <c r="D333" i="13"/>
  <c r="C333" i="13"/>
  <c r="B333" i="13"/>
  <c r="H332" i="13"/>
  <c r="D332" i="13"/>
  <c r="C332" i="13"/>
  <c r="B332" i="13"/>
  <c r="H331" i="13"/>
  <c r="D331" i="13"/>
  <c r="C331" i="13"/>
  <c r="B331" i="13"/>
  <c r="H330" i="13"/>
  <c r="D330" i="13"/>
  <c r="C330" i="13"/>
  <c r="B330" i="13"/>
  <c r="H329" i="13"/>
  <c r="D329" i="13"/>
  <c r="C329" i="13"/>
  <c r="B329" i="13"/>
  <c r="H328" i="13"/>
  <c r="D328" i="13"/>
  <c r="C328" i="13"/>
  <c r="B328" i="13"/>
  <c r="H327" i="13"/>
  <c r="D327" i="13"/>
  <c r="C327" i="13"/>
  <c r="B327" i="13"/>
  <c r="H326" i="13"/>
  <c r="D326" i="13"/>
  <c r="C326" i="13"/>
  <c r="B326" i="13"/>
  <c r="H325" i="13"/>
  <c r="D325" i="13"/>
  <c r="C325" i="13"/>
  <c r="B325" i="13"/>
  <c r="H324" i="13"/>
  <c r="D324" i="13"/>
  <c r="C324" i="13"/>
  <c r="B324" i="13"/>
  <c r="H323" i="13"/>
  <c r="D323" i="13"/>
  <c r="C323" i="13"/>
  <c r="B323" i="13"/>
  <c r="H322" i="13"/>
  <c r="D322" i="13"/>
  <c r="C322" i="13"/>
  <c r="B322" i="13"/>
  <c r="H321" i="13"/>
  <c r="D321" i="13"/>
  <c r="C321" i="13"/>
  <c r="B321" i="13"/>
  <c r="H320" i="13"/>
  <c r="D320" i="13"/>
  <c r="C320" i="13"/>
  <c r="B320" i="13"/>
  <c r="H319" i="13"/>
  <c r="D319" i="13"/>
  <c r="C319" i="13"/>
  <c r="B319" i="13"/>
  <c r="H318" i="13"/>
  <c r="D318" i="13"/>
  <c r="C318" i="13"/>
  <c r="B318" i="13"/>
  <c r="H317" i="13"/>
  <c r="D317" i="13"/>
  <c r="C317" i="13"/>
  <c r="B317" i="13"/>
  <c r="H316" i="13"/>
  <c r="D316" i="13"/>
  <c r="C316" i="13"/>
  <c r="B316" i="13"/>
  <c r="H315" i="13"/>
  <c r="D315" i="13"/>
  <c r="C315" i="13"/>
  <c r="B315" i="13"/>
  <c r="H314" i="13"/>
  <c r="D314" i="13"/>
  <c r="C314" i="13"/>
  <c r="B314" i="13"/>
  <c r="H313" i="13"/>
  <c r="D313" i="13"/>
  <c r="C313" i="13"/>
  <c r="B313" i="13"/>
  <c r="H312" i="13"/>
  <c r="D312" i="13"/>
  <c r="C312" i="13"/>
  <c r="B312" i="13"/>
  <c r="H311" i="13"/>
  <c r="D311" i="13"/>
  <c r="C311" i="13"/>
  <c r="B311" i="13"/>
  <c r="H310" i="13"/>
  <c r="D310" i="13"/>
  <c r="C310" i="13"/>
  <c r="B310" i="13"/>
  <c r="H309" i="13"/>
  <c r="D309" i="13"/>
  <c r="C309" i="13"/>
  <c r="B309" i="13"/>
  <c r="H308" i="13"/>
  <c r="D308" i="13"/>
  <c r="C308" i="13"/>
  <c r="B308" i="13"/>
  <c r="H307" i="13"/>
  <c r="D307" i="13"/>
  <c r="C307" i="13"/>
  <c r="B307" i="13"/>
  <c r="H306" i="13"/>
  <c r="D306" i="13"/>
  <c r="C306" i="13"/>
  <c r="B306" i="13"/>
  <c r="H305" i="13"/>
  <c r="D305" i="13"/>
  <c r="C305" i="13"/>
  <c r="B305" i="13"/>
  <c r="H304" i="13"/>
  <c r="D304" i="13"/>
  <c r="C304" i="13"/>
  <c r="B304" i="13"/>
  <c r="H303" i="13"/>
  <c r="D303" i="13"/>
  <c r="C303" i="13"/>
  <c r="B303" i="13"/>
  <c r="H302" i="13"/>
  <c r="D302" i="13"/>
  <c r="C302" i="13"/>
  <c r="B302" i="13"/>
  <c r="H301" i="13"/>
  <c r="D301" i="13"/>
  <c r="C301" i="13"/>
  <c r="B301" i="13"/>
  <c r="H300" i="13"/>
  <c r="D300" i="13"/>
  <c r="C300" i="13"/>
  <c r="B300" i="13"/>
  <c r="H299" i="13"/>
  <c r="D299" i="13"/>
  <c r="C299" i="13"/>
  <c r="B299" i="13"/>
  <c r="H298" i="13"/>
  <c r="D298" i="13"/>
  <c r="C298" i="13"/>
  <c r="B298" i="13"/>
  <c r="H297" i="13"/>
  <c r="D297" i="13"/>
  <c r="C297" i="13"/>
  <c r="B297" i="13"/>
  <c r="H296" i="13"/>
  <c r="D296" i="13"/>
  <c r="C296" i="13"/>
  <c r="B296" i="13"/>
  <c r="H295" i="13"/>
  <c r="D295" i="13"/>
  <c r="C295" i="13"/>
  <c r="B295" i="13"/>
  <c r="H294" i="13"/>
  <c r="D294" i="13"/>
  <c r="C294" i="13"/>
  <c r="B294" i="13"/>
  <c r="H293" i="13"/>
  <c r="D293" i="13"/>
  <c r="C293" i="13"/>
  <c r="B293" i="13"/>
  <c r="H292" i="13"/>
  <c r="D292" i="13"/>
  <c r="C292" i="13"/>
  <c r="B292" i="13"/>
  <c r="H291" i="13"/>
  <c r="D291" i="13"/>
  <c r="C291" i="13"/>
  <c r="B291" i="13"/>
  <c r="H290" i="13"/>
  <c r="D290" i="13"/>
  <c r="C290" i="13"/>
  <c r="B290" i="13"/>
  <c r="H289" i="13"/>
  <c r="D289" i="13"/>
  <c r="C289" i="13"/>
  <c r="B289" i="13"/>
  <c r="H288" i="13"/>
  <c r="D288" i="13"/>
  <c r="C288" i="13"/>
  <c r="B288" i="13"/>
  <c r="H287" i="13"/>
  <c r="D287" i="13"/>
  <c r="C287" i="13"/>
  <c r="B287" i="13"/>
  <c r="H286" i="13"/>
  <c r="D286" i="13"/>
  <c r="C286" i="13"/>
  <c r="B286" i="13"/>
  <c r="H285" i="13"/>
  <c r="D285" i="13"/>
  <c r="C285" i="13"/>
  <c r="B285" i="13"/>
  <c r="H284" i="13"/>
  <c r="D284" i="13"/>
  <c r="C284" i="13"/>
  <c r="B284" i="13"/>
  <c r="H283" i="13"/>
  <c r="D283" i="13"/>
  <c r="C283" i="13"/>
  <c r="B283" i="13"/>
  <c r="H282" i="13"/>
  <c r="D282" i="13"/>
  <c r="C282" i="13"/>
  <c r="B282" i="13"/>
  <c r="H281" i="13"/>
  <c r="D281" i="13"/>
  <c r="C281" i="13"/>
  <c r="B281" i="13"/>
  <c r="H280" i="13"/>
  <c r="D280" i="13"/>
  <c r="C280" i="13"/>
  <c r="B280" i="13"/>
  <c r="H279" i="13"/>
  <c r="D279" i="13"/>
  <c r="C279" i="13"/>
  <c r="B279" i="13"/>
  <c r="H278" i="13"/>
  <c r="D278" i="13"/>
  <c r="C278" i="13"/>
  <c r="B278" i="13"/>
  <c r="H277" i="13"/>
  <c r="D277" i="13"/>
  <c r="C277" i="13"/>
  <c r="B277" i="13"/>
  <c r="H276" i="13"/>
  <c r="D276" i="13"/>
  <c r="C276" i="13"/>
  <c r="B276" i="13"/>
  <c r="H275" i="13"/>
  <c r="D275" i="13"/>
  <c r="C275" i="13"/>
  <c r="B275" i="13"/>
  <c r="H274" i="13"/>
  <c r="D274" i="13"/>
  <c r="C274" i="13"/>
  <c r="B274" i="13"/>
  <c r="H273" i="13"/>
  <c r="D273" i="13"/>
  <c r="C273" i="13"/>
  <c r="B273" i="13"/>
  <c r="H272" i="13"/>
  <c r="D272" i="13"/>
  <c r="C272" i="13"/>
  <c r="B272" i="13"/>
  <c r="H271" i="13"/>
  <c r="D271" i="13"/>
  <c r="C271" i="13"/>
  <c r="B271" i="13"/>
  <c r="H270" i="13"/>
  <c r="D270" i="13"/>
  <c r="C270" i="13"/>
  <c r="B270" i="13"/>
  <c r="H269" i="13"/>
  <c r="D269" i="13"/>
  <c r="C269" i="13"/>
  <c r="B269" i="13"/>
  <c r="H268" i="13"/>
  <c r="D268" i="13"/>
  <c r="C268" i="13"/>
  <c r="B268" i="13"/>
  <c r="H267" i="13"/>
  <c r="D267" i="13"/>
  <c r="C267" i="13"/>
  <c r="B267" i="13"/>
  <c r="H266" i="13"/>
  <c r="D266" i="13"/>
  <c r="C266" i="13"/>
  <c r="B266" i="13"/>
  <c r="H265" i="13"/>
  <c r="D265" i="13"/>
  <c r="C265" i="13"/>
  <c r="B265" i="13"/>
  <c r="H264" i="13"/>
  <c r="D264" i="13"/>
  <c r="C264" i="13"/>
  <c r="B264" i="13"/>
  <c r="H263" i="13"/>
  <c r="D263" i="13"/>
  <c r="C263" i="13"/>
  <c r="B263" i="13"/>
  <c r="H262" i="13"/>
  <c r="D262" i="13"/>
  <c r="C262" i="13"/>
  <c r="B262" i="13"/>
  <c r="H261" i="13"/>
  <c r="D261" i="13"/>
  <c r="C261" i="13"/>
  <c r="B261" i="13"/>
  <c r="H260" i="13"/>
  <c r="D260" i="13"/>
  <c r="C260" i="13"/>
  <c r="B260" i="13"/>
  <c r="H259" i="13"/>
  <c r="D259" i="13"/>
  <c r="C259" i="13"/>
  <c r="B259" i="13"/>
  <c r="H258" i="13"/>
  <c r="D258" i="13"/>
  <c r="C258" i="13"/>
  <c r="B258" i="13"/>
  <c r="H257" i="13"/>
  <c r="D257" i="13"/>
  <c r="C257" i="13"/>
  <c r="B257" i="13"/>
  <c r="H256" i="13"/>
  <c r="D256" i="13"/>
  <c r="C256" i="13"/>
  <c r="B256" i="13"/>
  <c r="H255" i="13"/>
  <c r="D255" i="13"/>
  <c r="C255" i="13"/>
  <c r="B255" i="13"/>
  <c r="H254" i="13"/>
  <c r="D254" i="13"/>
  <c r="C254" i="13"/>
  <c r="B254" i="13"/>
  <c r="H253" i="13"/>
  <c r="D253" i="13"/>
  <c r="C253" i="13"/>
  <c r="B253" i="13"/>
  <c r="H252" i="13"/>
  <c r="D252" i="13"/>
  <c r="C252" i="13"/>
  <c r="B252" i="13"/>
  <c r="H251" i="13"/>
  <c r="D251" i="13"/>
  <c r="C251" i="13"/>
  <c r="B251" i="13"/>
  <c r="H250" i="13"/>
  <c r="D250" i="13"/>
  <c r="C250" i="13"/>
  <c r="B250" i="13"/>
  <c r="H249" i="13"/>
  <c r="D249" i="13"/>
  <c r="C249" i="13"/>
  <c r="B249" i="13"/>
  <c r="H248" i="13"/>
  <c r="D248" i="13"/>
  <c r="C248" i="13"/>
  <c r="B248" i="13"/>
  <c r="H247" i="13"/>
  <c r="D247" i="13"/>
  <c r="C247" i="13"/>
  <c r="B247" i="13"/>
  <c r="H246" i="13"/>
  <c r="D246" i="13"/>
  <c r="C246" i="13"/>
  <c r="B246" i="13"/>
  <c r="H245" i="13"/>
  <c r="D245" i="13"/>
  <c r="C245" i="13"/>
  <c r="B245" i="13"/>
  <c r="H244" i="13"/>
  <c r="D244" i="13"/>
  <c r="C244" i="13"/>
  <c r="B244" i="13"/>
  <c r="H243" i="13"/>
  <c r="D243" i="13"/>
  <c r="C243" i="13"/>
  <c r="B243" i="13"/>
  <c r="H242" i="13"/>
  <c r="D242" i="13"/>
  <c r="C242" i="13"/>
  <c r="B242" i="13"/>
  <c r="H241" i="13"/>
  <c r="D241" i="13"/>
  <c r="C241" i="13"/>
  <c r="B241" i="13"/>
  <c r="H240" i="13"/>
  <c r="D240" i="13"/>
  <c r="C240" i="13"/>
  <c r="B240" i="13"/>
  <c r="H239" i="13"/>
  <c r="D239" i="13"/>
  <c r="C239" i="13"/>
  <c r="B239" i="13"/>
  <c r="H238" i="13"/>
  <c r="D238" i="13"/>
  <c r="C238" i="13"/>
  <c r="B238" i="13"/>
  <c r="H237" i="13"/>
  <c r="D237" i="13"/>
  <c r="C237" i="13"/>
  <c r="B237" i="13"/>
  <c r="H236" i="13"/>
  <c r="D236" i="13"/>
  <c r="C236" i="13"/>
  <c r="B236" i="13"/>
  <c r="H235" i="13"/>
  <c r="D235" i="13"/>
  <c r="C235" i="13"/>
  <c r="B235" i="13"/>
  <c r="H234" i="13"/>
  <c r="D234" i="13"/>
  <c r="C234" i="13"/>
  <c r="B234" i="13"/>
  <c r="H233" i="13"/>
  <c r="D233" i="13"/>
  <c r="C233" i="13"/>
  <c r="B233" i="13"/>
  <c r="H232" i="13"/>
  <c r="D232" i="13"/>
  <c r="C232" i="13"/>
  <c r="B232" i="13"/>
  <c r="H231" i="13"/>
  <c r="D231" i="13"/>
  <c r="C231" i="13"/>
  <c r="B231" i="13"/>
  <c r="H230" i="13"/>
  <c r="D230" i="13"/>
  <c r="C230" i="13"/>
  <c r="B230" i="13"/>
  <c r="H229" i="13"/>
  <c r="D229" i="13"/>
  <c r="C229" i="13"/>
  <c r="B229" i="13"/>
  <c r="H228" i="13"/>
  <c r="D228" i="13"/>
  <c r="C228" i="13"/>
  <c r="B228" i="13"/>
  <c r="H227" i="13"/>
  <c r="D227" i="13"/>
  <c r="C227" i="13"/>
  <c r="B227" i="13"/>
  <c r="H226" i="13"/>
  <c r="D226" i="13"/>
  <c r="C226" i="13"/>
  <c r="B226" i="13"/>
  <c r="H225" i="13"/>
  <c r="D225" i="13"/>
  <c r="C225" i="13"/>
  <c r="B225" i="13"/>
  <c r="H224" i="13"/>
  <c r="D224" i="13"/>
  <c r="C224" i="13"/>
  <c r="B224" i="13"/>
  <c r="H223" i="13"/>
  <c r="D223" i="13"/>
  <c r="C223" i="13"/>
  <c r="B223" i="13"/>
  <c r="H222" i="13"/>
  <c r="D222" i="13"/>
  <c r="C222" i="13"/>
  <c r="B222" i="13"/>
  <c r="H221" i="13"/>
  <c r="D221" i="13"/>
  <c r="C221" i="13"/>
  <c r="B221" i="13"/>
  <c r="H220" i="13"/>
  <c r="D220" i="13"/>
  <c r="C220" i="13"/>
  <c r="B220" i="13"/>
  <c r="H219" i="13"/>
  <c r="D219" i="13"/>
  <c r="C219" i="13"/>
  <c r="B219" i="13"/>
  <c r="H218" i="13"/>
  <c r="D218" i="13"/>
  <c r="C218" i="13"/>
  <c r="B218" i="13"/>
  <c r="H217" i="13"/>
  <c r="D217" i="13"/>
  <c r="C217" i="13"/>
  <c r="B217" i="13"/>
  <c r="H216" i="13"/>
  <c r="D216" i="13"/>
  <c r="C216" i="13"/>
  <c r="B216" i="13"/>
  <c r="H215" i="13"/>
  <c r="D215" i="13"/>
  <c r="C215" i="13"/>
  <c r="B215" i="13"/>
  <c r="H214" i="13"/>
  <c r="D214" i="13"/>
  <c r="C214" i="13"/>
  <c r="B214" i="13"/>
  <c r="H213" i="13"/>
  <c r="D213" i="13"/>
  <c r="C213" i="13"/>
  <c r="B213" i="13"/>
  <c r="H212" i="13"/>
  <c r="D212" i="13"/>
  <c r="C212" i="13"/>
  <c r="B212" i="13"/>
  <c r="H211" i="13"/>
  <c r="D211" i="13"/>
  <c r="C211" i="13"/>
  <c r="B211" i="13"/>
  <c r="H210" i="13"/>
  <c r="D210" i="13"/>
  <c r="C210" i="13"/>
  <c r="B210" i="13"/>
  <c r="H209" i="13"/>
  <c r="D209" i="13"/>
  <c r="C209" i="13"/>
  <c r="B209" i="13"/>
  <c r="H208" i="13"/>
  <c r="D208" i="13"/>
  <c r="C208" i="13"/>
  <c r="B208" i="13"/>
  <c r="H207" i="13"/>
  <c r="D207" i="13"/>
  <c r="C207" i="13"/>
  <c r="B207" i="13"/>
  <c r="H206" i="13"/>
  <c r="D206" i="13"/>
  <c r="C206" i="13"/>
  <c r="B206" i="13"/>
  <c r="H205" i="13"/>
  <c r="D205" i="13"/>
  <c r="C205" i="13"/>
  <c r="B205" i="13"/>
  <c r="H204" i="13"/>
  <c r="D204" i="13"/>
  <c r="C204" i="13"/>
  <c r="B204" i="13"/>
  <c r="H203" i="13"/>
  <c r="D203" i="13"/>
  <c r="C203" i="13"/>
  <c r="B203" i="13"/>
  <c r="H202" i="13"/>
  <c r="D202" i="13"/>
  <c r="C202" i="13"/>
  <c r="B202" i="13"/>
  <c r="H201" i="13"/>
  <c r="D201" i="13"/>
  <c r="C201" i="13"/>
  <c r="B201" i="13"/>
  <c r="H200" i="13"/>
  <c r="D200" i="13"/>
  <c r="C200" i="13"/>
  <c r="B200" i="13"/>
  <c r="H199" i="13"/>
  <c r="D199" i="13"/>
  <c r="C199" i="13"/>
  <c r="B199" i="13"/>
  <c r="H198" i="13"/>
  <c r="D198" i="13"/>
  <c r="C198" i="13"/>
  <c r="B198" i="13"/>
  <c r="H197" i="13"/>
  <c r="D197" i="13"/>
  <c r="C197" i="13"/>
  <c r="B197" i="13"/>
  <c r="H196" i="13"/>
  <c r="D196" i="13"/>
  <c r="C196" i="13"/>
  <c r="B196" i="13"/>
  <c r="H195" i="13"/>
  <c r="D195" i="13"/>
  <c r="C195" i="13"/>
  <c r="B195" i="13"/>
  <c r="H194" i="13"/>
  <c r="D194" i="13"/>
  <c r="C194" i="13"/>
  <c r="B194" i="13"/>
  <c r="H193" i="13"/>
  <c r="D193" i="13"/>
  <c r="C193" i="13"/>
  <c r="B193" i="13"/>
  <c r="H192" i="13"/>
  <c r="D192" i="13"/>
  <c r="C192" i="13"/>
  <c r="B192" i="13"/>
  <c r="H191" i="13"/>
  <c r="D191" i="13"/>
  <c r="C191" i="13"/>
  <c r="B191" i="13"/>
  <c r="H190" i="13"/>
  <c r="D190" i="13"/>
  <c r="C190" i="13"/>
  <c r="B190" i="13"/>
  <c r="H189" i="13"/>
  <c r="D189" i="13"/>
  <c r="C189" i="13"/>
  <c r="B189" i="13"/>
  <c r="H188" i="13"/>
  <c r="D188" i="13"/>
  <c r="C188" i="13"/>
  <c r="B188" i="13"/>
  <c r="H187" i="13"/>
  <c r="D187" i="13"/>
  <c r="C187" i="13"/>
  <c r="B187" i="13"/>
  <c r="H186" i="13"/>
  <c r="D186" i="13"/>
  <c r="C186" i="13"/>
  <c r="B186" i="13"/>
  <c r="H185" i="13"/>
  <c r="D185" i="13"/>
  <c r="C185" i="13"/>
  <c r="B185" i="13"/>
  <c r="H184" i="13"/>
  <c r="D184" i="13"/>
  <c r="C184" i="13"/>
  <c r="B184" i="13"/>
  <c r="H183" i="13"/>
  <c r="D183" i="13"/>
  <c r="C183" i="13"/>
  <c r="B183" i="13"/>
  <c r="H182" i="13"/>
  <c r="D182" i="13"/>
  <c r="C182" i="13"/>
  <c r="B182" i="13"/>
  <c r="H181" i="13"/>
  <c r="D181" i="13"/>
  <c r="C181" i="13"/>
  <c r="B181" i="13"/>
  <c r="H180" i="13"/>
  <c r="D180" i="13"/>
  <c r="C180" i="13"/>
  <c r="B180" i="13"/>
  <c r="H179" i="13"/>
  <c r="D179" i="13"/>
  <c r="C179" i="13"/>
  <c r="B179" i="13"/>
  <c r="H178" i="13"/>
  <c r="D178" i="13"/>
  <c r="C178" i="13"/>
  <c r="B178" i="13"/>
  <c r="H177" i="13"/>
  <c r="D177" i="13"/>
  <c r="C177" i="13"/>
  <c r="B177" i="13"/>
  <c r="H176" i="13"/>
  <c r="D176" i="13"/>
  <c r="C176" i="13"/>
  <c r="B176" i="13"/>
  <c r="H175" i="13"/>
  <c r="D175" i="13"/>
  <c r="C175" i="13"/>
  <c r="B175" i="13"/>
  <c r="H174" i="13"/>
  <c r="D174" i="13"/>
  <c r="C174" i="13"/>
  <c r="B174" i="13"/>
  <c r="H173" i="13"/>
  <c r="D173" i="13"/>
  <c r="C173" i="13"/>
  <c r="B173" i="13"/>
  <c r="H172" i="13"/>
  <c r="D172" i="13"/>
  <c r="C172" i="13"/>
  <c r="B172" i="13"/>
  <c r="H171" i="13"/>
  <c r="D171" i="13"/>
  <c r="C171" i="13"/>
  <c r="B171" i="13"/>
  <c r="H170" i="13"/>
  <c r="D170" i="13"/>
  <c r="C170" i="13"/>
  <c r="B170" i="13"/>
  <c r="H169" i="13"/>
  <c r="D169" i="13"/>
  <c r="C169" i="13"/>
  <c r="B169" i="13"/>
  <c r="H168" i="13"/>
  <c r="D168" i="13"/>
  <c r="C168" i="13"/>
  <c r="B168" i="13"/>
  <c r="H167" i="13"/>
  <c r="D167" i="13"/>
  <c r="C167" i="13"/>
  <c r="B167" i="13"/>
  <c r="H166" i="13"/>
  <c r="D166" i="13"/>
  <c r="C166" i="13"/>
  <c r="B166" i="13"/>
  <c r="H165" i="13"/>
  <c r="D165" i="13"/>
  <c r="C165" i="13"/>
  <c r="B165" i="13"/>
  <c r="H164" i="13"/>
  <c r="D164" i="13"/>
  <c r="C164" i="13"/>
  <c r="B164" i="13"/>
  <c r="H163" i="13"/>
  <c r="D163" i="13"/>
  <c r="C163" i="13"/>
  <c r="B163" i="13"/>
  <c r="H162" i="13"/>
  <c r="D162" i="13"/>
  <c r="C162" i="13"/>
  <c r="B162" i="13"/>
  <c r="H161" i="13"/>
  <c r="D161" i="13"/>
  <c r="C161" i="13"/>
  <c r="B161" i="13"/>
  <c r="H160" i="13"/>
  <c r="D160" i="13"/>
  <c r="C160" i="13"/>
  <c r="B160" i="13"/>
  <c r="H159" i="13"/>
  <c r="D159" i="13"/>
  <c r="C159" i="13"/>
  <c r="B159" i="13"/>
  <c r="H158" i="13"/>
  <c r="D158" i="13"/>
  <c r="C158" i="13"/>
  <c r="B158" i="13"/>
  <c r="H157" i="13"/>
  <c r="D157" i="13"/>
  <c r="C157" i="13"/>
  <c r="B157" i="13"/>
  <c r="H156" i="13"/>
  <c r="D156" i="13"/>
  <c r="C156" i="13"/>
  <c r="B156" i="13"/>
  <c r="H155" i="13"/>
  <c r="D155" i="13"/>
  <c r="C155" i="13"/>
  <c r="B155" i="13"/>
  <c r="H154" i="13"/>
  <c r="D154" i="13"/>
  <c r="C154" i="13"/>
  <c r="B154" i="13"/>
  <c r="H153" i="13"/>
  <c r="D153" i="13"/>
  <c r="C153" i="13"/>
  <c r="B153" i="13"/>
  <c r="H152" i="13"/>
  <c r="D152" i="13"/>
  <c r="C152" i="13"/>
  <c r="B152" i="13"/>
  <c r="H151" i="13"/>
  <c r="D151" i="13"/>
  <c r="C151" i="13"/>
  <c r="B151" i="13"/>
  <c r="H150" i="13"/>
  <c r="D150" i="13"/>
  <c r="C150" i="13"/>
  <c r="B150" i="13"/>
  <c r="H149" i="13"/>
  <c r="D149" i="13"/>
  <c r="C149" i="13"/>
  <c r="B149" i="13"/>
  <c r="H148" i="13"/>
  <c r="D148" i="13"/>
  <c r="C148" i="13"/>
  <c r="B148" i="13"/>
  <c r="H147" i="13"/>
  <c r="D147" i="13"/>
  <c r="C147" i="13"/>
  <c r="B147" i="13"/>
  <c r="H146" i="13"/>
  <c r="D146" i="13"/>
  <c r="C146" i="13"/>
  <c r="B146" i="13"/>
  <c r="H145" i="13"/>
  <c r="D145" i="13"/>
  <c r="C145" i="13"/>
  <c r="B145" i="13"/>
  <c r="H144" i="13"/>
  <c r="D144" i="13"/>
  <c r="C144" i="13"/>
  <c r="B144" i="13"/>
  <c r="H143" i="13"/>
  <c r="D143" i="13"/>
  <c r="C143" i="13"/>
  <c r="B143" i="13"/>
  <c r="H142" i="13"/>
  <c r="D142" i="13"/>
  <c r="C142" i="13"/>
  <c r="B142" i="13"/>
  <c r="H141" i="13"/>
  <c r="D141" i="13"/>
  <c r="C141" i="13"/>
  <c r="B141" i="13"/>
  <c r="H140" i="13"/>
  <c r="D140" i="13"/>
  <c r="C140" i="13"/>
  <c r="B140" i="13"/>
  <c r="H139" i="13"/>
  <c r="D139" i="13"/>
  <c r="C139" i="13"/>
  <c r="B139" i="13"/>
  <c r="H138" i="13"/>
  <c r="D138" i="13"/>
  <c r="C138" i="13"/>
  <c r="B138" i="13"/>
  <c r="H137" i="13"/>
  <c r="D137" i="13"/>
  <c r="C137" i="13"/>
  <c r="B137" i="13"/>
  <c r="H136" i="13"/>
  <c r="D136" i="13"/>
  <c r="C136" i="13"/>
  <c r="B136" i="13"/>
  <c r="H135" i="13"/>
  <c r="D135" i="13"/>
  <c r="C135" i="13"/>
  <c r="B135" i="13"/>
  <c r="H134" i="13"/>
  <c r="D134" i="13"/>
  <c r="C134" i="13"/>
  <c r="B134" i="13"/>
  <c r="H133" i="13"/>
  <c r="D133" i="13"/>
  <c r="C133" i="13"/>
  <c r="B133" i="13"/>
  <c r="H132" i="13"/>
  <c r="D132" i="13"/>
  <c r="C132" i="13"/>
  <c r="B132" i="13"/>
  <c r="H131" i="13"/>
  <c r="D131" i="13"/>
  <c r="C131" i="13"/>
  <c r="B131" i="13"/>
  <c r="H130" i="13"/>
  <c r="D130" i="13"/>
  <c r="C130" i="13"/>
  <c r="B130" i="13"/>
  <c r="H129" i="13"/>
  <c r="D129" i="13"/>
  <c r="C129" i="13"/>
  <c r="B129" i="13"/>
  <c r="H128" i="13"/>
  <c r="D128" i="13"/>
  <c r="C128" i="13"/>
  <c r="B128" i="13"/>
  <c r="H127" i="13"/>
  <c r="D127" i="13"/>
  <c r="C127" i="13"/>
  <c r="B127" i="13"/>
  <c r="H126" i="13"/>
  <c r="D126" i="13"/>
  <c r="C126" i="13"/>
  <c r="B126" i="13"/>
  <c r="H125" i="13"/>
  <c r="D125" i="13"/>
  <c r="C125" i="13"/>
  <c r="B125" i="13"/>
  <c r="H124" i="13"/>
  <c r="D124" i="13"/>
  <c r="C124" i="13"/>
  <c r="B124" i="13"/>
  <c r="H123" i="13"/>
  <c r="D123" i="13"/>
  <c r="C123" i="13"/>
  <c r="B123" i="13"/>
  <c r="H122" i="13"/>
  <c r="D122" i="13"/>
  <c r="C122" i="13"/>
  <c r="B122" i="13"/>
  <c r="H121" i="13"/>
  <c r="D121" i="13"/>
  <c r="C121" i="13"/>
  <c r="B121" i="13"/>
  <c r="H120" i="13"/>
  <c r="D120" i="13"/>
  <c r="C120" i="13"/>
  <c r="B120" i="13"/>
  <c r="H119" i="13"/>
  <c r="D119" i="13"/>
  <c r="C119" i="13"/>
  <c r="B119" i="13"/>
  <c r="H118" i="13"/>
  <c r="D118" i="13"/>
  <c r="C118" i="13"/>
  <c r="B118" i="13"/>
  <c r="H117" i="13"/>
  <c r="D117" i="13"/>
  <c r="C117" i="13"/>
  <c r="B117" i="13"/>
  <c r="H116" i="13"/>
  <c r="D116" i="13"/>
  <c r="C116" i="13"/>
  <c r="B116" i="13"/>
  <c r="H115" i="13"/>
  <c r="D115" i="13"/>
  <c r="C115" i="13"/>
  <c r="B115" i="13"/>
  <c r="H114" i="13"/>
  <c r="D114" i="13"/>
  <c r="C114" i="13"/>
  <c r="B114" i="13"/>
  <c r="H113" i="13"/>
  <c r="D113" i="13"/>
  <c r="C113" i="13"/>
  <c r="B113" i="13"/>
  <c r="H112" i="13"/>
  <c r="D112" i="13"/>
  <c r="C112" i="13"/>
  <c r="B112" i="13"/>
  <c r="H111" i="13"/>
  <c r="D111" i="13"/>
  <c r="C111" i="13"/>
  <c r="B111" i="13"/>
  <c r="H110" i="13"/>
  <c r="D110" i="13"/>
  <c r="C110" i="13"/>
  <c r="B110" i="13"/>
  <c r="H109" i="13"/>
  <c r="D109" i="13"/>
  <c r="C109" i="13"/>
  <c r="B109" i="13"/>
  <c r="H108" i="13"/>
  <c r="D108" i="13"/>
  <c r="C108" i="13"/>
  <c r="B108" i="13"/>
  <c r="H107" i="13"/>
  <c r="D107" i="13"/>
  <c r="C107" i="13"/>
  <c r="B107" i="13"/>
  <c r="H106" i="13"/>
  <c r="D106" i="13"/>
  <c r="C106" i="13"/>
  <c r="B106" i="13"/>
  <c r="H105" i="13"/>
  <c r="D105" i="13"/>
  <c r="C105" i="13"/>
  <c r="B105" i="13"/>
  <c r="H104" i="13"/>
  <c r="D104" i="13"/>
  <c r="C104" i="13"/>
  <c r="B104" i="13"/>
  <c r="H103" i="13"/>
  <c r="D103" i="13"/>
  <c r="C103" i="13"/>
  <c r="B103" i="13"/>
  <c r="H102" i="13"/>
  <c r="D102" i="13"/>
  <c r="C102" i="13"/>
  <c r="B102" i="13"/>
  <c r="H101" i="13"/>
  <c r="D101" i="13"/>
  <c r="C101" i="13"/>
  <c r="B101" i="13"/>
  <c r="H100" i="13"/>
  <c r="D100" i="13"/>
  <c r="C100" i="13"/>
  <c r="B100" i="13"/>
  <c r="H99" i="13"/>
  <c r="D99" i="13"/>
  <c r="C99" i="13"/>
  <c r="B99" i="13"/>
  <c r="H98" i="13"/>
  <c r="D98" i="13"/>
  <c r="C98" i="13"/>
  <c r="B98" i="13"/>
  <c r="H97" i="13"/>
  <c r="D97" i="13"/>
  <c r="C97" i="13"/>
  <c r="B97" i="13"/>
  <c r="H96" i="13"/>
  <c r="D96" i="13"/>
  <c r="C96" i="13"/>
  <c r="B96" i="13"/>
  <c r="H95" i="13"/>
  <c r="D95" i="13"/>
  <c r="C95" i="13"/>
  <c r="B95" i="13"/>
  <c r="H94" i="13"/>
  <c r="D94" i="13"/>
  <c r="C94" i="13"/>
  <c r="B94" i="13"/>
  <c r="H93" i="13"/>
  <c r="D93" i="13"/>
  <c r="C93" i="13"/>
  <c r="B93" i="13"/>
  <c r="H92" i="13"/>
  <c r="D92" i="13"/>
  <c r="C92" i="13"/>
  <c r="B92" i="13"/>
  <c r="H91" i="13"/>
  <c r="D91" i="13"/>
  <c r="C91" i="13"/>
  <c r="B91" i="13"/>
  <c r="H90" i="13"/>
  <c r="D90" i="13"/>
  <c r="C90" i="13"/>
  <c r="B90" i="13"/>
  <c r="H89" i="13"/>
  <c r="D89" i="13"/>
  <c r="C89" i="13"/>
  <c r="B89" i="13"/>
  <c r="H88" i="13"/>
  <c r="D88" i="13"/>
  <c r="C88" i="13"/>
  <c r="B88" i="13"/>
  <c r="H87" i="13"/>
  <c r="D87" i="13"/>
  <c r="C87" i="13"/>
  <c r="B87" i="13"/>
  <c r="H86" i="13"/>
  <c r="D86" i="13"/>
  <c r="C86" i="13"/>
  <c r="B86" i="13"/>
  <c r="H85" i="13"/>
  <c r="D85" i="13"/>
  <c r="C85" i="13"/>
  <c r="B85" i="13"/>
  <c r="H84" i="13"/>
  <c r="D84" i="13"/>
  <c r="C84" i="13"/>
  <c r="B84" i="13"/>
  <c r="H83" i="13"/>
  <c r="D83" i="13"/>
  <c r="C83" i="13"/>
  <c r="B83" i="13"/>
  <c r="H82" i="13"/>
  <c r="D82" i="13"/>
  <c r="C82" i="13"/>
  <c r="B82" i="13"/>
  <c r="H81" i="13"/>
  <c r="D81" i="13"/>
  <c r="C81" i="13"/>
  <c r="B81" i="13"/>
  <c r="H80" i="13"/>
  <c r="D80" i="13"/>
  <c r="C80" i="13"/>
  <c r="B80" i="13"/>
  <c r="H79" i="13"/>
  <c r="D79" i="13"/>
  <c r="C79" i="13"/>
  <c r="B79" i="13"/>
  <c r="H78" i="13"/>
  <c r="D78" i="13"/>
  <c r="C78" i="13"/>
  <c r="B78" i="13"/>
  <c r="H77" i="13"/>
  <c r="D77" i="13"/>
  <c r="C77" i="13"/>
  <c r="B77" i="13"/>
  <c r="H76" i="13"/>
  <c r="D76" i="13"/>
  <c r="C76" i="13"/>
  <c r="B76" i="13"/>
  <c r="H75" i="13"/>
  <c r="D75" i="13"/>
  <c r="C75" i="13"/>
  <c r="B75" i="13"/>
  <c r="H74" i="13"/>
  <c r="D74" i="13"/>
  <c r="C74" i="13"/>
  <c r="B74" i="13"/>
  <c r="H73" i="13"/>
  <c r="D73" i="13"/>
  <c r="C73" i="13"/>
  <c r="B73" i="13"/>
  <c r="H72" i="13"/>
  <c r="D72" i="13"/>
  <c r="C72" i="13"/>
  <c r="B72" i="13"/>
  <c r="H71" i="13"/>
  <c r="D71" i="13"/>
  <c r="C71" i="13"/>
  <c r="B71" i="13"/>
  <c r="H70" i="13"/>
  <c r="D70" i="13"/>
  <c r="C70" i="13"/>
  <c r="B70" i="13"/>
  <c r="H69" i="13"/>
  <c r="D69" i="13"/>
  <c r="C69" i="13"/>
  <c r="B69" i="13"/>
  <c r="H68" i="13"/>
  <c r="D68" i="13"/>
  <c r="C68" i="13"/>
  <c r="B68" i="13"/>
  <c r="H67" i="13"/>
  <c r="D67" i="13"/>
  <c r="C67" i="13"/>
  <c r="B67" i="13"/>
  <c r="H66" i="13"/>
  <c r="D66" i="13"/>
  <c r="C66" i="13"/>
  <c r="B66" i="13"/>
  <c r="H65" i="13"/>
  <c r="D65" i="13"/>
  <c r="C65" i="13"/>
  <c r="B65" i="13"/>
  <c r="H64" i="13"/>
  <c r="D64" i="13"/>
  <c r="C64" i="13"/>
  <c r="B64" i="13"/>
  <c r="H63" i="13"/>
  <c r="D63" i="13"/>
  <c r="C63" i="13"/>
  <c r="B63" i="13"/>
  <c r="H62" i="13"/>
  <c r="D62" i="13"/>
  <c r="C62" i="13"/>
  <c r="B62" i="13"/>
  <c r="H61" i="13"/>
  <c r="D61" i="13"/>
  <c r="C61" i="13"/>
  <c r="B61" i="13"/>
  <c r="H60" i="13"/>
  <c r="D60" i="13"/>
  <c r="C60" i="13"/>
  <c r="B60" i="13"/>
  <c r="H59" i="13"/>
  <c r="D59" i="13"/>
  <c r="C59" i="13"/>
  <c r="B59" i="13"/>
  <c r="H58" i="13"/>
  <c r="D58" i="13"/>
  <c r="C58" i="13"/>
  <c r="B58" i="13"/>
  <c r="H57" i="13"/>
  <c r="D57" i="13"/>
  <c r="C57" i="13"/>
  <c r="B57" i="13"/>
  <c r="H56" i="13"/>
  <c r="D56" i="13"/>
  <c r="C56" i="13"/>
  <c r="B56" i="13"/>
  <c r="H55" i="13"/>
  <c r="D55" i="13"/>
  <c r="C55" i="13"/>
  <c r="B55" i="13"/>
  <c r="H54" i="13"/>
  <c r="D54" i="13"/>
  <c r="C54" i="13"/>
  <c r="B54" i="13"/>
  <c r="H53" i="13"/>
  <c r="D53" i="13"/>
  <c r="C53" i="13"/>
  <c r="B53" i="13"/>
  <c r="H52" i="13"/>
  <c r="D52" i="13"/>
  <c r="C52" i="13"/>
  <c r="B52" i="13"/>
  <c r="H51" i="13"/>
  <c r="D51" i="13"/>
  <c r="C51" i="13"/>
  <c r="B51" i="13"/>
  <c r="H50" i="13"/>
  <c r="D50" i="13"/>
  <c r="C50" i="13"/>
  <c r="B50" i="13"/>
  <c r="H49" i="13"/>
  <c r="D49" i="13"/>
  <c r="C49" i="13"/>
  <c r="B49" i="13"/>
  <c r="H48" i="13"/>
  <c r="D48" i="13"/>
  <c r="C48" i="13"/>
  <c r="B48" i="13"/>
  <c r="H47" i="13"/>
  <c r="D47" i="13"/>
  <c r="C47" i="13"/>
  <c r="B47" i="13"/>
  <c r="H46" i="13"/>
  <c r="D46" i="13"/>
  <c r="C46" i="13"/>
  <c r="B46" i="13"/>
  <c r="H45" i="13"/>
  <c r="D45" i="13"/>
  <c r="C45" i="13"/>
  <c r="B45" i="13"/>
  <c r="H44" i="13"/>
  <c r="D44" i="13"/>
  <c r="C44" i="13"/>
  <c r="B44" i="13"/>
  <c r="H43" i="13"/>
  <c r="D43" i="13"/>
  <c r="C43" i="13"/>
  <c r="B43" i="13"/>
  <c r="H42" i="13"/>
  <c r="D42" i="13"/>
  <c r="C42" i="13"/>
  <c r="B42" i="13"/>
  <c r="H41" i="13"/>
  <c r="D41" i="13"/>
  <c r="C41" i="13"/>
  <c r="B41" i="13"/>
  <c r="H40" i="13"/>
  <c r="D40" i="13"/>
  <c r="C40" i="13"/>
  <c r="B40" i="13"/>
  <c r="H39" i="13"/>
  <c r="D39" i="13"/>
  <c r="C39" i="13"/>
  <c r="B39" i="13"/>
  <c r="H38" i="13"/>
  <c r="D38" i="13"/>
  <c r="C38" i="13"/>
  <c r="B38" i="13"/>
  <c r="H37" i="13"/>
  <c r="D37" i="13"/>
  <c r="C37" i="13"/>
  <c r="B37" i="13"/>
  <c r="H36" i="13"/>
  <c r="D36" i="13"/>
  <c r="C36" i="13"/>
  <c r="B36" i="13"/>
  <c r="H35" i="13"/>
  <c r="D35" i="13"/>
  <c r="C35" i="13"/>
  <c r="B35" i="13"/>
  <c r="H34" i="13"/>
  <c r="D34" i="13"/>
  <c r="C34" i="13"/>
  <c r="B34" i="13"/>
  <c r="H33" i="13"/>
  <c r="D33" i="13"/>
  <c r="C33" i="13"/>
  <c r="B33" i="13"/>
  <c r="H32" i="13"/>
  <c r="D32" i="13"/>
  <c r="C32" i="13"/>
  <c r="B32" i="13"/>
  <c r="H31" i="13"/>
  <c r="D31" i="13"/>
  <c r="C31" i="13"/>
  <c r="B31" i="13"/>
  <c r="H30" i="13"/>
  <c r="D30" i="13"/>
  <c r="C30" i="13"/>
  <c r="B30" i="13"/>
  <c r="H29" i="13"/>
  <c r="D29" i="13"/>
  <c r="C29" i="13"/>
  <c r="B29" i="13"/>
  <c r="H28" i="13"/>
  <c r="D28" i="13"/>
  <c r="C28" i="13"/>
  <c r="B28" i="13"/>
  <c r="H27" i="13"/>
  <c r="D27" i="13"/>
  <c r="C27" i="13"/>
  <c r="B27" i="13"/>
  <c r="H26" i="13"/>
  <c r="D26" i="13"/>
  <c r="C26" i="13"/>
  <c r="B26" i="13"/>
  <c r="H25" i="13"/>
  <c r="D25" i="13"/>
  <c r="C25" i="13"/>
  <c r="B25" i="13"/>
  <c r="H24" i="13"/>
  <c r="D24" i="13"/>
  <c r="C24" i="13"/>
  <c r="B24" i="13"/>
  <c r="H23" i="13"/>
  <c r="D23" i="13"/>
  <c r="C23" i="13"/>
  <c r="B23" i="13"/>
  <c r="H22" i="13"/>
  <c r="D22" i="13"/>
  <c r="C22" i="13"/>
  <c r="B22" i="13"/>
  <c r="H21" i="13"/>
  <c r="D21" i="13"/>
  <c r="C21" i="13"/>
  <c r="B21" i="13"/>
  <c r="H20" i="13"/>
  <c r="D20" i="13"/>
  <c r="C20" i="13"/>
  <c r="B20" i="13"/>
  <c r="H19" i="13"/>
  <c r="D19" i="13"/>
  <c r="C19" i="13"/>
  <c r="B19" i="13"/>
  <c r="H18" i="13"/>
  <c r="D18" i="13"/>
  <c r="C18" i="13"/>
  <c r="B18" i="13"/>
  <c r="H17" i="13"/>
  <c r="D17" i="13"/>
  <c r="C17" i="13"/>
  <c r="B17" i="13"/>
  <c r="H16" i="13"/>
  <c r="D16" i="13"/>
  <c r="C16" i="13"/>
  <c r="B16" i="13"/>
  <c r="H15" i="13"/>
  <c r="D15" i="13"/>
  <c r="C15" i="13"/>
  <c r="B15" i="13"/>
  <c r="H14" i="13"/>
  <c r="D14" i="13"/>
  <c r="C14" i="13"/>
  <c r="B14" i="13"/>
  <c r="H13" i="13"/>
  <c r="D13" i="13"/>
  <c r="C13" i="13"/>
  <c r="B13" i="13"/>
  <c r="H12" i="13"/>
  <c r="D12" i="13"/>
  <c r="C12" i="13"/>
  <c r="B12" i="13"/>
  <c r="H11" i="13"/>
  <c r="D11" i="13"/>
  <c r="C11" i="13"/>
  <c r="B11" i="13"/>
  <c r="H10" i="13"/>
  <c r="D10" i="13"/>
  <c r="C10" i="13"/>
  <c r="B10" i="13"/>
  <c r="H9" i="13"/>
  <c r="D9" i="13"/>
  <c r="C9" i="13"/>
  <c r="B9" i="13"/>
  <c r="H8" i="13"/>
  <c r="D8" i="13"/>
  <c r="C8" i="13"/>
  <c r="B8" i="13"/>
  <c r="H7" i="13"/>
  <c r="D7" i="13"/>
  <c r="C7" i="13"/>
  <c r="B7" i="13"/>
  <c r="H6" i="13"/>
  <c r="D6" i="13"/>
  <c r="C6" i="13"/>
  <c r="B6" i="13"/>
  <c r="H5" i="13"/>
  <c r="D5" i="13"/>
  <c r="C5" i="13"/>
  <c r="B5" i="13"/>
  <c r="H4" i="13"/>
  <c r="D4" i="13"/>
  <c r="C4" i="13"/>
  <c r="B4" i="13"/>
  <c r="H3" i="13"/>
  <c r="D3" i="13"/>
  <c r="C3" i="13"/>
  <c r="B3" i="13"/>
  <c r="H2" i="13"/>
  <c r="D2" i="13"/>
  <c r="C2" i="13"/>
  <c r="B2" i="13"/>
  <c r="B80" i="12"/>
  <c r="C80" i="12"/>
  <c r="D80" i="12"/>
  <c r="B81" i="12"/>
  <c r="C81" i="12"/>
  <c r="D81" i="12"/>
  <c r="B82" i="12"/>
  <c r="C82" i="12"/>
  <c r="D82" i="12"/>
  <c r="B83" i="12"/>
  <c r="C83" i="12"/>
  <c r="D83" i="12"/>
  <c r="B84" i="12"/>
  <c r="C84" i="12"/>
  <c r="D84" i="12"/>
  <c r="B85" i="12"/>
  <c r="C85" i="12"/>
  <c r="D85" i="12"/>
  <c r="B86" i="12"/>
  <c r="C86" i="12"/>
  <c r="D86" i="12"/>
  <c r="B87" i="12"/>
  <c r="C87" i="12"/>
  <c r="D87" i="12"/>
  <c r="B88" i="12"/>
  <c r="C88" i="12"/>
  <c r="D88" i="12"/>
  <c r="B89" i="12"/>
  <c r="C89" i="12"/>
  <c r="D89" i="12"/>
  <c r="B90" i="12"/>
  <c r="C90" i="12"/>
  <c r="D90" i="12"/>
  <c r="B91" i="12"/>
  <c r="C91" i="12"/>
  <c r="D91" i="12"/>
  <c r="B92" i="12"/>
  <c r="C92" i="12"/>
  <c r="D92" i="12"/>
  <c r="B93" i="12"/>
  <c r="C93" i="12"/>
  <c r="D93" i="12"/>
  <c r="B94" i="12"/>
  <c r="C94" i="12"/>
  <c r="D94" i="12"/>
  <c r="B95" i="12"/>
  <c r="C95" i="12"/>
  <c r="D95" i="12"/>
  <c r="B96" i="12"/>
  <c r="C96" i="12"/>
  <c r="D96" i="12"/>
  <c r="B97" i="12"/>
  <c r="C97" i="12"/>
  <c r="D97" i="12"/>
  <c r="B98" i="12"/>
  <c r="C98" i="12"/>
  <c r="D98" i="12"/>
  <c r="B99" i="12"/>
  <c r="C99" i="12"/>
  <c r="D99" i="12"/>
  <c r="B100" i="12"/>
  <c r="C100" i="12"/>
  <c r="D100" i="12"/>
  <c r="B101" i="12"/>
  <c r="C101" i="12"/>
  <c r="D101" i="12"/>
  <c r="B102" i="12"/>
  <c r="C102" i="12"/>
  <c r="D102" i="12"/>
  <c r="B103" i="12"/>
  <c r="C103" i="12"/>
  <c r="D103" i="12"/>
  <c r="B104" i="12"/>
  <c r="C104" i="12"/>
  <c r="D104" i="12"/>
  <c r="B105" i="12"/>
  <c r="C105" i="12"/>
  <c r="D105" i="12"/>
  <c r="B106" i="12"/>
  <c r="C106" i="12"/>
  <c r="D106" i="12"/>
  <c r="B107" i="12"/>
  <c r="C107" i="12"/>
  <c r="D107" i="12"/>
  <c r="B108" i="12"/>
  <c r="C108" i="12"/>
  <c r="D108" i="12"/>
  <c r="B109" i="12"/>
  <c r="C109" i="12"/>
  <c r="D109" i="12"/>
  <c r="B110" i="12"/>
  <c r="C110" i="12"/>
  <c r="D110" i="12"/>
  <c r="B111" i="12"/>
  <c r="C111" i="12"/>
  <c r="D111" i="12"/>
  <c r="B112" i="12"/>
  <c r="C112" i="12"/>
  <c r="D112" i="12"/>
  <c r="B113" i="12"/>
  <c r="C113" i="12"/>
  <c r="D113" i="12"/>
  <c r="B114" i="12"/>
  <c r="C114" i="12"/>
  <c r="D114" i="12"/>
  <c r="B115" i="12"/>
  <c r="C115" i="12"/>
  <c r="D115" i="12"/>
  <c r="B116" i="12"/>
  <c r="C116" i="12"/>
  <c r="D116" i="12"/>
  <c r="B117" i="12"/>
  <c r="C117" i="12"/>
  <c r="D117" i="12"/>
  <c r="B118" i="12"/>
  <c r="C118" i="12"/>
  <c r="D118" i="12"/>
  <c r="B119" i="12"/>
  <c r="C119" i="12"/>
  <c r="D119" i="12"/>
  <c r="B120" i="12"/>
  <c r="C120" i="12"/>
  <c r="D120" i="12"/>
  <c r="B121" i="12"/>
  <c r="C121" i="12"/>
  <c r="D121" i="12"/>
  <c r="B122" i="12"/>
  <c r="C122" i="12"/>
  <c r="D122" i="12"/>
  <c r="B123" i="12"/>
  <c r="C123" i="12"/>
  <c r="D123" i="12"/>
  <c r="B124" i="12"/>
  <c r="C124" i="12"/>
  <c r="D124" i="12"/>
  <c r="B125" i="12"/>
  <c r="C125" i="12"/>
  <c r="D125" i="12"/>
  <c r="B126" i="12"/>
  <c r="C126" i="12"/>
  <c r="D126" i="12"/>
  <c r="B127" i="12"/>
  <c r="C127" i="12"/>
  <c r="D127" i="12"/>
  <c r="B128" i="12"/>
  <c r="C128" i="12"/>
  <c r="D128" i="12"/>
  <c r="B129" i="12"/>
  <c r="C129" i="12"/>
  <c r="D129" i="12"/>
  <c r="B130" i="12"/>
  <c r="C130" i="12"/>
  <c r="D130" i="12"/>
  <c r="B131" i="12"/>
  <c r="C131" i="12"/>
  <c r="D131" i="12"/>
  <c r="B132" i="12"/>
  <c r="C132" i="12"/>
  <c r="D132" i="12"/>
  <c r="B133" i="12"/>
  <c r="C133" i="12"/>
  <c r="D133" i="12"/>
  <c r="B134" i="12"/>
  <c r="C134" i="12"/>
  <c r="D134" i="12"/>
  <c r="B135" i="12"/>
  <c r="C135" i="12"/>
  <c r="D135" i="12"/>
  <c r="B136" i="12"/>
  <c r="C136" i="12"/>
  <c r="D136" i="12"/>
  <c r="B137" i="12"/>
  <c r="C137" i="12"/>
  <c r="D137" i="12"/>
  <c r="B138" i="12"/>
  <c r="C138" i="12"/>
  <c r="D138" i="12"/>
  <c r="B139" i="12"/>
  <c r="C139" i="12"/>
  <c r="D139" i="12"/>
  <c r="B140" i="12"/>
  <c r="C140" i="12"/>
  <c r="D140" i="12"/>
  <c r="B141" i="12"/>
  <c r="C141" i="12"/>
  <c r="D141" i="12"/>
  <c r="B142" i="12"/>
  <c r="C142" i="12"/>
  <c r="D142" i="12"/>
  <c r="B143" i="12"/>
  <c r="C143" i="12"/>
  <c r="D143" i="12"/>
  <c r="B144" i="12"/>
  <c r="C144" i="12"/>
  <c r="D144" i="12"/>
  <c r="B145" i="12"/>
  <c r="C145" i="12"/>
  <c r="D145" i="12"/>
  <c r="B146" i="12"/>
  <c r="C146" i="12"/>
  <c r="D146" i="12"/>
  <c r="B147" i="12"/>
  <c r="C147" i="12"/>
  <c r="D147" i="12"/>
  <c r="B148" i="12"/>
  <c r="C148" i="12"/>
  <c r="D148" i="12"/>
  <c r="B149" i="12"/>
  <c r="C149" i="12"/>
  <c r="D149" i="12"/>
  <c r="B150" i="12"/>
  <c r="C150" i="12"/>
  <c r="D150" i="12"/>
  <c r="B151" i="12"/>
  <c r="C151" i="12"/>
  <c r="D151" i="12"/>
  <c r="B152" i="12"/>
  <c r="C152" i="12"/>
  <c r="D152" i="12"/>
  <c r="B153" i="12"/>
  <c r="C153" i="12"/>
  <c r="D153" i="12"/>
  <c r="B154" i="12"/>
  <c r="C154" i="12"/>
  <c r="D154" i="12"/>
  <c r="B155" i="12"/>
  <c r="C155" i="12"/>
  <c r="D155" i="12"/>
  <c r="B156" i="12"/>
  <c r="C156" i="12"/>
  <c r="D156" i="12"/>
  <c r="B157" i="12"/>
  <c r="C157" i="12"/>
  <c r="D157" i="12"/>
  <c r="B158" i="12"/>
  <c r="C158" i="12"/>
  <c r="D158" i="12"/>
  <c r="B159" i="12"/>
  <c r="C159" i="12"/>
  <c r="D159" i="12"/>
  <c r="B160" i="12"/>
  <c r="C160" i="12"/>
  <c r="D160" i="12"/>
  <c r="B161" i="12"/>
  <c r="C161" i="12"/>
  <c r="D161" i="12"/>
  <c r="B162" i="12"/>
  <c r="C162" i="12"/>
  <c r="D162" i="12"/>
  <c r="B163" i="12"/>
  <c r="C163" i="12"/>
  <c r="D163" i="12"/>
  <c r="B164" i="12"/>
  <c r="C164" i="12"/>
  <c r="D164" i="12"/>
  <c r="B165" i="12"/>
  <c r="C165" i="12"/>
  <c r="D165" i="12"/>
  <c r="B166" i="12"/>
  <c r="C166" i="12"/>
  <c r="D166" i="12"/>
  <c r="B167" i="12"/>
  <c r="C167" i="12"/>
  <c r="D167" i="12"/>
  <c r="B168" i="12"/>
  <c r="C168" i="12"/>
  <c r="D168" i="12"/>
  <c r="B169" i="12"/>
  <c r="C169" i="12"/>
  <c r="D169" i="12"/>
  <c r="B170" i="12"/>
  <c r="C170" i="12"/>
  <c r="D170" i="12"/>
  <c r="B171" i="12"/>
  <c r="C171" i="12"/>
  <c r="D171" i="12"/>
  <c r="B172" i="12"/>
  <c r="C172" i="12"/>
  <c r="D172" i="12"/>
  <c r="B173" i="12"/>
  <c r="C173" i="12"/>
  <c r="D173" i="12"/>
  <c r="B174" i="12"/>
  <c r="C174" i="12"/>
  <c r="D174" i="12"/>
  <c r="B175" i="12"/>
  <c r="C175" i="12"/>
  <c r="D175" i="12"/>
  <c r="B176" i="12"/>
  <c r="C176" i="12"/>
  <c r="D176" i="12"/>
  <c r="B177" i="12"/>
  <c r="C177" i="12"/>
  <c r="D177" i="12"/>
  <c r="B178" i="12"/>
  <c r="C178" i="12"/>
  <c r="D178" i="12"/>
  <c r="B179" i="12"/>
  <c r="C179" i="12"/>
  <c r="D179" i="12"/>
  <c r="B180" i="12"/>
  <c r="C180" i="12"/>
  <c r="D180" i="12"/>
  <c r="B181" i="12"/>
  <c r="C181" i="12"/>
  <c r="D181" i="12"/>
  <c r="B182" i="12"/>
  <c r="C182" i="12"/>
  <c r="D182" i="12"/>
  <c r="B183" i="12"/>
  <c r="C183" i="12"/>
  <c r="D183" i="12"/>
  <c r="B184" i="12"/>
  <c r="C184" i="12"/>
  <c r="D184" i="12"/>
  <c r="B185" i="12"/>
  <c r="C185" i="12"/>
  <c r="D185" i="12"/>
  <c r="B186" i="12"/>
  <c r="C186" i="12"/>
  <c r="D186" i="12"/>
  <c r="B187" i="12"/>
  <c r="C187" i="12"/>
  <c r="D187" i="12"/>
  <c r="B188" i="12"/>
  <c r="C188" i="12"/>
  <c r="D188" i="12"/>
  <c r="B189" i="12"/>
  <c r="C189" i="12"/>
  <c r="D189" i="12"/>
  <c r="B190" i="12"/>
  <c r="C190" i="12"/>
  <c r="D190" i="12"/>
  <c r="B191" i="12"/>
  <c r="C191" i="12"/>
  <c r="D191" i="12"/>
  <c r="B192" i="12"/>
  <c r="C192" i="12"/>
  <c r="D192" i="12"/>
  <c r="B193" i="12"/>
  <c r="C193" i="12"/>
  <c r="D193" i="12"/>
  <c r="B194" i="12"/>
  <c r="C194" i="12"/>
  <c r="D194" i="12"/>
  <c r="B195" i="12"/>
  <c r="C195" i="12"/>
  <c r="D195" i="12"/>
  <c r="B196" i="12"/>
  <c r="C196" i="12"/>
  <c r="D196" i="12"/>
  <c r="B197" i="12"/>
  <c r="C197" i="12"/>
  <c r="D197" i="12"/>
  <c r="B198" i="12"/>
  <c r="C198" i="12"/>
  <c r="D198" i="12"/>
  <c r="B199" i="12"/>
  <c r="C199" i="12"/>
  <c r="D199" i="12"/>
  <c r="B200" i="12"/>
  <c r="C200" i="12"/>
  <c r="D200" i="12"/>
  <c r="B201" i="12"/>
  <c r="C201" i="12"/>
  <c r="D201" i="12"/>
  <c r="B202" i="12"/>
  <c r="C202" i="12"/>
  <c r="D202" i="12"/>
  <c r="B203" i="12"/>
  <c r="C203" i="12"/>
  <c r="D203" i="12"/>
  <c r="B204" i="12"/>
  <c r="C204" i="12"/>
  <c r="D204" i="12"/>
  <c r="B205" i="12"/>
  <c r="C205" i="12"/>
  <c r="D205" i="12"/>
  <c r="B206" i="12"/>
  <c r="C206" i="12"/>
  <c r="D206" i="12"/>
  <c r="B207" i="12"/>
  <c r="C207" i="12"/>
  <c r="D207" i="12"/>
  <c r="B208" i="12"/>
  <c r="C208" i="12"/>
  <c r="D208" i="12"/>
  <c r="B209" i="12"/>
  <c r="C209" i="12"/>
  <c r="D209" i="12"/>
  <c r="B210" i="12"/>
  <c r="C210" i="12"/>
  <c r="D210" i="12"/>
  <c r="B211" i="12"/>
  <c r="C211" i="12"/>
  <c r="D211" i="12"/>
  <c r="B212" i="12"/>
  <c r="C212" i="12"/>
  <c r="D212" i="12"/>
  <c r="B213" i="12"/>
  <c r="C213" i="12"/>
  <c r="D213" i="12"/>
  <c r="B214" i="12"/>
  <c r="C214" i="12"/>
  <c r="D214" i="12"/>
  <c r="B215" i="12"/>
  <c r="C215" i="12"/>
  <c r="D215" i="12"/>
  <c r="B216" i="12"/>
  <c r="C216" i="12"/>
  <c r="D216" i="12"/>
  <c r="B217" i="12"/>
  <c r="C217" i="12"/>
  <c r="D217" i="12"/>
  <c r="B218" i="12"/>
  <c r="C218" i="12"/>
  <c r="D218" i="12"/>
  <c r="B219" i="12"/>
  <c r="C219" i="12"/>
  <c r="D219" i="12"/>
  <c r="B220" i="12"/>
  <c r="C220" i="12"/>
  <c r="D220" i="12"/>
  <c r="B221" i="12"/>
  <c r="C221" i="12"/>
  <c r="D221" i="12"/>
  <c r="B222" i="12"/>
  <c r="C222" i="12"/>
  <c r="D222" i="12"/>
  <c r="B223" i="12"/>
  <c r="C223" i="12"/>
  <c r="D223" i="12"/>
  <c r="B224" i="12"/>
  <c r="C224" i="12"/>
  <c r="D224" i="12"/>
  <c r="B225" i="12"/>
  <c r="C225" i="12"/>
  <c r="D225" i="12"/>
  <c r="B226" i="12"/>
  <c r="C226" i="12"/>
  <c r="D226" i="12"/>
  <c r="B227" i="12"/>
  <c r="C227" i="12"/>
  <c r="D227" i="12"/>
  <c r="B228" i="12"/>
  <c r="C228" i="12"/>
  <c r="D228" i="12"/>
  <c r="B229" i="12"/>
  <c r="C229" i="12"/>
  <c r="D229" i="12"/>
  <c r="B230" i="12"/>
  <c r="C230" i="12"/>
  <c r="D230" i="12"/>
  <c r="B231" i="12"/>
  <c r="C231" i="12"/>
  <c r="D231" i="12"/>
  <c r="B232" i="12"/>
  <c r="C232" i="12"/>
  <c r="D232" i="12"/>
  <c r="B233" i="12"/>
  <c r="C233" i="12"/>
  <c r="D233" i="12"/>
  <c r="B234" i="12"/>
  <c r="C234" i="12"/>
  <c r="D234" i="12"/>
  <c r="B235" i="12"/>
  <c r="C235" i="12"/>
  <c r="D235" i="12"/>
  <c r="B236" i="12"/>
  <c r="C236" i="12"/>
  <c r="D236" i="12"/>
  <c r="B237" i="12"/>
  <c r="C237" i="12"/>
  <c r="D237" i="12"/>
  <c r="B238" i="12"/>
  <c r="C238" i="12"/>
  <c r="D238" i="12"/>
  <c r="B239" i="12"/>
  <c r="C239" i="12"/>
  <c r="D239" i="12"/>
  <c r="B240" i="12"/>
  <c r="C240" i="12"/>
  <c r="D240" i="12"/>
  <c r="B241" i="12"/>
  <c r="C241" i="12"/>
  <c r="D241" i="12"/>
  <c r="B242" i="12"/>
  <c r="C242" i="12"/>
  <c r="D242" i="12"/>
  <c r="B243" i="12"/>
  <c r="C243" i="12"/>
  <c r="D243" i="12"/>
  <c r="B244" i="12"/>
  <c r="C244" i="12"/>
  <c r="D244" i="12"/>
  <c r="B245" i="12"/>
  <c r="C245" i="12"/>
  <c r="D245" i="12"/>
  <c r="B246" i="12"/>
  <c r="C246" i="12"/>
  <c r="D246" i="12"/>
  <c r="B247" i="12"/>
  <c r="C247" i="12"/>
  <c r="D247" i="12"/>
  <c r="B248" i="12"/>
  <c r="C248" i="12"/>
  <c r="D248" i="12"/>
  <c r="B249" i="12"/>
  <c r="C249" i="12"/>
  <c r="D249" i="12"/>
  <c r="B250" i="12"/>
  <c r="C250" i="12"/>
  <c r="D250" i="12"/>
  <c r="B251" i="12"/>
  <c r="C251" i="12"/>
  <c r="D251" i="12"/>
  <c r="B252" i="12"/>
  <c r="C252" i="12"/>
  <c r="D252" i="12"/>
  <c r="B253" i="12"/>
  <c r="C253" i="12"/>
  <c r="D253" i="12"/>
  <c r="B254" i="12"/>
  <c r="C254" i="12"/>
  <c r="D254" i="12"/>
  <c r="B255" i="12"/>
  <c r="C255" i="12"/>
  <c r="D255" i="12"/>
  <c r="B256" i="12"/>
  <c r="C256" i="12"/>
  <c r="D256" i="12"/>
  <c r="B257" i="12"/>
  <c r="C257" i="12"/>
  <c r="D257" i="12"/>
  <c r="B258" i="12"/>
  <c r="C258" i="12"/>
  <c r="D258" i="12"/>
  <c r="B259" i="12"/>
  <c r="C259" i="12"/>
  <c r="D259" i="12"/>
  <c r="B260" i="12"/>
  <c r="C260" i="12"/>
  <c r="D260" i="12"/>
  <c r="B261" i="12"/>
  <c r="C261" i="12"/>
  <c r="D261" i="12"/>
  <c r="B262" i="12"/>
  <c r="C262" i="12"/>
  <c r="D262" i="12"/>
  <c r="B263" i="12"/>
  <c r="C263" i="12"/>
  <c r="D263" i="12"/>
  <c r="B264" i="12"/>
  <c r="C264" i="12"/>
  <c r="D264" i="12"/>
  <c r="B265" i="12"/>
  <c r="C265" i="12"/>
  <c r="D265" i="12"/>
  <c r="B266" i="12"/>
  <c r="C266" i="12"/>
  <c r="D266" i="12"/>
  <c r="B267" i="12"/>
  <c r="C267" i="12"/>
  <c r="D267" i="12"/>
  <c r="B268" i="12"/>
  <c r="C268" i="12"/>
  <c r="D268" i="12"/>
  <c r="B269" i="12"/>
  <c r="C269" i="12"/>
  <c r="D269" i="12"/>
  <c r="B270" i="12"/>
  <c r="C270" i="12"/>
  <c r="D270" i="12"/>
  <c r="B271" i="12"/>
  <c r="C271" i="12"/>
  <c r="D271" i="12"/>
  <c r="B272" i="12"/>
  <c r="C272" i="12"/>
  <c r="D272" i="12"/>
  <c r="B273" i="12"/>
  <c r="C273" i="12"/>
  <c r="D273" i="12"/>
  <c r="B274" i="12"/>
  <c r="C274" i="12"/>
  <c r="D274" i="12"/>
  <c r="B275" i="12"/>
  <c r="C275" i="12"/>
  <c r="D275" i="12"/>
  <c r="B276" i="12"/>
  <c r="C276" i="12"/>
  <c r="D276" i="12"/>
  <c r="B277" i="12"/>
  <c r="C277" i="12"/>
  <c r="D277" i="12"/>
  <c r="B278" i="12"/>
  <c r="C278" i="12"/>
  <c r="D278" i="12"/>
  <c r="B279" i="12"/>
  <c r="C279" i="12"/>
  <c r="D279" i="12"/>
  <c r="B280" i="12"/>
  <c r="C280" i="12"/>
  <c r="D280" i="12"/>
  <c r="B281" i="12"/>
  <c r="C281" i="12"/>
  <c r="D281" i="12"/>
  <c r="B282" i="12"/>
  <c r="C282" i="12"/>
  <c r="D282" i="12"/>
  <c r="B283" i="12"/>
  <c r="C283" i="12"/>
  <c r="D283" i="12"/>
  <c r="B284" i="12"/>
  <c r="C284" i="12"/>
  <c r="D284" i="12"/>
  <c r="B285" i="12"/>
  <c r="C285" i="12"/>
  <c r="D285" i="12"/>
  <c r="B286" i="12"/>
  <c r="C286" i="12"/>
  <c r="D286" i="12"/>
  <c r="B287" i="12"/>
  <c r="C287" i="12"/>
  <c r="D287" i="12"/>
  <c r="B288" i="12"/>
  <c r="C288" i="12"/>
  <c r="D288" i="12"/>
  <c r="B289" i="12"/>
  <c r="C289" i="12"/>
  <c r="D289" i="12"/>
  <c r="B290" i="12"/>
  <c r="C290" i="12"/>
  <c r="D290" i="12"/>
  <c r="B291" i="12"/>
  <c r="C291" i="12"/>
  <c r="D291" i="12"/>
  <c r="B292" i="12"/>
  <c r="C292" i="12"/>
  <c r="D292" i="12"/>
  <c r="B293" i="12"/>
  <c r="C293" i="12"/>
  <c r="D293" i="12"/>
  <c r="B294" i="12"/>
  <c r="C294" i="12"/>
  <c r="D294" i="12"/>
  <c r="B295" i="12"/>
  <c r="C295" i="12"/>
  <c r="D295" i="12"/>
  <c r="B296" i="12"/>
  <c r="C296" i="12"/>
  <c r="D296" i="12"/>
  <c r="B297" i="12"/>
  <c r="C297" i="12"/>
  <c r="D297" i="12"/>
  <c r="B298" i="12"/>
  <c r="C298" i="12"/>
  <c r="D298" i="12"/>
  <c r="B299" i="12"/>
  <c r="C299" i="12"/>
  <c r="D299" i="12"/>
  <c r="B300" i="12"/>
  <c r="C300" i="12"/>
  <c r="D300" i="12"/>
  <c r="B301" i="12"/>
  <c r="C301" i="12"/>
  <c r="D301" i="12"/>
  <c r="B302" i="12"/>
  <c r="C302" i="12"/>
  <c r="D302" i="12"/>
  <c r="B303" i="12"/>
  <c r="C303" i="12"/>
  <c r="D303" i="12"/>
  <c r="B304" i="12"/>
  <c r="C304" i="12"/>
  <c r="D304" i="12"/>
  <c r="B305" i="12"/>
  <c r="C305" i="12"/>
  <c r="D305" i="12"/>
  <c r="B306" i="12"/>
  <c r="C306" i="12"/>
  <c r="D306" i="12"/>
  <c r="B307" i="12"/>
  <c r="C307" i="12"/>
  <c r="D307" i="12"/>
  <c r="B308" i="12"/>
  <c r="C308" i="12"/>
  <c r="D308" i="12"/>
  <c r="B309" i="12"/>
  <c r="C309" i="12"/>
  <c r="D309" i="12"/>
  <c r="B310" i="12"/>
  <c r="C310" i="12"/>
  <c r="D310" i="12"/>
  <c r="B311" i="12"/>
  <c r="C311" i="12"/>
  <c r="D311" i="12"/>
  <c r="B312" i="12"/>
  <c r="C312" i="12"/>
  <c r="D312" i="12"/>
  <c r="B313" i="12"/>
  <c r="C313" i="12"/>
  <c r="D313" i="12"/>
  <c r="B314" i="12"/>
  <c r="C314" i="12"/>
  <c r="D314" i="12"/>
  <c r="B315" i="12"/>
  <c r="C315" i="12"/>
  <c r="D315" i="12"/>
  <c r="B316" i="12"/>
  <c r="C316" i="12"/>
  <c r="D316" i="12"/>
  <c r="B317" i="12"/>
  <c r="C317" i="12"/>
  <c r="D317" i="12"/>
  <c r="B318" i="12"/>
  <c r="C318" i="12"/>
  <c r="D318" i="12"/>
  <c r="B319" i="12"/>
  <c r="C319" i="12"/>
  <c r="D319" i="12"/>
  <c r="B320" i="12"/>
  <c r="C320" i="12"/>
  <c r="D320" i="12"/>
  <c r="B321" i="12"/>
  <c r="C321" i="12"/>
  <c r="D321" i="12"/>
  <c r="B322" i="12"/>
  <c r="C322" i="12"/>
  <c r="D322" i="12"/>
  <c r="B323" i="12"/>
  <c r="C323" i="12"/>
  <c r="D323" i="12"/>
  <c r="B324" i="12"/>
  <c r="C324" i="12"/>
  <c r="D324" i="12"/>
  <c r="B325" i="12"/>
  <c r="C325" i="12"/>
  <c r="D325" i="12"/>
  <c r="B326" i="12"/>
  <c r="C326" i="12"/>
  <c r="D326" i="12"/>
  <c r="B327" i="12"/>
  <c r="C327" i="12"/>
  <c r="D327" i="12"/>
  <c r="B328" i="12"/>
  <c r="C328" i="12"/>
  <c r="D328" i="12"/>
  <c r="B329" i="12"/>
  <c r="C329" i="12"/>
  <c r="D329" i="12"/>
  <c r="B330" i="12"/>
  <c r="C330" i="12"/>
  <c r="D330" i="12"/>
  <c r="B331" i="12"/>
  <c r="C331" i="12"/>
  <c r="D331" i="12"/>
  <c r="B332" i="12"/>
  <c r="C332" i="12"/>
  <c r="D332" i="12"/>
  <c r="B333" i="12"/>
  <c r="C333" i="12"/>
  <c r="D333" i="12"/>
  <c r="B334" i="12"/>
  <c r="C334" i="12"/>
  <c r="D334" i="12"/>
  <c r="B335" i="12"/>
  <c r="C335" i="12"/>
  <c r="D335" i="12"/>
  <c r="B336" i="12"/>
  <c r="C336" i="12"/>
  <c r="D336" i="12"/>
  <c r="B337" i="12"/>
  <c r="C337" i="12"/>
  <c r="D337" i="12"/>
  <c r="B338" i="12"/>
  <c r="C338" i="12"/>
  <c r="D338" i="12"/>
  <c r="B339" i="12"/>
  <c r="C339" i="12"/>
  <c r="D339" i="12"/>
  <c r="B340" i="12"/>
  <c r="C340" i="12"/>
  <c r="D340" i="12"/>
  <c r="B341" i="12"/>
  <c r="C341" i="12"/>
  <c r="D341" i="12"/>
  <c r="B342" i="12"/>
  <c r="C342" i="12"/>
  <c r="D342" i="12"/>
  <c r="B343" i="12"/>
  <c r="C343" i="12"/>
  <c r="D343" i="12"/>
  <c r="B344" i="12"/>
  <c r="C344" i="12"/>
  <c r="D344" i="12"/>
  <c r="B345" i="12"/>
  <c r="C345" i="12"/>
  <c r="D345" i="12"/>
  <c r="B346" i="12"/>
  <c r="C346" i="12"/>
  <c r="D346" i="12"/>
  <c r="B347" i="12"/>
  <c r="C347" i="12"/>
  <c r="D347" i="12"/>
  <c r="B348" i="12"/>
  <c r="C348" i="12"/>
  <c r="D348" i="12"/>
  <c r="B349" i="12"/>
  <c r="C349" i="12"/>
  <c r="D349" i="12"/>
  <c r="B350" i="12"/>
  <c r="C350" i="12"/>
  <c r="D350" i="12"/>
  <c r="B351" i="12"/>
  <c r="C351" i="12"/>
  <c r="D351" i="12"/>
  <c r="B352" i="12"/>
  <c r="C352" i="12"/>
  <c r="D352" i="12"/>
  <c r="B353" i="12"/>
  <c r="C353" i="12"/>
  <c r="D353" i="12"/>
  <c r="B354" i="12"/>
  <c r="C354" i="12"/>
  <c r="D354" i="12"/>
  <c r="B355" i="12"/>
  <c r="C355" i="12"/>
  <c r="D355" i="12"/>
  <c r="B356" i="12"/>
  <c r="C356" i="12"/>
  <c r="D356" i="12"/>
  <c r="B357" i="12"/>
  <c r="C357" i="12"/>
  <c r="D357" i="12"/>
  <c r="B358" i="12"/>
  <c r="C358" i="12"/>
  <c r="D358" i="12"/>
  <c r="B359" i="12"/>
  <c r="C359" i="12"/>
  <c r="D359" i="12"/>
  <c r="B360" i="12"/>
  <c r="C360" i="12"/>
  <c r="D360" i="12"/>
  <c r="B361" i="12"/>
  <c r="C361" i="12"/>
  <c r="D361" i="12"/>
  <c r="B362" i="12"/>
  <c r="C362" i="12"/>
  <c r="D362" i="12"/>
  <c r="B363" i="12"/>
  <c r="C363" i="12"/>
  <c r="D363" i="12"/>
  <c r="B364" i="12"/>
  <c r="C364" i="12"/>
  <c r="D364" i="12"/>
  <c r="B365" i="12"/>
  <c r="C365" i="12"/>
  <c r="D365" i="12"/>
  <c r="B366" i="12"/>
  <c r="C366" i="12"/>
  <c r="D366" i="12"/>
  <c r="B367" i="12"/>
  <c r="C367" i="12"/>
  <c r="D367" i="12"/>
  <c r="B368" i="12"/>
  <c r="C368" i="12"/>
  <c r="D368" i="12"/>
  <c r="B369" i="12"/>
  <c r="C369" i="12"/>
  <c r="D369" i="12"/>
  <c r="B370" i="12"/>
  <c r="C370" i="12"/>
  <c r="D370" i="12"/>
  <c r="B371" i="12"/>
  <c r="C371" i="12"/>
  <c r="D371" i="12"/>
  <c r="B372" i="12"/>
  <c r="C372" i="12"/>
  <c r="D372" i="12"/>
  <c r="B373" i="12"/>
  <c r="C373" i="12"/>
  <c r="D373" i="12"/>
  <c r="B374" i="12"/>
  <c r="C374" i="12"/>
  <c r="D374" i="12"/>
  <c r="B375" i="12"/>
  <c r="C375" i="12"/>
  <c r="D375" i="12"/>
  <c r="B376" i="12"/>
  <c r="C376" i="12"/>
  <c r="D376" i="12"/>
  <c r="B377" i="12"/>
  <c r="C377" i="12"/>
  <c r="D377" i="12"/>
  <c r="B378" i="12"/>
  <c r="C378" i="12"/>
  <c r="D378" i="12"/>
  <c r="B379" i="12"/>
  <c r="C379" i="12"/>
  <c r="D379" i="12"/>
  <c r="B380" i="12"/>
  <c r="C380" i="12"/>
  <c r="D380" i="12"/>
  <c r="B381" i="12"/>
  <c r="C381" i="12"/>
  <c r="D381" i="12"/>
  <c r="B382" i="12"/>
  <c r="C382" i="12"/>
  <c r="D382" i="12"/>
  <c r="B383" i="12"/>
  <c r="C383" i="12"/>
  <c r="D383" i="12"/>
  <c r="B384" i="12"/>
  <c r="C384" i="12"/>
  <c r="D384" i="12"/>
  <c r="B385" i="12"/>
  <c r="C385" i="12"/>
  <c r="D385" i="12"/>
  <c r="B386" i="12"/>
  <c r="C386" i="12"/>
  <c r="D386" i="12"/>
  <c r="B387" i="12"/>
  <c r="C387" i="12"/>
  <c r="D387" i="12"/>
  <c r="B388" i="12"/>
  <c r="C388" i="12"/>
  <c r="D388" i="12"/>
  <c r="B389" i="12"/>
  <c r="C389" i="12"/>
  <c r="D389" i="12"/>
  <c r="B390" i="12"/>
  <c r="C390" i="12"/>
  <c r="D390" i="12"/>
  <c r="B391" i="12"/>
  <c r="C391" i="12"/>
  <c r="D391" i="12"/>
  <c r="B392" i="12"/>
  <c r="C392" i="12"/>
  <c r="D392" i="12"/>
  <c r="B393" i="12"/>
  <c r="C393" i="12"/>
  <c r="D393" i="12"/>
  <c r="B394" i="12"/>
  <c r="C394" i="12"/>
  <c r="D394" i="12"/>
  <c r="B395" i="12"/>
  <c r="C395" i="12"/>
  <c r="D395" i="12"/>
  <c r="B396" i="12"/>
  <c r="C396" i="12"/>
  <c r="D396" i="12"/>
  <c r="B397" i="12"/>
  <c r="C397" i="12"/>
  <c r="D397" i="12"/>
  <c r="B398" i="12"/>
  <c r="C398" i="12"/>
  <c r="D398" i="12"/>
  <c r="B399" i="12"/>
  <c r="C399" i="12"/>
  <c r="D399" i="12"/>
  <c r="B400" i="12"/>
  <c r="C400" i="12"/>
  <c r="D400" i="12"/>
  <c r="B401" i="12"/>
  <c r="C401" i="12"/>
  <c r="D401" i="12"/>
  <c r="B402" i="12"/>
  <c r="C402" i="12"/>
  <c r="D402" i="12"/>
  <c r="B403" i="12"/>
  <c r="C403" i="12"/>
  <c r="D403" i="12"/>
  <c r="B404" i="12"/>
  <c r="C404" i="12"/>
  <c r="D404" i="12"/>
  <c r="B405" i="12"/>
  <c r="C405" i="12"/>
  <c r="D405" i="12"/>
  <c r="B406" i="12"/>
  <c r="C406" i="12"/>
  <c r="D406" i="12"/>
  <c r="B407" i="12"/>
  <c r="C407" i="12"/>
  <c r="D407" i="12"/>
  <c r="B408" i="12"/>
  <c r="C408" i="12"/>
  <c r="D408" i="12"/>
  <c r="B409" i="12"/>
  <c r="C409" i="12"/>
  <c r="D409" i="12"/>
  <c r="B410" i="12"/>
  <c r="C410" i="12"/>
  <c r="D410" i="12"/>
  <c r="B411" i="12"/>
  <c r="C411" i="12"/>
  <c r="D411" i="12"/>
  <c r="B412" i="12"/>
  <c r="C412" i="12"/>
  <c r="D412" i="12"/>
  <c r="B413" i="12"/>
  <c r="C413" i="12"/>
  <c r="D413" i="12"/>
  <c r="B414" i="12"/>
  <c r="C414" i="12"/>
  <c r="D414" i="12"/>
  <c r="B415" i="12"/>
  <c r="C415" i="12"/>
  <c r="D415" i="12"/>
  <c r="B416" i="12"/>
  <c r="C416" i="12"/>
  <c r="D416" i="12"/>
  <c r="B417" i="12"/>
  <c r="C417" i="12"/>
  <c r="D417" i="12"/>
  <c r="B418" i="12"/>
  <c r="C418" i="12"/>
  <c r="D418" i="12"/>
  <c r="B419" i="12"/>
  <c r="C419" i="12"/>
  <c r="D419" i="12"/>
  <c r="B420" i="12"/>
  <c r="C420" i="12"/>
  <c r="D420" i="12"/>
  <c r="B421" i="12"/>
  <c r="C421" i="12"/>
  <c r="D421" i="12"/>
  <c r="B422" i="12"/>
  <c r="C422" i="12"/>
  <c r="D422" i="12"/>
  <c r="B423" i="12"/>
  <c r="C423" i="12"/>
  <c r="D423" i="12"/>
  <c r="B424" i="12"/>
  <c r="C424" i="12"/>
  <c r="D424" i="12"/>
  <c r="B425" i="12"/>
  <c r="C425" i="12"/>
  <c r="D425" i="12"/>
  <c r="B426" i="12"/>
  <c r="C426" i="12"/>
  <c r="D426" i="12"/>
  <c r="B427" i="12"/>
  <c r="C427" i="12"/>
  <c r="D427" i="12"/>
  <c r="B428" i="12"/>
  <c r="C428" i="12"/>
  <c r="D428" i="12"/>
  <c r="B429" i="12"/>
  <c r="C429" i="12"/>
  <c r="D429" i="12"/>
  <c r="B430" i="12"/>
  <c r="C430" i="12"/>
  <c r="D430" i="12"/>
  <c r="B431" i="12"/>
  <c r="C431" i="12"/>
  <c r="D431" i="12"/>
  <c r="B432" i="12"/>
  <c r="C432" i="12"/>
  <c r="D432" i="12"/>
  <c r="B433" i="12"/>
  <c r="C433" i="12"/>
  <c r="D433" i="12"/>
  <c r="B434" i="12"/>
  <c r="C434" i="12"/>
  <c r="D434" i="12"/>
  <c r="B435" i="12"/>
  <c r="C435" i="12"/>
  <c r="D435" i="12"/>
  <c r="B436" i="12"/>
  <c r="C436" i="12"/>
  <c r="D436" i="12"/>
  <c r="B437" i="12"/>
  <c r="C437" i="12"/>
  <c r="D437" i="12"/>
  <c r="B438" i="12"/>
  <c r="C438" i="12"/>
  <c r="D438" i="12"/>
  <c r="B439" i="12"/>
  <c r="C439" i="12"/>
  <c r="D439" i="12"/>
  <c r="B440" i="12"/>
  <c r="C440" i="12"/>
  <c r="D440" i="12"/>
  <c r="B441" i="12"/>
  <c r="C441" i="12"/>
  <c r="D441" i="12"/>
  <c r="B442" i="12"/>
  <c r="C442" i="12"/>
  <c r="D442" i="12"/>
  <c r="B443" i="12"/>
  <c r="C443" i="12"/>
  <c r="D443" i="12"/>
  <c r="B444" i="12"/>
  <c r="C444" i="12"/>
  <c r="D444" i="12"/>
  <c r="B445" i="12"/>
  <c r="C445" i="12"/>
  <c r="D445" i="12"/>
  <c r="B446" i="12"/>
  <c r="C446" i="12"/>
  <c r="D446" i="12"/>
  <c r="B447" i="12"/>
  <c r="C447" i="12"/>
  <c r="D447" i="12"/>
  <c r="B448" i="12"/>
  <c r="C448" i="12"/>
  <c r="D448" i="12"/>
  <c r="B449" i="12"/>
  <c r="C449" i="12"/>
  <c r="D449" i="12"/>
  <c r="B450" i="12"/>
  <c r="C450" i="12"/>
  <c r="D450" i="12"/>
  <c r="B451" i="12"/>
  <c r="C451" i="12"/>
  <c r="D451" i="12"/>
  <c r="B452" i="12"/>
  <c r="C452" i="12"/>
  <c r="D452" i="12"/>
  <c r="B453" i="12"/>
  <c r="C453" i="12"/>
  <c r="D453" i="12"/>
  <c r="B454" i="12"/>
  <c r="C454" i="12"/>
  <c r="D454" i="12"/>
  <c r="B455" i="12"/>
  <c r="C455" i="12"/>
  <c r="D455" i="12"/>
  <c r="B456" i="12"/>
  <c r="C456" i="12"/>
  <c r="D456" i="12"/>
  <c r="B457" i="12"/>
  <c r="C457" i="12"/>
  <c r="D457" i="12"/>
  <c r="B458" i="12"/>
  <c r="C458" i="12"/>
  <c r="D458" i="12"/>
  <c r="B459" i="12"/>
  <c r="C459" i="12"/>
  <c r="D459" i="12"/>
  <c r="B460" i="12"/>
  <c r="C460" i="12"/>
  <c r="D460" i="12"/>
  <c r="B461" i="12"/>
  <c r="C461" i="12"/>
  <c r="D461" i="12"/>
  <c r="B462" i="12"/>
  <c r="C462" i="12"/>
  <c r="D462" i="12"/>
  <c r="B463" i="12"/>
  <c r="C463" i="12"/>
  <c r="D463" i="12"/>
  <c r="B464" i="12"/>
  <c r="C464" i="12"/>
  <c r="D464" i="12"/>
  <c r="B465" i="12"/>
  <c r="C465" i="12"/>
  <c r="D465" i="12"/>
  <c r="B466" i="12"/>
  <c r="C466" i="12"/>
  <c r="D466" i="12"/>
  <c r="B467" i="12"/>
  <c r="C467" i="12"/>
  <c r="D467" i="12"/>
  <c r="B468" i="12"/>
  <c r="C468" i="12"/>
  <c r="D468" i="12"/>
  <c r="B469" i="12"/>
  <c r="C469" i="12"/>
  <c r="D469" i="12"/>
  <c r="B470" i="12"/>
  <c r="C470" i="12"/>
  <c r="D470" i="12"/>
  <c r="B471" i="12"/>
  <c r="C471" i="12"/>
  <c r="D471" i="12"/>
  <c r="B472" i="12"/>
  <c r="C472" i="12"/>
  <c r="D472" i="12"/>
  <c r="B473" i="12"/>
  <c r="C473" i="12"/>
  <c r="D473" i="12"/>
  <c r="B474" i="12"/>
  <c r="C474" i="12"/>
  <c r="D474" i="12"/>
  <c r="B475" i="12"/>
  <c r="C475" i="12"/>
  <c r="D475" i="12"/>
  <c r="B476" i="12"/>
  <c r="C476" i="12"/>
  <c r="D476" i="12"/>
  <c r="B477" i="12"/>
  <c r="C477" i="12"/>
  <c r="D477" i="12"/>
  <c r="B478" i="12"/>
  <c r="C478" i="12"/>
  <c r="D478" i="12"/>
  <c r="B479" i="12"/>
  <c r="C479" i="12"/>
  <c r="D479" i="12"/>
  <c r="B480" i="12"/>
  <c r="C480" i="12"/>
  <c r="D480" i="12"/>
  <c r="B481" i="12"/>
  <c r="C481" i="12"/>
  <c r="D481" i="12"/>
  <c r="B482" i="12"/>
  <c r="C482" i="12"/>
  <c r="D482" i="12"/>
  <c r="B483" i="12"/>
  <c r="C483" i="12"/>
  <c r="D483" i="12"/>
  <c r="B484" i="12"/>
  <c r="C484" i="12"/>
  <c r="D484" i="12"/>
  <c r="B485" i="12"/>
  <c r="C485" i="12"/>
  <c r="D485" i="12"/>
  <c r="B486" i="12"/>
  <c r="C486" i="12"/>
  <c r="D486" i="12"/>
  <c r="B487" i="12"/>
  <c r="C487" i="12"/>
  <c r="D487" i="12"/>
  <c r="B488" i="12"/>
  <c r="C488" i="12"/>
  <c r="D488" i="12"/>
  <c r="B489" i="12"/>
  <c r="C489" i="12"/>
  <c r="D489" i="12"/>
  <c r="B490" i="12"/>
  <c r="C490" i="12"/>
  <c r="D490" i="12"/>
  <c r="B491" i="12"/>
  <c r="C491" i="12"/>
  <c r="D491" i="12"/>
  <c r="B492" i="12"/>
  <c r="C492" i="12"/>
  <c r="D492" i="12"/>
  <c r="B493" i="12"/>
  <c r="C493" i="12"/>
  <c r="D493" i="12"/>
  <c r="B494" i="12"/>
  <c r="C494" i="12"/>
  <c r="D494" i="12"/>
  <c r="B495" i="12"/>
  <c r="C495" i="12"/>
  <c r="D495" i="12"/>
  <c r="B496" i="12"/>
  <c r="C496" i="12"/>
  <c r="D496" i="12"/>
  <c r="B497" i="12"/>
  <c r="C497" i="12"/>
  <c r="D497" i="12"/>
  <c r="B498" i="12"/>
  <c r="C498" i="12"/>
  <c r="D498" i="12"/>
  <c r="B499" i="12"/>
  <c r="C499" i="12"/>
  <c r="D499" i="12"/>
  <c r="B500" i="12"/>
  <c r="C500" i="12"/>
  <c r="D500" i="12"/>
  <c r="B16" i="12"/>
  <c r="C16" i="12"/>
  <c r="D16" i="12"/>
  <c r="B17" i="12"/>
  <c r="C17" i="12"/>
  <c r="D17" i="12"/>
  <c r="B18" i="12"/>
  <c r="C18" i="12"/>
  <c r="D18" i="12"/>
  <c r="B19" i="12"/>
  <c r="C19" i="12"/>
  <c r="D19" i="12"/>
  <c r="B20" i="12"/>
  <c r="C20" i="12"/>
  <c r="D20" i="12"/>
  <c r="B21" i="12"/>
  <c r="C21" i="12"/>
  <c r="D21" i="12"/>
  <c r="B22" i="12"/>
  <c r="C22" i="12"/>
  <c r="D22" i="12"/>
  <c r="B23" i="12"/>
  <c r="C23" i="12"/>
  <c r="D23" i="12"/>
  <c r="B24" i="12"/>
  <c r="C24" i="12"/>
  <c r="D24" i="12"/>
  <c r="B25" i="12"/>
  <c r="C25" i="12"/>
  <c r="D25" i="12"/>
  <c r="B26" i="12"/>
  <c r="C26" i="12"/>
  <c r="D26" i="12"/>
  <c r="B27" i="12"/>
  <c r="C27" i="12"/>
  <c r="D27" i="12"/>
  <c r="B28" i="12"/>
  <c r="C28" i="12"/>
  <c r="D28" i="12"/>
  <c r="B29" i="12"/>
  <c r="C29" i="12"/>
  <c r="D29" i="12"/>
  <c r="B30" i="12"/>
  <c r="C30" i="12"/>
  <c r="D30" i="12"/>
  <c r="B31" i="12"/>
  <c r="C31" i="12"/>
  <c r="D31" i="12"/>
  <c r="B32" i="12"/>
  <c r="C32" i="12"/>
  <c r="D32" i="12"/>
  <c r="B33" i="12"/>
  <c r="C33" i="12"/>
  <c r="D33" i="12"/>
  <c r="B34" i="12"/>
  <c r="C34" i="12"/>
  <c r="D34" i="12"/>
  <c r="B35" i="12"/>
  <c r="C35" i="12"/>
  <c r="D35" i="12"/>
  <c r="B36" i="12"/>
  <c r="C36" i="12"/>
  <c r="D36" i="12"/>
  <c r="B37" i="12"/>
  <c r="C37" i="12"/>
  <c r="D37" i="12"/>
  <c r="B38" i="12"/>
  <c r="C38" i="12"/>
  <c r="D38" i="12"/>
  <c r="B39" i="12"/>
  <c r="C39" i="12"/>
  <c r="D39" i="12"/>
  <c r="B40" i="12"/>
  <c r="C40" i="12"/>
  <c r="D40" i="12"/>
  <c r="B41" i="12"/>
  <c r="C41" i="12"/>
  <c r="D41" i="12"/>
  <c r="B42" i="12"/>
  <c r="C42" i="12"/>
  <c r="D42" i="12"/>
  <c r="B43" i="12"/>
  <c r="C43" i="12"/>
  <c r="D43" i="12"/>
  <c r="B44" i="12"/>
  <c r="C44" i="12"/>
  <c r="D44" i="12"/>
  <c r="B45" i="12"/>
  <c r="C45" i="12"/>
  <c r="D45" i="12"/>
  <c r="B46" i="12"/>
  <c r="C46" i="12"/>
  <c r="D46" i="12"/>
  <c r="B47" i="12"/>
  <c r="C47" i="12"/>
  <c r="D47" i="12"/>
  <c r="B48" i="12"/>
  <c r="C48" i="12"/>
  <c r="D48" i="12"/>
  <c r="B49" i="12"/>
  <c r="C49" i="12"/>
  <c r="D49" i="12"/>
  <c r="B50" i="12"/>
  <c r="C50" i="12"/>
  <c r="D50" i="12"/>
  <c r="B51" i="12"/>
  <c r="C51" i="12"/>
  <c r="D51" i="12"/>
  <c r="B52" i="12"/>
  <c r="C52" i="12"/>
  <c r="D52" i="12"/>
  <c r="B53" i="12"/>
  <c r="C53" i="12"/>
  <c r="D53" i="12"/>
  <c r="B54" i="12"/>
  <c r="C54" i="12"/>
  <c r="D54" i="12"/>
  <c r="B55" i="12"/>
  <c r="C55" i="12"/>
  <c r="D55" i="12"/>
  <c r="B56" i="12"/>
  <c r="C56" i="12"/>
  <c r="D56" i="12"/>
  <c r="B57" i="12"/>
  <c r="C57" i="12"/>
  <c r="D57" i="12"/>
  <c r="B58" i="12"/>
  <c r="C58" i="12"/>
  <c r="D58" i="12"/>
  <c r="B59" i="12"/>
  <c r="C59" i="12"/>
  <c r="D59" i="12"/>
  <c r="B60" i="12"/>
  <c r="C60" i="12"/>
  <c r="D60" i="12"/>
  <c r="B61" i="12"/>
  <c r="C61" i="12"/>
  <c r="D61" i="12"/>
  <c r="B62" i="12"/>
  <c r="C62" i="12"/>
  <c r="D62" i="12"/>
  <c r="B63" i="12"/>
  <c r="C63" i="12"/>
  <c r="D63" i="12"/>
  <c r="B64" i="12"/>
  <c r="C64" i="12"/>
  <c r="D64" i="12"/>
  <c r="B65" i="12"/>
  <c r="C65" i="12"/>
  <c r="D65" i="12"/>
  <c r="B66" i="12"/>
  <c r="C66" i="12"/>
  <c r="D66" i="12"/>
  <c r="B67" i="12"/>
  <c r="C67" i="12"/>
  <c r="D67" i="12"/>
  <c r="B68" i="12"/>
  <c r="C68" i="12"/>
  <c r="D68" i="12"/>
  <c r="B69" i="12"/>
  <c r="C69" i="12"/>
  <c r="D69" i="12"/>
  <c r="B70" i="12"/>
  <c r="C70" i="12"/>
  <c r="D70" i="12"/>
  <c r="B71" i="12"/>
  <c r="C71" i="12"/>
  <c r="D71" i="12"/>
  <c r="B72" i="12"/>
  <c r="C72" i="12"/>
  <c r="D72" i="12"/>
  <c r="B73" i="12"/>
  <c r="C73" i="12"/>
  <c r="D73" i="12"/>
  <c r="B74" i="12"/>
  <c r="C74" i="12"/>
  <c r="D74" i="12"/>
  <c r="B75" i="12"/>
  <c r="C75" i="12"/>
  <c r="D75" i="12"/>
  <c r="B76" i="12"/>
  <c r="C76" i="12"/>
  <c r="D76" i="12"/>
  <c r="B77" i="12"/>
  <c r="C77" i="12"/>
  <c r="D77" i="12"/>
  <c r="B78" i="12"/>
  <c r="C78" i="12"/>
  <c r="D78" i="12"/>
  <c r="B79" i="12"/>
  <c r="C79" i="12"/>
  <c r="D79" i="12"/>
  <c r="B3" i="12"/>
  <c r="C3" i="12"/>
  <c r="D3" i="12"/>
  <c r="B4" i="12"/>
  <c r="C4" i="12"/>
  <c r="D4" i="12"/>
  <c r="B5" i="12"/>
  <c r="C5" i="12"/>
  <c r="D5" i="12"/>
  <c r="B6" i="12"/>
  <c r="C6" i="12"/>
  <c r="D6" i="12"/>
  <c r="B7" i="12"/>
  <c r="C7" i="12"/>
  <c r="D7" i="12"/>
  <c r="B8" i="12"/>
  <c r="C8" i="12"/>
  <c r="D8" i="12"/>
  <c r="B9" i="12"/>
  <c r="C9" i="12"/>
  <c r="D9" i="12"/>
  <c r="B10" i="12"/>
  <c r="C10" i="12"/>
  <c r="D10" i="12"/>
  <c r="B11" i="12"/>
  <c r="C11" i="12"/>
  <c r="D11" i="12"/>
  <c r="B12" i="12"/>
  <c r="C12" i="12"/>
  <c r="D12" i="12"/>
  <c r="B13" i="12"/>
  <c r="C13" i="12"/>
  <c r="D13" i="12"/>
  <c r="B14" i="12"/>
  <c r="C14" i="12"/>
  <c r="D14" i="12"/>
  <c r="B15" i="12"/>
  <c r="C15" i="12"/>
  <c r="D15" i="12"/>
  <c r="B2" i="12"/>
  <c r="C2" i="12"/>
  <c r="D2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2" i="11"/>
  <c r="B3" i="11"/>
  <c r="C3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2" i="11"/>
  <c r="C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2" i="11"/>
  <c r="H3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6" i="11"/>
  <c r="H7" i="11"/>
  <c r="H8" i="11"/>
  <c r="H9" i="11"/>
  <c r="H10" i="11"/>
  <c r="H11" i="11"/>
  <c r="H4" i="11"/>
  <c r="H5" i="11"/>
  <c r="K2" i="11" a="1"/>
  <c r="K2" i="11" s="1"/>
  <c r="J2" i="11" a="1"/>
  <c r="J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F496A2-F4BC-47F0-833C-AB4DBC6ED2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7004EA-8611-4892-AE31-625659B04018}" name="WorksheetConnection_Data Rekap Proyek 2023-2024.xlsx!Table245" type="102" refreshedVersion="8" minRefreshableVersion="5">
    <extLst>
      <ext xmlns:x15="http://schemas.microsoft.com/office/spreadsheetml/2010/11/main" uri="{DE250136-89BD-433C-8126-D09CA5730AF9}">
        <x15:connection id="Table245" autoDelete="1">
          <x15:rangePr sourceName="_xlcn.WorksheetConnection_DataRekapProyek20232024.xlsxTable2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<sst xmlns="http://schemas.openxmlformats.org/spreadsheetml/2006/main" count="8754" uniqueCount="674">
  <si>
    <t>ID_Proyek</t>
  </si>
  <si>
    <t>Jenis_Proyek</t>
  </si>
  <si>
    <t>Lokasi</t>
  </si>
  <si>
    <t>Nama_Proyek</t>
  </si>
  <si>
    <t>Panjang_Jalan</t>
  </si>
  <si>
    <t>Tanggal_Mulai</t>
  </si>
  <si>
    <t>Tanggal_Selesai</t>
  </si>
  <si>
    <t>Durasi_Proyek</t>
  </si>
  <si>
    <t>Anggaran</t>
  </si>
  <si>
    <t>Kontraktor</t>
  </si>
  <si>
    <t>Sumber_Dana</t>
  </si>
  <si>
    <t>CN-0001-2023</t>
  </si>
  <si>
    <t>Jalan Raya</t>
  </si>
  <si>
    <t>Tomohon</t>
  </si>
  <si>
    <t>Pembangunan Jalan Raya Tomohon</t>
  </si>
  <si>
    <t>Perum Lailasari Hariyah (Persero) Tbk</t>
  </si>
  <si>
    <t>APBN 2023</t>
  </si>
  <si>
    <t>CN-0002-2023</t>
  </si>
  <si>
    <t>Gedung</t>
  </si>
  <si>
    <t>Makassar</t>
  </si>
  <si>
    <t>Pembangunan Gedung Pemerintah Makassar</t>
  </si>
  <si>
    <t>PT A</t>
  </si>
  <si>
    <t>APBD 2023</t>
  </si>
  <si>
    <t>CN-0003-2023</t>
  </si>
  <si>
    <t>Depok</t>
  </si>
  <si>
    <t>Pembangunan Jalan Raya Depok</t>
  </si>
  <si>
    <t>Perum Yuniar Hakim Tbk</t>
  </si>
  <si>
    <t>CN-0004-2023</t>
  </si>
  <si>
    <t>Pembangunan Jalan Raya Makassar</t>
  </si>
  <si>
    <t>CN-0005-2023</t>
  </si>
  <si>
    <t>Jembatan</t>
  </si>
  <si>
    <t>Bau-Bau</t>
  </si>
  <si>
    <t>Rehabilitasi Jembatan Bau-Bau</t>
  </si>
  <si>
    <t>PT C</t>
  </si>
  <si>
    <t>CN-0006-2023</t>
  </si>
  <si>
    <t>Drainase</t>
  </si>
  <si>
    <t>Bandung</t>
  </si>
  <si>
    <t>Perbaikan Drainase Bandung</t>
  </si>
  <si>
    <t>CN-0007-2023</t>
  </si>
  <si>
    <t>Jakarta</t>
  </si>
  <si>
    <t>Rehabilitasi Jembatan Jakarta</t>
  </si>
  <si>
    <t>CN-0008-2023</t>
  </si>
  <si>
    <t>Medan</t>
  </si>
  <si>
    <t>Rehabilitasi Jembatan Medan</t>
  </si>
  <si>
    <t>CV Sihombing</t>
  </si>
  <si>
    <t>CN-0009-2023</t>
  </si>
  <si>
    <t>Pembangunan Jalan Raya Bandung</t>
  </si>
  <si>
    <t>CN-0010-2023</t>
  </si>
  <si>
    <t>Surabaya</t>
  </si>
  <si>
    <t>Perbaikan Drainase Surabaya</t>
  </si>
  <si>
    <t>PT D</t>
  </si>
  <si>
    <t>CN-0011-2023</t>
  </si>
  <si>
    <t>CN-0012-2023</t>
  </si>
  <si>
    <t>Pembangunan Gedung Pemerintah Jakarta</t>
  </si>
  <si>
    <t>CN-0013-2023</t>
  </si>
  <si>
    <t>CN-0014-2023</t>
  </si>
  <si>
    <t>Rehabilitasi Jembatan Tomohon</t>
  </si>
  <si>
    <t>CN-0015-2023</t>
  </si>
  <si>
    <t>Rehabilitasi Jembatan Makassar</t>
  </si>
  <si>
    <t>CN-0016-2023</t>
  </si>
  <si>
    <t>Flyover</t>
  </si>
  <si>
    <t>Pembangunan Flyover Bandung</t>
  </si>
  <si>
    <t>CN-0017-2023</t>
  </si>
  <si>
    <t>Pembangunan Jalan Raya Medan</t>
  </si>
  <si>
    <t>CN-0018-2023</t>
  </si>
  <si>
    <t>CN-0019-2023</t>
  </si>
  <si>
    <t>Pembangunan Flyover Surabaya</t>
  </si>
  <si>
    <t>PT B</t>
  </si>
  <si>
    <t>CN-0020-2023</t>
  </si>
  <si>
    <t>Perbaikan Drainase Medan</t>
  </si>
  <si>
    <t>CN-0021-2023</t>
  </si>
  <si>
    <t>Pembangunan Gedung Pemerintah Bandung</t>
  </si>
  <si>
    <t>CN-0022-2023</t>
  </si>
  <si>
    <t>CN-0023-2023</t>
  </si>
  <si>
    <t>Pembangunan Gedung Pemerintah Bau-Bau</t>
  </si>
  <si>
    <t>CN-0024-2023</t>
  </si>
  <si>
    <t>CN-0025-2023</t>
  </si>
  <si>
    <t>CN-0026-2023</t>
  </si>
  <si>
    <t>Perbaikan Drainase Tomohon</t>
  </si>
  <si>
    <t>CN-0027-2023</t>
  </si>
  <si>
    <t>Pembangunan Flyover Depok</t>
  </si>
  <si>
    <t>CN-0028-2023</t>
  </si>
  <si>
    <t>CN-0029-2023</t>
  </si>
  <si>
    <t>Pembangunan Jalan Raya Bau-Bau</t>
  </si>
  <si>
    <t>CN-0030-2023</t>
  </si>
  <si>
    <t>Rehabilitasi Jembatan Depok</t>
  </si>
  <si>
    <t>CN-0031-2023</t>
  </si>
  <si>
    <t>Pembangunan Flyover Makassar</t>
  </si>
  <si>
    <t>CN-0032-2023</t>
  </si>
  <si>
    <t>CN-0033-2023</t>
  </si>
  <si>
    <t>CN-0034-2023</t>
  </si>
  <si>
    <t>Perbaikan Drainase Bau-Bau</t>
  </si>
  <si>
    <t>CN-0035-2023</t>
  </si>
  <si>
    <t>Rehabilitasi Jembatan Bandung</t>
  </si>
  <si>
    <t>CN-0036-2023</t>
  </si>
  <si>
    <t>Pembangunan Gedung Pemerintah Depok</t>
  </si>
  <si>
    <t>CN-0037-2023</t>
  </si>
  <si>
    <t>Perbaikan Drainase Makassar</t>
  </si>
  <si>
    <t>CN-0038-2023</t>
  </si>
  <si>
    <t>CN-0039-2023</t>
  </si>
  <si>
    <t>CN-0040-2023</t>
  </si>
  <si>
    <t>Rehabilitasi Jembatan Surabaya</t>
  </si>
  <si>
    <t>CN-0041-2023</t>
  </si>
  <si>
    <t>CN-0042-2023</t>
  </si>
  <si>
    <t>CN-0043-2023</t>
  </si>
  <si>
    <t>CN-0044-2023</t>
  </si>
  <si>
    <t>CN-0045-2023</t>
  </si>
  <si>
    <t>CN-0046-2023</t>
  </si>
  <si>
    <t>CN-0047-2023</t>
  </si>
  <si>
    <t>CN-0048-2023</t>
  </si>
  <si>
    <t>CN-0049-2023</t>
  </si>
  <si>
    <t>Pembangunan Flyover Bau-Bau</t>
  </si>
  <si>
    <t>CN-0050-2023</t>
  </si>
  <si>
    <t>CN-0051-2023</t>
  </si>
  <si>
    <t>CN-0052-2023</t>
  </si>
  <si>
    <t>CN-0053-2023</t>
  </si>
  <si>
    <t>CN-0054-2023</t>
  </si>
  <si>
    <t>CN-0055-2023</t>
  </si>
  <si>
    <t>CN-0056-2023</t>
  </si>
  <si>
    <t>CN-0057-2023</t>
  </si>
  <si>
    <t>CN-0058-2023</t>
  </si>
  <si>
    <t>Pembangunan Gedung Pemerintah Surabaya</t>
  </si>
  <si>
    <t>CN-0059-2023</t>
  </si>
  <si>
    <t>CN-0060-2023</t>
  </si>
  <si>
    <t>CN-0061-2023</t>
  </si>
  <si>
    <t>CN-0062-2023</t>
  </si>
  <si>
    <t>CN-0063-2023</t>
  </si>
  <si>
    <t>CN-0064-2023</t>
  </si>
  <si>
    <t>CN-0065-2023</t>
  </si>
  <si>
    <t>CN-0066-2023</t>
  </si>
  <si>
    <t>CN-0067-2023</t>
  </si>
  <si>
    <t>CN-0068-2023</t>
  </si>
  <si>
    <t>CN-0069-2023</t>
  </si>
  <si>
    <t>Perbaikan Drainase Depok</t>
  </si>
  <si>
    <t>CN-0070-2023</t>
  </si>
  <si>
    <t>Pembangunan Gedung Pemerintah Medan</t>
  </si>
  <si>
    <t>CN-0071-2023</t>
  </si>
  <si>
    <t>CN-0072-2023</t>
  </si>
  <si>
    <t>CN-0073-2023</t>
  </si>
  <si>
    <t>CN-0074-2023</t>
  </si>
  <si>
    <t>CN-0075-2023</t>
  </si>
  <si>
    <t>CN-0076-2023</t>
  </si>
  <si>
    <t>CN-0077-2023</t>
  </si>
  <si>
    <t>Pembangunan Gedung Pemerintah Tomohon</t>
  </si>
  <si>
    <t>CN-0078-2023</t>
  </si>
  <si>
    <t>Perbaikan Drainase Jakarta</t>
  </si>
  <si>
    <t>CN-0079-2023</t>
  </si>
  <si>
    <t>CN-0080-2023</t>
  </si>
  <si>
    <t>CN-0081-2023</t>
  </si>
  <si>
    <t>CN-0082-2023</t>
  </si>
  <si>
    <t>CN-0083-2023</t>
  </si>
  <si>
    <t>CN-0084-2023</t>
  </si>
  <si>
    <t>CN-0085-2023</t>
  </si>
  <si>
    <t>CN-0086-2023</t>
  </si>
  <si>
    <t>Pembangunan Flyover Medan</t>
  </si>
  <si>
    <t>CN-0087-2023</t>
  </si>
  <si>
    <t>CN-0088-2023</t>
  </si>
  <si>
    <t>CN-0089-2023</t>
  </si>
  <si>
    <t>CN-0090-2023</t>
  </si>
  <si>
    <t>CN-0091-2023</t>
  </si>
  <si>
    <t>Pembangunan Jalan Raya Jakarta</t>
  </si>
  <si>
    <t>CN-0092-2023</t>
  </si>
  <si>
    <t>CN-0093-2023</t>
  </si>
  <si>
    <t>CN-0094-2023</t>
  </si>
  <si>
    <t>CN-0095-2023</t>
  </si>
  <si>
    <t>CN-0096-2023</t>
  </si>
  <si>
    <t>CN-0097-2023</t>
  </si>
  <si>
    <t>CN-0098-2023</t>
  </si>
  <si>
    <t>CN-0099-2023</t>
  </si>
  <si>
    <t>CN-0100-2023</t>
  </si>
  <si>
    <t>CN-0101-2023</t>
  </si>
  <si>
    <t>Pembangunan Jalan Raya Surabaya</t>
  </si>
  <si>
    <t>CN-0102-2023</t>
  </si>
  <si>
    <t>CN-0103-2023</t>
  </si>
  <si>
    <t>CN-0104-2023</t>
  </si>
  <si>
    <t>CN-0105-2023</t>
  </si>
  <si>
    <t>CN-0106-2023</t>
  </si>
  <si>
    <t>CN-0107-2023</t>
  </si>
  <si>
    <t>CN-0108-2023</t>
  </si>
  <si>
    <t>CN-0109-2023</t>
  </si>
  <si>
    <t>CN-0110-2023</t>
  </si>
  <si>
    <t>CN-0111-2023</t>
  </si>
  <si>
    <t>Pembangunan Flyover Tomohon</t>
  </si>
  <si>
    <t>CN-0112-2023</t>
  </si>
  <si>
    <t>CN-0113-2023</t>
  </si>
  <si>
    <t>Pembangunan Flyover Jakarta</t>
  </si>
  <si>
    <t>CN-0114-2023</t>
  </si>
  <si>
    <t>CN-0115-2023</t>
  </si>
  <si>
    <t>CN-0116-2023</t>
  </si>
  <si>
    <t>CN-0117-2023</t>
  </si>
  <si>
    <t>CN-0118-2023</t>
  </si>
  <si>
    <t>CN-0119-2023</t>
  </si>
  <si>
    <t>CN-0120-2023</t>
  </si>
  <si>
    <t>CN-0121-2023</t>
  </si>
  <si>
    <t>CN-0122-2023</t>
  </si>
  <si>
    <t>CN-0123-2023</t>
  </si>
  <si>
    <t>CN-0124-2023</t>
  </si>
  <si>
    <t>CN-0125-2023</t>
  </si>
  <si>
    <t>CN-0126-2023</t>
  </si>
  <si>
    <t>CN-0127-2023</t>
  </si>
  <si>
    <t>CN-0128-2023</t>
  </si>
  <si>
    <t>CN-0129-2023</t>
  </si>
  <si>
    <t>CN-0130-2023</t>
  </si>
  <si>
    <t>CN-0131-2023</t>
  </si>
  <si>
    <t>CN-0132-2023</t>
  </si>
  <si>
    <t>CN-0133-2023</t>
  </si>
  <si>
    <t>CN-0134-2023</t>
  </si>
  <si>
    <t>CN-0135-2023</t>
  </si>
  <si>
    <t>CN-0136-2023</t>
  </si>
  <si>
    <t>CN-0137-2023</t>
  </si>
  <si>
    <t>CN-0138-2023</t>
  </si>
  <si>
    <t>CN-0139-2023</t>
  </si>
  <si>
    <t>CN-0140-2023</t>
  </si>
  <si>
    <t>CN-0141-2023</t>
  </si>
  <si>
    <t>CN-0142-2023</t>
  </si>
  <si>
    <t>CN-0143-2023</t>
  </si>
  <si>
    <t>CN-0144-2023</t>
  </si>
  <si>
    <t>CN-0145-2023</t>
  </si>
  <si>
    <t>CN-0146-2023</t>
  </si>
  <si>
    <t>CN-0147-2023</t>
  </si>
  <si>
    <t>CN-0148-2023</t>
  </si>
  <si>
    <t>CN-0149-2023</t>
  </si>
  <si>
    <t>CN-0150-2023</t>
  </si>
  <si>
    <t>CN-0151-2023</t>
  </si>
  <si>
    <t>CN-0152-2023</t>
  </si>
  <si>
    <t>CN-0153-2023</t>
  </si>
  <si>
    <t>CN-0154-2023</t>
  </si>
  <si>
    <t>CN-0155-2023</t>
  </si>
  <si>
    <t>CN-0156-2023</t>
  </si>
  <si>
    <t>CN-0157-2023</t>
  </si>
  <si>
    <t>CN-0158-2023</t>
  </si>
  <si>
    <t>CN-0159-2023</t>
  </si>
  <si>
    <t>CN-0160-2023</t>
  </si>
  <si>
    <t>CN-0161-2023</t>
  </si>
  <si>
    <t>CN-0162-2023</t>
  </si>
  <si>
    <t>CN-0163-2023</t>
  </si>
  <si>
    <t>CN-0164-2023</t>
  </si>
  <si>
    <t>CN-0165-2023</t>
  </si>
  <si>
    <t>CN-0166-2023</t>
  </si>
  <si>
    <t>CN-0167-2023</t>
  </si>
  <si>
    <t>CN-0168-2023</t>
  </si>
  <si>
    <t>CN-0169-2023</t>
  </si>
  <si>
    <t>CN-0170-2023</t>
  </si>
  <si>
    <t>CN-0171-2023</t>
  </si>
  <si>
    <t>CN-0172-2023</t>
  </si>
  <si>
    <t>CN-0173-2023</t>
  </si>
  <si>
    <t>CN-0174-2023</t>
  </si>
  <si>
    <t>CN-0175-2023</t>
  </si>
  <si>
    <t>CN-0176-2023</t>
  </si>
  <si>
    <t>CN-0177-2023</t>
  </si>
  <si>
    <t>CN-0178-2023</t>
  </si>
  <si>
    <t>CN-0179-2023</t>
  </si>
  <si>
    <t>CN-0180-2023</t>
  </si>
  <si>
    <t>CN-0181-2023</t>
  </si>
  <si>
    <t>CN-0182-2023</t>
  </si>
  <si>
    <t>CN-0183-2023</t>
  </si>
  <si>
    <t>CN-0184-2023</t>
  </si>
  <si>
    <t>CN-0185-2023</t>
  </si>
  <si>
    <t>CN-0186-2023</t>
  </si>
  <si>
    <t>CN-0187-2023</t>
  </si>
  <si>
    <t>CN-0188-2023</t>
  </si>
  <si>
    <t>CN-0189-2023</t>
  </si>
  <si>
    <t>CN-0190-2023</t>
  </si>
  <si>
    <t>CN-0191-2023</t>
  </si>
  <si>
    <t>CN-0192-2023</t>
  </si>
  <si>
    <t>CN-0193-2023</t>
  </si>
  <si>
    <t>CN-0194-2023</t>
  </si>
  <si>
    <t>CN-0195-2023</t>
  </si>
  <si>
    <t>CN-0196-2023</t>
  </si>
  <si>
    <t>CN-0197-2023</t>
  </si>
  <si>
    <t>CN-0198-2023</t>
  </si>
  <si>
    <t>CN-0199-2023</t>
  </si>
  <si>
    <t>CN-0200-2023</t>
  </si>
  <si>
    <t>CN-0201-2023</t>
  </si>
  <si>
    <t>CN-0202-2023</t>
  </si>
  <si>
    <t>CN-0203-2023</t>
  </si>
  <si>
    <t>CN-0204-2023</t>
  </si>
  <si>
    <t>CN-0205-2023</t>
  </si>
  <si>
    <t>CN-0206-2023</t>
  </si>
  <si>
    <t>CN-0207-2023</t>
  </si>
  <si>
    <t>CN-0208-2023</t>
  </si>
  <si>
    <t>CN-0209-2023</t>
  </si>
  <si>
    <t>CN-0210-2023</t>
  </si>
  <si>
    <t>CN-0211-2023</t>
  </si>
  <si>
    <t>CN-0212-2023</t>
  </si>
  <si>
    <t>CN-0213-2023</t>
  </si>
  <si>
    <t>CN-0214-2023</t>
  </si>
  <si>
    <t>CN-0215-2023</t>
  </si>
  <si>
    <t>CN-0216-2023</t>
  </si>
  <si>
    <t>CN-0217-2023</t>
  </si>
  <si>
    <t>CN-0218-2023</t>
  </si>
  <si>
    <t>CN-0219-2023</t>
  </si>
  <si>
    <t>CN-0220-2023</t>
  </si>
  <si>
    <t>CN-0221-2023</t>
  </si>
  <si>
    <t>CN-0222-2023</t>
  </si>
  <si>
    <t>CN-0223-2023</t>
  </si>
  <si>
    <t>CN-0224-2023</t>
  </si>
  <si>
    <t>CN-0225-2023</t>
  </si>
  <si>
    <t>CN-0226-2023</t>
  </si>
  <si>
    <t>CN-0227-2023</t>
  </si>
  <si>
    <t>CN-0228-2023</t>
  </si>
  <si>
    <t>CN-0229-2023</t>
  </si>
  <si>
    <t>CN-0230-2023</t>
  </si>
  <si>
    <t>CN-0231-2023</t>
  </si>
  <si>
    <t>CN-0232-2023</t>
  </si>
  <si>
    <t>CN-0233-2023</t>
  </si>
  <si>
    <t>CN-0234-2023</t>
  </si>
  <si>
    <t>CN-0235-2023</t>
  </si>
  <si>
    <t>CN-0236-2023</t>
  </si>
  <si>
    <t>CN-0237-2023</t>
  </si>
  <si>
    <t>CN-0238-2023</t>
  </si>
  <si>
    <t>CN-0239-2023</t>
  </si>
  <si>
    <t>CN-0240-2023</t>
  </si>
  <si>
    <t>CN-0241-2023</t>
  </si>
  <si>
    <t>CN-0242-2023</t>
  </si>
  <si>
    <t>CN-0243-2023</t>
  </si>
  <si>
    <t>CN-0244-2023</t>
  </si>
  <si>
    <t>CN-0245-2023</t>
  </si>
  <si>
    <t>CN-0246-2023</t>
  </si>
  <si>
    <t>CN-0247-2023</t>
  </si>
  <si>
    <t>CN-0248-2023</t>
  </si>
  <si>
    <t>CN-0249-2023</t>
  </si>
  <si>
    <t>CN-0250-2023</t>
  </si>
  <si>
    <t>CN-0251-2023</t>
  </si>
  <si>
    <t>CN-0252-2023</t>
  </si>
  <si>
    <t>CN-0253-2023</t>
  </si>
  <si>
    <t>CN-0254-2023</t>
  </si>
  <si>
    <t>CN-0255-2023</t>
  </si>
  <si>
    <t>CN-0256-2023</t>
  </si>
  <si>
    <t>CN-0257-2023</t>
  </si>
  <si>
    <t>CN-0258-2023</t>
  </si>
  <si>
    <t>CN-0259-2023</t>
  </si>
  <si>
    <t>CN-0260-2023</t>
  </si>
  <si>
    <t>CN-0261-2023</t>
  </si>
  <si>
    <t>CN-0262-2023</t>
  </si>
  <si>
    <t>CN-0263-2023</t>
  </si>
  <si>
    <t>CN-0264-2023</t>
  </si>
  <si>
    <t>CN-0265-2023</t>
  </si>
  <si>
    <t>CN-0266-2023</t>
  </si>
  <si>
    <t>CN-0267-2023</t>
  </si>
  <si>
    <t>CN-0268-2023</t>
  </si>
  <si>
    <t>CN-0269-2023</t>
  </si>
  <si>
    <t>CN-0270-2023</t>
  </si>
  <si>
    <t>CN-0271-2023</t>
  </si>
  <si>
    <t>CN-0272-2023</t>
  </si>
  <si>
    <t>CN-0273-2023</t>
  </si>
  <si>
    <t>CN-0274-2023</t>
  </si>
  <si>
    <t>CN-0275-2023</t>
  </si>
  <si>
    <t>CN-0276-2023</t>
  </si>
  <si>
    <t>CN-0277-2023</t>
  </si>
  <si>
    <t>CN-0278-2023</t>
  </si>
  <si>
    <t>CN-0279-2023</t>
  </si>
  <si>
    <t>CN-0280-2023</t>
  </si>
  <si>
    <t>CN-0281-2023</t>
  </si>
  <si>
    <t>CN-0282-2023</t>
  </si>
  <si>
    <t>CN-0283-2023</t>
  </si>
  <si>
    <t>CN-0284-2023</t>
  </si>
  <si>
    <t>CN-0285-2023</t>
  </si>
  <si>
    <t>CN-0286-2023</t>
  </si>
  <si>
    <t>CN-0287-2023</t>
  </si>
  <si>
    <t>CN-0288-2023</t>
  </si>
  <si>
    <t>CN-0289-2023</t>
  </si>
  <si>
    <t>CN-0290-2023</t>
  </si>
  <si>
    <t>CN-0291-2023</t>
  </si>
  <si>
    <t>CN-0292-2023</t>
  </si>
  <si>
    <t>CN-0293-2023</t>
  </si>
  <si>
    <t>CN-0294-2023</t>
  </si>
  <si>
    <t>CN-0295-2023</t>
  </si>
  <si>
    <t>CN-0296-2023</t>
  </si>
  <si>
    <t>CN-0297-2023</t>
  </si>
  <si>
    <t>CN-0298-2023</t>
  </si>
  <si>
    <t>CN-0299-2023</t>
  </si>
  <si>
    <t>CN-0300-2023</t>
  </si>
  <si>
    <t>CN-0301-2023</t>
  </si>
  <si>
    <t>CN-0302-2023</t>
  </si>
  <si>
    <t>CN-0303-2023</t>
  </si>
  <si>
    <t>CN-0304-2023</t>
  </si>
  <si>
    <t>CN-0305-2023</t>
  </si>
  <si>
    <t>CN-0306-2023</t>
  </si>
  <si>
    <t>CN-0307-2023</t>
  </si>
  <si>
    <t>CN-0308-2023</t>
  </si>
  <si>
    <t>CN-0309-2023</t>
  </si>
  <si>
    <t>CN-0310-2023</t>
  </si>
  <si>
    <t>CN-0311-2023</t>
  </si>
  <si>
    <t>CN-0312-2023</t>
  </si>
  <si>
    <t>CN-0313-2023</t>
  </si>
  <si>
    <t>CN-0314-2023</t>
  </si>
  <si>
    <t>CN-0315-2023</t>
  </si>
  <si>
    <t>CN-0316-2023</t>
  </si>
  <si>
    <t>CN-0317-2023</t>
  </si>
  <si>
    <t>CN-0318-2023</t>
  </si>
  <si>
    <t>CN-0319-2023</t>
  </si>
  <si>
    <t>CN-0320-2023</t>
  </si>
  <si>
    <t>CN-0321-2023</t>
  </si>
  <si>
    <t>CN-0322-2023</t>
  </si>
  <si>
    <t>CN-0323-2023</t>
  </si>
  <si>
    <t>CN-0324-2023</t>
  </si>
  <si>
    <t>CN-0325-2023</t>
  </si>
  <si>
    <t>CN-0326-2023</t>
  </si>
  <si>
    <t>CN-0327-2023</t>
  </si>
  <si>
    <t>CN-0328-2023</t>
  </si>
  <si>
    <t>CN-0329-2023</t>
  </si>
  <si>
    <t>CN-0330-2023</t>
  </si>
  <si>
    <t>CN-0331-2023</t>
  </si>
  <si>
    <t>CN-0332-2023</t>
  </si>
  <si>
    <t>CN-0333-2023</t>
  </si>
  <si>
    <t>CN-0334-2023</t>
  </si>
  <si>
    <t>CN-0335-2023</t>
  </si>
  <si>
    <t>CN-0336-2023</t>
  </si>
  <si>
    <t>CN-0337-2023</t>
  </si>
  <si>
    <t>CN-0338-2023</t>
  </si>
  <si>
    <t>CN-0339-2023</t>
  </si>
  <si>
    <t>CN-0340-2023</t>
  </si>
  <si>
    <t>CN-0341-2023</t>
  </si>
  <si>
    <t>CN-0342-2023</t>
  </si>
  <si>
    <t>CN-0343-2023</t>
  </si>
  <si>
    <t>CN-0344-2023</t>
  </si>
  <si>
    <t>CN-0345-2023</t>
  </si>
  <si>
    <t>CN-0346-2023</t>
  </si>
  <si>
    <t>CN-0347-2023</t>
  </si>
  <si>
    <t>CN-0348-2023</t>
  </si>
  <si>
    <t>CN-0349-2023</t>
  </si>
  <si>
    <t>CN-0350-2023</t>
  </si>
  <si>
    <t>CN-0351-2023</t>
  </si>
  <si>
    <t>CN-0352-2023</t>
  </si>
  <si>
    <t>CN-0353-2023</t>
  </si>
  <si>
    <t>CN-0354-2023</t>
  </si>
  <si>
    <t>CN-0355-2023</t>
  </si>
  <si>
    <t>CN-0356-2023</t>
  </si>
  <si>
    <t>CN-0357-2023</t>
  </si>
  <si>
    <t>CN-0358-2023</t>
  </si>
  <si>
    <t>CN-0359-2023</t>
  </si>
  <si>
    <t>CN-0360-2023</t>
  </si>
  <si>
    <t>CN-0361-2023</t>
  </si>
  <si>
    <t>CN-0362-2023</t>
  </si>
  <si>
    <t>CN-0363-2023</t>
  </si>
  <si>
    <t>CN-0364-2023</t>
  </si>
  <si>
    <t>CN-0365-2023</t>
  </si>
  <si>
    <t>CN-0366-2023</t>
  </si>
  <si>
    <t>CN-0367-2023</t>
  </si>
  <si>
    <t>CN-0368-2023</t>
  </si>
  <si>
    <t>CN-0369-2023</t>
  </si>
  <si>
    <t>CN-0370-2023</t>
  </si>
  <si>
    <t>CN-0371-2023</t>
  </si>
  <si>
    <t>CN-0372-2023</t>
  </si>
  <si>
    <t>CN-0373-2023</t>
  </si>
  <si>
    <t>CN-0374-2023</t>
  </si>
  <si>
    <t>CN-0375-2023</t>
  </si>
  <si>
    <t>CN-0376-2023</t>
  </si>
  <si>
    <t>CN-0377-2023</t>
  </si>
  <si>
    <t>CN-0378-2023</t>
  </si>
  <si>
    <t>CN-0379-2023</t>
  </si>
  <si>
    <t>CN-0380-2023</t>
  </si>
  <si>
    <t>CN-0381-2023</t>
  </si>
  <si>
    <t>CN-0382-2023</t>
  </si>
  <si>
    <t>CN-0383-2023</t>
  </si>
  <si>
    <t>CN-0384-2023</t>
  </si>
  <si>
    <t>CN-0385-2023</t>
  </si>
  <si>
    <t>CN-0386-2023</t>
  </si>
  <si>
    <t>CN-0387-2023</t>
  </si>
  <si>
    <t>CN-0388-2023</t>
  </si>
  <si>
    <t>CN-0389-2023</t>
  </si>
  <si>
    <t>CN-0390-2023</t>
  </si>
  <si>
    <t>CN-0391-2023</t>
  </si>
  <si>
    <t>CN-0392-2023</t>
  </si>
  <si>
    <t>CN-0393-2023</t>
  </si>
  <si>
    <t>CN-0394-2023</t>
  </si>
  <si>
    <t>CN-0395-2023</t>
  </si>
  <si>
    <t>CN-0396-2023</t>
  </si>
  <si>
    <t>CN-0397-2023</t>
  </si>
  <si>
    <t>CN-0398-2023</t>
  </si>
  <si>
    <t>CN-0399-2023</t>
  </si>
  <si>
    <t>CN-0400-2023</t>
  </si>
  <si>
    <t>CN-0401-2023</t>
  </si>
  <si>
    <t>CN-0402-2023</t>
  </si>
  <si>
    <t>CN-0403-2023</t>
  </si>
  <si>
    <t>CN-0404-2023</t>
  </si>
  <si>
    <t>CN-0405-2023</t>
  </si>
  <si>
    <t>CN-0406-2023</t>
  </si>
  <si>
    <t>CN-0407-2023</t>
  </si>
  <si>
    <t>CN-0408-2023</t>
  </si>
  <si>
    <t>CN-0409-2023</t>
  </si>
  <si>
    <t>CN-0410-2023</t>
  </si>
  <si>
    <t>CN-0411-2023</t>
  </si>
  <si>
    <t>CN-0412-2023</t>
  </si>
  <si>
    <t>CN-0413-2023</t>
  </si>
  <si>
    <t>CN-0414-2023</t>
  </si>
  <si>
    <t>CN-0415-2023</t>
  </si>
  <si>
    <t>CN-0416-2023</t>
  </si>
  <si>
    <t>CN-0417-2023</t>
  </si>
  <si>
    <t>CN-0418-2023</t>
  </si>
  <si>
    <t>CN-0419-2023</t>
  </si>
  <si>
    <t>CN-0420-2023</t>
  </si>
  <si>
    <t>CN-0421-2023</t>
  </si>
  <si>
    <t>CN-0422-2023</t>
  </si>
  <si>
    <t>CN-0423-2023</t>
  </si>
  <si>
    <t>CN-0424-2023</t>
  </si>
  <si>
    <t>CN-0425-2023</t>
  </si>
  <si>
    <t>CN-0426-2023</t>
  </si>
  <si>
    <t>CN-0427-2023</t>
  </si>
  <si>
    <t>CN-0428-2023</t>
  </si>
  <si>
    <t>CN-0429-2023</t>
  </si>
  <si>
    <t>CN-0430-2023</t>
  </si>
  <si>
    <t>CN-0431-2023</t>
  </si>
  <si>
    <t>CN-0432-2023</t>
  </si>
  <si>
    <t>CN-0433-2023</t>
  </si>
  <si>
    <t>CN-0434-2023</t>
  </si>
  <si>
    <t>CN-0435-2023</t>
  </si>
  <si>
    <t>CN-0436-2023</t>
  </si>
  <si>
    <t>CN-0437-2023</t>
  </si>
  <si>
    <t>CN-0438-2023</t>
  </si>
  <si>
    <t>CN-0439-2023</t>
  </si>
  <si>
    <t>CN-0440-2023</t>
  </si>
  <si>
    <t>CN-0441-2023</t>
  </si>
  <si>
    <t>CN-0442-2023</t>
  </si>
  <si>
    <t>CN-0443-2023</t>
  </si>
  <si>
    <t>CN-0444-2023</t>
  </si>
  <si>
    <t>CN-0445-2023</t>
  </si>
  <si>
    <t>CN-0446-2023</t>
  </si>
  <si>
    <t>CN-0447-2023</t>
  </si>
  <si>
    <t>CN-0448-2023</t>
  </si>
  <si>
    <t>CN-0449-2023</t>
  </si>
  <si>
    <t>CN-0450-2023</t>
  </si>
  <si>
    <t>CN-0451-2023</t>
  </si>
  <si>
    <t>CN-0452-2023</t>
  </si>
  <si>
    <t>CN-0453-2023</t>
  </si>
  <si>
    <t>CN-0454-2023</t>
  </si>
  <si>
    <t>CN-0455-2023</t>
  </si>
  <si>
    <t>CN-0456-2023</t>
  </si>
  <si>
    <t>CN-0457-2023</t>
  </si>
  <si>
    <t>CN-0458-2023</t>
  </si>
  <si>
    <t>CN-0459-2023</t>
  </si>
  <si>
    <t>CN-0460-2023</t>
  </si>
  <si>
    <t>CN-0461-2023</t>
  </si>
  <si>
    <t>CN-0462-2023</t>
  </si>
  <si>
    <t>CN-0463-2023</t>
  </si>
  <si>
    <t>CN-0464-2023</t>
  </si>
  <si>
    <t>CN-0465-2023</t>
  </si>
  <si>
    <t>CN-0466-2023</t>
  </si>
  <si>
    <t>CN-0467-2023</t>
  </si>
  <si>
    <t>CN-0468-2023</t>
  </si>
  <si>
    <t>CN-0469-2023</t>
  </si>
  <si>
    <t>CN-0470-2023</t>
  </si>
  <si>
    <t>CN-0471-2023</t>
  </si>
  <si>
    <t>CN-0472-2023</t>
  </si>
  <si>
    <t>CN-0473-2023</t>
  </si>
  <si>
    <t>CN-0474-2023</t>
  </si>
  <si>
    <t>CN-0475-2023</t>
  </si>
  <si>
    <t>CN-0476-2023</t>
  </si>
  <si>
    <t>CN-0477-2023</t>
  </si>
  <si>
    <t>CN-0478-2023</t>
  </si>
  <si>
    <t>CN-0479-2023</t>
  </si>
  <si>
    <t>CN-0480-2023</t>
  </si>
  <si>
    <t>CN-0481-2023</t>
  </si>
  <si>
    <t>CN-0482-2023</t>
  </si>
  <si>
    <t>CN-0483-2023</t>
  </si>
  <si>
    <t>CN-0484-2023</t>
  </si>
  <si>
    <t>CN-0485-2023</t>
  </si>
  <si>
    <t>CN-0486-2023</t>
  </si>
  <si>
    <t>CN-0487-2023</t>
  </si>
  <si>
    <t>CN-0488-2023</t>
  </si>
  <si>
    <t>CN-0489-2023</t>
  </si>
  <si>
    <t>CN-0490-2023</t>
  </si>
  <si>
    <t>CN-0491-2023</t>
  </si>
  <si>
    <t>CN-0492-2023</t>
  </si>
  <si>
    <t>CN-0493-2023</t>
  </si>
  <si>
    <t>CN-0494-2023</t>
  </si>
  <si>
    <t>CN-0495-2023</t>
  </si>
  <si>
    <t>CN-0496-2023</t>
  </si>
  <si>
    <t>CN-0497-2023</t>
  </si>
  <si>
    <t>CN-0498-2023</t>
  </si>
  <si>
    <t>CN-0499-2023</t>
  </si>
  <si>
    <t>CN-0500-2023</t>
  </si>
  <si>
    <t>PT.  Lailasari Hariyah (Persero) Tbk</t>
  </si>
  <si>
    <t>CN-0001-2024</t>
  </si>
  <si>
    <t>Pembuatan Flyover Depok</t>
  </si>
  <si>
    <t>CN-0002-2024</t>
  </si>
  <si>
    <t>Perbaikan Gedung Pemerintah Jakarta</t>
  </si>
  <si>
    <t>Perbaikan Jalan Raya Bandung</t>
  </si>
  <si>
    <t>CN-0003-2024</t>
  </si>
  <si>
    <t>Perbaikan Gedung Pemerintah Tomohon</t>
  </si>
  <si>
    <t>PT.  Yuniar Hakim Tbk</t>
  </si>
  <si>
    <t>Pembuatan Flyover Tomohon</t>
  </si>
  <si>
    <t>CN-0004-2024</t>
  </si>
  <si>
    <t>CN-0005-2024</t>
  </si>
  <si>
    <t>Perbaikan Jembatan Bau-Bau</t>
  </si>
  <si>
    <t>CN-0006-2024</t>
  </si>
  <si>
    <t>Pembuatan Flyover Medan</t>
  </si>
  <si>
    <t>CN-0007-2024</t>
  </si>
  <si>
    <t>CN-0008-2024</t>
  </si>
  <si>
    <t>Pembuatan Jembatan Jakarta</t>
  </si>
  <si>
    <t>Perbaikan Jalan Raya Jakarta</t>
  </si>
  <si>
    <t>CN-0009-2024</t>
  </si>
  <si>
    <t>Perbaikan Jalan Raya Bau-Bau</t>
  </si>
  <si>
    <t>CN-0010-2024</t>
  </si>
  <si>
    <t>Pembuatan Jembatan Bau-Bau</t>
  </si>
  <si>
    <t>CN-0011-2024</t>
  </si>
  <si>
    <t>Pembuatan Flyover Bandung</t>
  </si>
  <si>
    <t>CN-0012-2024</t>
  </si>
  <si>
    <t>Pembuatan Flyover Bau-Bau</t>
  </si>
  <si>
    <t>CN-0013-2024</t>
  </si>
  <si>
    <t>CN-0014-2024</t>
  </si>
  <si>
    <t>Perbaikan Jalan Raya Surabaya</t>
  </si>
  <si>
    <t>Perbaikan Jalan Raya Medan</t>
  </si>
  <si>
    <t>CN-0015-2024</t>
  </si>
  <si>
    <t>Perbaikan Jalan Raya Tomohon</t>
  </si>
  <si>
    <t>CN-0016-2024</t>
  </si>
  <si>
    <t>CN-0017-2024</t>
  </si>
  <si>
    <t>CN-0018-2024</t>
  </si>
  <si>
    <t>CN-0019-2024</t>
  </si>
  <si>
    <t>Perbaikan Jalan Raya Depok</t>
  </si>
  <si>
    <t>CN-0020-2024</t>
  </si>
  <si>
    <t>Pembuatan Jembatan Depok</t>
  </si>
  <si>
    <t>Perbaikan Flyover Bau-Bau</t>
  </si>
  <si>
    <t>Perbaikan Jembatan Bandung</t>
  </si>
  <si>
    <t>Pembuatan Jembatan Surabaya</t>
  </si>
  <si>
    <t>Pembuatan Flyover Makassar</t>
  </si>
  <si>
    <t>Perbaikan Flyover Medan</t>
  </si>
  <si>
    <t>Perbaikan Gedung Pemerintah Depok</t>
  </si>
  <si>
    <t>Perbaikan Flyover Tomohon</t>
  </si>
  <si>
    <t>Perbaikan Jembatan Surabaya</t>
  </si>
  <si>
    <t>Perbaikan Gedung Pemerintah Medan</t>
  </si>
  <si>
    <t>Perbaikan Flyover Surabaya</t>
  </si>
  <si>
    <t>Pembuatan Jembatan Makassar</t>
  </si>
  <si>
    <t>Perbaikan Jembatan Makassar</t>
  </si>
  <si>
    <t>Pembuatan Flyover Surabaya</t>
  </si>
  <si>
    <t>Pembuatan Flyover Jakarta</t>
  </si>
  <si>
    <t>Perbaikan Jembatan Medan</t>
  </si>
  <si>
    <t>Perbaikan Flyover Bandung</t>
  </si>
  <si>
    <t>Perbaikan Gedung Pemerintah Surabaya</t>
  </si>
  <si>
    <t>Perbaikan Jembatan Tomohon</t>
  </si>
  <si>
    <t>Perbaikan Jalan Raya Makassar</t>
  </si>
  <si>
    <t>Pembuatan Jembatan Medan</t>
  </si>
  <si>
    <t>Perbaikan Gedung Pemerintah Makassar</t>
  </si>
  <si>
    <t>Perbaikan Gedung Pemerintah Bandung</t>
  </si>
  <si>
    <t>Perbaikan Flyover Makassar</t>
  </si>
  <si>
    <t>Perbaikan Gedung Pemerintah Bau-Bau</t>
  </si>
  <si>
    <t>Perbaikan Jembatan Depok</t>
  </si>
  <si>
    <t>Perbaikan Jembatan Jakarta</t>
  </si>
  <si>
    <t>Pembuatan Jembatan Bandung</t>
  </si>
  <si>
    <t>Perbaikan Flyover Depok</t>
  </si>
  <si>
    <t>Pembuatan Jembatan Tomohon</t>
  </si>
  <si>
    <t>Perbaikan Flyover Jakarta</t>
  </si>
  <si>
    <t>CN-9999-2024</t>
  </si>
  <si>
    <t>Tes</t>
  </si>
  <si>
    <t>x</t>
  </si>
  <si>
    <t>Indikator</t>
  </si>
  <si>
    <t>Completeness (CPT)</t>
  </si>
  <si>
    <t>Uniqueness (UNQ)</t>
  </si>
  <si>
    <t>Validity (VLD)</t>
  </si>
  <si>
    <t>Consistency (CNS)</t>
  </si>
  <si>
    <t>Feasibility (FSB)</t>
  </si>
  <si>
    <t>Cek validasi tanggal</t>
  </si>
  <si>
    <t>Cek validai anggaran</t>
  </si>
  <si>
    <t>Tahun_Mulai</t>
  </si>
  <si>
    <t>Total Proyek</t>
  </si>
  <si>
    <t>Total Anggaran</t>
  </si>
  <si>
    <t>Kinerja Keseluruhan</t>
  </si>
  <si>
    <t>Kinerja Waktu (Hari)</t>
  </si>
  <si>
    <t>Rata-rata Anggaran per Proyek</t>
  </si>
  <si>
    <t>Jenis Proyek</t>
  </si>
  <si>
    <t>Tidak Diketahui</t>
  </si>
  <si>
    <t>Total Rata-rata</t>
  </si>
  <si>
    <t>Rata-rata Anggaran per Hari</t>
  </si>
  <si>
    <t>PT. Lailasari Hariyah (Persero) Tbk</t>
  </si>
  <si>
    <t>PT. Yuniar Hakim Tbk</t>
  </si>
  <si>
    <t>Total</t>
  </si>
  <si>
    <t>Jumlah</t>
  </si>
  <si>
    <t>Sum of Anggaran</t>
  </si>
  <si>
    <t>Lokasi Proyek</t>
  </si>
  <si>
    <t>Efisiensi Kontraktor</t>
  </si>
  <si>
    <t>Efisiensi</t>
  </si>
  <si>
    <t>Tahun</t>
  </si>
  <si>
    <t>Jumlah Proyek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</si>
</sst>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-&quot;mm&quot;-&quot;yyyy"/>
    <numFmt numFmtId="165" formatCode="[$Rp]#,##0"/>
    <numFmt numFmtId="166" formatCode="yyyy&quot;-&quot;mm&quot;-&quot;dd"/>
    <numFmt numFmtId="167" formatCode="yyyy\-mm\-dd;@"/>
    <numFmt numFmtId="168" formatCode="[$Rp-421]#,##0"/>
    <numFmt numFmtId="169" formatCode="0.0"/>
  </numFmts>
  <fonts count="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2" borderId="0" xfId="0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6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7" fontId="8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69" fontId="0" fillId="0" borderId="0" xfId="0" pivotButton="1" applyNumberFormat="1" applyAlignment="1">
      <alignment horizontal="left"/>
    </xf>
    <xf numFmtId="0" fontId="0" fillId="0" borderId="0" xfId="0" pivotButton="1"/>
    <xf numFmtId="168" fontId="0" fillId="0" borderId="0" xfId="0" applyNumberFormat="1"/>
    <xf numFmtId="0" fontId="0" fillId="4" borderId="0" xfId="0" applyFill="1" applyAlignment="1">
      <alignment horizontal="left"/>
    </xf>
    <xf numFmtId="168" fontId="0" fillId="4" borderId="0" xfId="0" applyNumberFormat="1" applyFill="1"/>
    <xf numFmtId="0" fontId="0" fillId="5" borderId="0" xfId="0" applyFill="1" applyAlignment="1">
      <alignment horizontal="left"/>
    </xf>
    <xf numFmtId="168" fontId="0" fillId="5" borderId="0" xfId="0" applyNumberFormat="1" applyFill="1"/>
    <xf numFmtId="169" fontId="0" fillId="5" borderId="0" xfId="0" applyNumberFormat="1" applyFill="1" applyAlignment="1">
      <alignment horizontal="left"/>
    </xf>
    <xf numFmtId="169" fontId="0" fillId="4" borderId="0" xfId="0" applyNumberFormat="1" applyFill="1" applyAlignment="1">
      <alignment horizontal="left"/>
    </xf>
    <xf numFmtId="0" fontId="0" fillId="5" borderId="0" xfId="0" applyFill="1"/>
    <xf numFmtId="0" fontId="0" fillId="4" borderId="0" xfId="0" applyFill="1"/>
    <xf numFmtId="165" fontId="0" fillId="0" borderId="0" xfId="0" applyNumberFormat="1"/>
    <xf numFmtId="165" fontId="0" fillId="4" borderId="0" xfId="0" applyNumberFormat="1" applyFill="1"/>
    <xf numFmtId="165" fontId="0" fillId="5" borderId="0" xfId="0" applyNumberFormat="1" applyFill="1"/>
    <xf numFmtId="0" fontId="0" fillId="6" borderId="0" xfId="0" applyFill="1" applyAlignment="1">
      <alignment horizontal="left"/>
    </xf>
    <xf numFmtId="168" fontId="0" fillId="6" borderId="0" xfId="0" applyNumberFormat="1" applyFill="1"/>
    <xf numFmtId="0" fontId="0" fillId="7" borderId="0" xfId="0" applyFill="1" applyAlignment="1">
      <alignment horizontal="left"/>
    </xf>
    <xf numFmtId="168" fontId="0" fillId="7" borderId="0" xfId="0" applyNumberFormat="1" applyFill="1"/>
    <xf numFmtId="168" fontId="0" fillId="0" borderId="0" xfId="0" applyNumberFormat="1" applyAlignment="1">
      <alignment horizontal="right"/>
    </xf>
    <xf numFmtId="168" fontId="0" fillId="4" borderId="0" xfId="0" applyNumberFormat="1" applyFill="1" applyAlignment="1">
      <alignment horizontal="right"/>
    </xf>
    <xf numFmtId="168" fontId="0" fillId="5" borderId="0" xfId="0" applyNumberFormat="1" applyFill="1" applyAlignment="1">
      <alignment horizontal="right"/>
    </xf>
    <xf numFmtId="169" fontId="0" fillId="0" borderId="0" xfId="0" applyNumberFormat="1" applyAlignment="1">
      <alignment horizontal="right"/>
    </xf>
    <xf numFmtId="169" fontId="0" fillId="4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right"/>
    </xf>
  </cellXfs>
  <cellStyles count="1">
    <cellStyle name="Normal" xfId="0" builtinId="0"/>
  </cellStyles>
  <dxfs count="114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4"/>
        </patternFill>
      </fill>
    </dxf>
    <dxf>
      <numFmt numFmtId="168" formatCode="[$Rp-421]#,##0"/>
    </dxf>
    <dxf>
      <alignment horizontal="left"/>
    </dxf>
    <dxf>
      <alignment horizontal="left"/>
    </dxf>
    <dxf>
      <alignment horizontal="left"/>
    </dxf>
    <dxf>
      <numFmt numFmtId="168" formatCode="[$Rp-421]#,##0"/>
    </dxf>
    <dxf>
      <alignment horizontal="right"/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8" formatCode="[$Rp-421]#,##0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numFmt numFmtId="168" formatCode="[$Rp-421]#,##0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general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alignment horizontal="left"/>
    </dxf>
    <dxf>
      <numFmt numFmtId="168" formatCode="[$Rp-421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Rp]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Rp]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5" formatCode="[$Rp]#,##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Rp]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eetMetadata" Target="metadata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489005555559" backgroundQuery="1" createdVersion="8" refreshedVersion="8" minRefreshableVersion="3" recordCount="0" supportSubquery="1" supportAdvancedDrill="1" xr:uid="{7EFC336A-D118-4B42-9EE2-14C0B3700545}">
  <cacheSource type="external" connectionId="1"/>
  <cacheFields count="2">
    <cacheField name="[Measures].[Average of Anggaran_per_Hari]" caption="Average of Anggaran_per_Hari" numFmtId="0" hierarchy="19" level="32767"/>
    <cacheField name="[Table245].[Jenis_Proyek].[Jenis_Proyek]" caption="Jenis_Proyek" numFmtId="0" hierarchy="1" level="1">
      <sharedItems count="5">
        <s v="Drainase"/>
        <s v="Flyover"/>
        <s v="Gedung"/>
        <s v="Jalan Raya"/>
        <s v="Jembatan"/>
      </sharedItems>
    </cacheField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2" memberValueDatatype="130" unbalanced="0">
      <fieldsUsage count="2">
        <fieldUsage x="-1"/>
        <fieldUsage x="1"/>
      </fieldsUsage>
    </cacheHierarchy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3.568134606481" backgroundQuery="1" createdVersion="8" refreshedVersion="8" minRefreshableVersion="3" recordCount="0" supportSubquery="1" supportAdvancedDrill="1" xr:uid="{7FC5B154-15C9-4E0E-BE9D-755A97B3EF85}">
  <cacheSource type="external" connectionId="1"/>
  <cacheFields count="1">
    <cacheField name="[Measures].[Sum of Anggaran]" caption="Sum of Anggaran" numFmtId="0" hierarchy="14" level="32767"/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0" memberValueDatatype="130" unbalanced="0"/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3.567472916664" backgroundQuery="1" createdVersion="8" refreshedVersion="8" minRefreshableVersion="3" recordCount="0" supportSubquery="1" supportAdvancedDrill="1" xr:uid="{6CE6E196-BF8D-49CC-BE43-085B7CC37B44}">
  <cacheSource type="external" connectionId="1"/>
  <cacheFields count="1">
    <cacheField name="[Measures].[Count of ID_Proyek]" caption="Count of ID_Proyek" numFmtId="0" hierarchy="13" level="32767"/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0" memberValueDatatype="130" unbalanced="0"/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489060185188" backgroundQuery="1" createdVersion="8" refreshedVersion="8" minRefreshableVersion="3" recordCount="0" supportSubquery="1" supportAdvancedDrill="1" xr:uid="{313A623A-D0F8-4DF8-9C15-C0BB63452FB5}">
  <cacheSource type="external" connectionId="1"/>
  <cacheFields count="2">
    <cacheField name="[Measures].[Average of Anggaran]" caption="Average of Anggaran" numFmtId="0" hierarchy="17" level="32767"/>
    <cacheField name="[Table245].[Jenis_Proyek].[Jenis_Proyek]" caption="Jenis_Proyek" numFmtId="0" hierarchy="1" level="1">
      <sharedItems count="5">
        <s v="Drainase"/>
        <s v="Flyover"/>
        <s v="Gedung"/>
        <s v="Jalan Raya"/>
        <s v="Jembatan"/>
      </sharedItems>
    </cacheField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2" memberValueDatatype="130" unbalanced="0">
      <fieldsUsage count="2">
        <fieldUsage x="-1"/>
        <fieldUsage x="1"/>
      </fieldsUsage>
    </cacheHierarchy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486644212964" backgroundQuery="1" createdVersion="8" refreshedVersion="8" minRefreshableVersion="3" recordCount="0" supportSubquery="1" supportAdvancedDrill="1" xr:uid="{9953CB57-FDDD-4386-8ABA-1A2C43F94405}">
  <cacheSource type="external" connectionId="1"/>
  <cacheFields count="2">
    <cacheField name="[Measures].[Average of Durasi_Proyek]" caption="Average of Durasi_Proyek" numFmtId="0" hierarchy="16" level="32767"/>
    <cacheField name="[Table245].[Jenis_Proyek].[Jenis_Proyek]" caption="Jenis_Proyek" numFmtId="0" hierarchy="1" level="1">
      <sharedItems count="5">
        <s v="Drainase"/>
        <s v="Flyover"/>
        <s v="Gedung"/>
        <s v="Jalan Raya"/>
        <s v="Jembatan"/>
      </sharedItems>
    </cacheField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2" memberValueDatatype="130" unbalanced="0">
      <fieldsUsage count="2">
        <fieldUsage x="-1"/>
        <fieldUsage x="1"/>
      </fieldsUsage>
    </cacheHierarchy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49005763889" backgroundQuery="1" createdVersion="8" refreshedVersion="8" minRefreshableVersion="3" recordCount="0" supportSubquery="1" supportAdvancedDrill="1" xr:uid="{AB3C6F84-96EB-4BAD-90DB-EF834025EDDC}">
  <cacheSource type="external" connectionId="1"/>
  <cacheFields count="2">
    <cacheField name="[Table245].[Kontraktor].[Kontraktor]" caption="Kontraktor" numFmtId="0" hierarchy="7" level="1">
      <sharedItems count="8">
        <s v="CV Sihombing"/>
        <s v="PT A"/>
        <s v="PT B"/>
        <s v="PT C"/>
        <s v="PT D"/>
        <s v="PT. Lailasari Hariyah (Persero) Tbk"/>
        <s v="PT. Yuniar Hakim Tbk"/>
        <s v="Tidak Diketahui"/>
      </sharedItems>
    </cacheField>
    <cacheField name="[Measures].[Count of ID_Proyek]" caption="Count of ID_Proyek" numFmtId="0" hierarchy="13" level="32767"/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0" memberValueDatatype="130" unbalanced="0"/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2" memberValueDatatype="130" unbalanced="0">
      <fieldsUsage count="2">
        <fieldUsage x="-1"/>
        <fieldUsage x="0"/>
      </fieldsUsage>
    </cacheHierarchy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494717245369" backgroundQuery="1" createdVersion="8" refreshedVersion="8" minRefreshableVersion="3" recordCount="0" supportSubquery="1" supportAdvancedDrill="1" xr:uid="{D6FE6BD5-A363-4832-A7E4-25FFDD5BF56F}">
  <cacheSource type="external" connectionId="1"/>
  <cacheFields count="2">
    <cacheField name="[Table245].[Kontraktor].[Kontraktor]" caption="Kontraktor" numFmtId="0" hierarchy="7" level="1">
      <sharedItems count="8">
        <s v="CV Sihombing"/>
        <s v="PT A"/>
        <s v="PT B"/>
        <s v="PT C"/>
        <s v="PT D"/>
        <s v="PT. Lailasari Hariyah (Persero) Tbk"/>
        <s v="PT. Yuniar Hakim Tbk"/>
        <s v="Tidak Diketahui"/>
      </sharedItems>
    </cacheField>
    <cacheField name="[Measures].[Sum of Anggaran]" caption="Sum of Anggaran" numFmtId="0" hierarchy="14" level="32767"/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0" memberValueDatatype="130" unbalanced="0"/>
    <cacheHierarchy uniqueName="[Table245].[Lokasi]" caption="Lokasi" attribute="1" defaultMemberUniqueName="[Table245].[Lokasi].[All]" allUniqueName="[Table245].[Lokasi].[All]" dimensionUniqueName="[Table245]" displayFolder="" count="0" memberValueDatatype="130" unbalanced="0"/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2" memberValueDatatype="130" unbalanced="0">
      <fieldsUsage count="2">
        <fieldUsage x="-1"/>
        <fieldUsage x="0"/>
      </fieldsUsage>
    </cacheHierarchy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" refreshedDate="46064.497187384259" createdVersion="8" refreshedVersion="8" minRefreshableVersion="3" recordCount="499" xr:uid="{028B12FD-E884-423F-918A-10E98279BBCF}">
  <cacheSource type="worksheet">
    <worksheetSource name="Table245"/>
  </cacheSource>
  <cacheFields count="12">
    <cacheField name="ID_Proyek" numFmtId="0">
      <sharedItems/>
    </cacheField>
    <cacheField name="Jenis_Proyek" numFmtId="0">
      <sharedItems/>
    </cacheField>
    <cacheField name="Lokasi" numFmtId="0">
      <sharedItems/>
    </cacheField>
    <cacheField name="Nama_Proyek" numFmtId="0">
      <sharedItems/>
    </cacheField>
    <cacheField name="Tanggal_Mulai" numFmtId="167">
      <sharedItems containsSemiMixedTypes="0" containsNonDate="0" containsDate="1" containsString="0" minDate="2023-01-01T00:00:00" maxDate="2024-02-25T00:00:00"/>
    </cacheField>
    <cacheField name="Tanggal_Selesai" numFmtId="167">
      <sharedItems containsSemiMixedTypes="0" containsNonDate="0" containsDate="1" containsString="0" minDate="2023-02-11T00:00:00" maxDate="2024-12-09T00:00:00"/>
    </cacheField>
    <cacheField name="Anggaran" numFmtId="165">
      <sharedItems containsSemiMixedTypes="0" containsString="0" containsNumber="1" containsInteger="1" minValue="100103542" maxValue="22993543140"/>
    </cacheField>
    <cacheField name="Kontraktor" numFmtId="0">
      <sharedItems count="8">
        <s v="PT. Lailasari Hariyah (Persero) Tbk"/>
        <s v="CV Sihombing"/>
        <s v="Tidak Diketahui"/>
        <s v="PT. Yuniar Hakim Tbk"/>
        <s v="PT D"/>
        <s v="PT A"/>
        <s v="PT B"/>
        <s v="PT C"/>
      </sharedItems>
    </cacheField>
    <cacheField name="Durasi_Proyek" numFmtId="0">
      <sharedItems containsSemiMixedTypes="0" containsString="0" containsNumber="1" containsInteger="1" minValue="1" maxValue="365"/>
    </cacheField>
    <cacheField name="Anggaran_per_Hari" numFmtId="165">
      <sharedItems containsSemiMixedTypes="0" containsString="0" containsNumber="1" minValue="340488.23809523811" maxValue="3981092285"/>
    </cacheField>
    <cacheField name="Tahun_Mulai" numFmtId="0">
      <sharedItems containsSemiMixedTypes="0" containsString="0" containsNumber="1" containsInteger="1" minValue="2023" maxValue="2024" count="2">
        <n v="2023"/>
        <n v="2024"/>
      </sharedItems>
    </cacheField>
    <cacheField name="Efisiensi Kontraktor" numFmtId="165">
      <sharedItems containsSemiMixedTypes="0" containsString="0" containsNumber="1" minValue="340488.23809523811" maxValue="3981092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" refreshedDate="46064.502495949077" backgroundQuery="1" createdVersion="8" refreshedVersion="8" minRefreshableVersion="3" recordCount="0" supportSubquery="1" supportAdvancedDrill="1" xr:uid="{F97E1E35-5D22-4F81-840A-0586D3520DB3}">
  <cacheSource type="external" connectionId="1"/>
  <cacheFields count="2">
    <cacheField name="[Table245].[Lokasi].[Lokasi]" caption="Lokasi" numFmtId="0" hierarchy="2" level="1">
      <sharedItems count="9">
        <s v="Bandung"/>
        <s v="Bau-Bau"/>
        <s v="Depok"/>
        <s v="Jakarta"/>
        <s v="Makassar"/>
        <s v="Medan"/>
        <s v="Surabaya"/>
        <s v="Tidak Diketahui"/>
        <s v="Tomohon"/>
      </sharedItems>
    </cacheField>
    <cacheField name="[Measures].[Sum of Anggaran]" caption="Sum of Anggaran" numFmtId="0" hierarchy="14" level="32767"/>
  </cacheFields>
  <cacheHierarchies count="21">
    <cacheHierarchy uniqueName="[Table245].[ID_Proyek]" caption="ID_Proyek" attribute="1" defaultMemberUniqueName="[Table245].[ID_Proyek].[All]" allUniqueName="[Table245].[ID_Proyek].[All]" dimensionUniqueName="[Table245]" displayFolder="" count="0" memberValueDatatype="130" unbalanced="0"/>
    <cacheHierarchy uniqueName="[Table245].[Jenis_Proyek]" caption="Jenis_Proyek" attribute="1" defaultMemberUniqueName="[Table245].[Jenis_Proyek].[All]" allUniqueName="[Table245].[Jenis_Proyek].[All]" dimensionUniqueName="[Table245]" displayFolder="" count="0" memberValueDatatype="130" unbalanced="0"/>
    <cacheHierarchy uniqueName="[Table245].[Lokasi]" caption="Lokasi" attribute="1" defaultMemberUniqueName="[Table245].[Lokasi].[All]" allUniqueName="[Table245].[Lokasi].[All]" dimensionUniqueName="[Table245]" displayFolder="" count="2" memberValueDatatype="130" unbalanced="0">
      <fieldsUsage count="2">
        <fieldUsage x="-1"/>
        <fieldUsage x="0"/>
      </fieldsUsage>
    </cacheHierarchy>
    <cacheHierarchy uniqueName="[Table245].[Nama_Proyek]" caption="Nama_Proyek" attribute="1" defaultMemberUniqueName="[Table245].[Nama_Proyek].[All]" allUniqueName="[Table245].[Nama_Proyek].[All]" dimensionUniqueName="[Table245]" displayFolder="" count="0" memberValueDatatype="130" unbalanced="0"/>
    <cacheHierarchy uniqueName="[Table245].[Tanggal_Mulai]" caption="Tanggal_Mulai" attribute="1" time="1" defaultMemberUniqueName="[Table245].[Tanggal_Mulai].[All]" allUniqueName="[Table245].[Tanggal_Mulai].[All]" dimensionUniqueName="[Table245]" displayFolder="" count="0" memberValueDatatype="7" unbalanced="0"/>
    <cacheHierarchy uniqueName="[Table245].[Tanggal_Selesai]" caption="Tanggal_Selesai" attribute="1" time="1" defaultMemberUniqueName="[Table245].[Tanggal_Selesai].[All]" allUniqueName="[Table245].[Tanggal_Selesai].[All]" dimensionUniqueName="[Table245]" displayFolder="" count="0" memberValueDatatype="7" unbalanced="0"/>
    <cacheHierarchy uniqueName="[Table245].[Anggaran]" caption="Anggaran" attribute="1" defaultMemberUniqueName="[Table245].[Anggaran].[All]" allUniqueName="[Table245].[Anggaran].[All]" dimensionUniqueName="[Table245]" displayFolder="" count="0" memberValueDatatype="5" unbalanced="0"/>
    <cacheHierarchy uniqueName="[Table245].[Kontraktor]" caption="Kontraktor" attribute="1" defaultMemberUniqueName="[Table245].[Kontraktor].[All]" allUniqueName="[Table245].[Kontraktor].[All]" dimensionUniqueName="[Table245]" displayFolder="" count="0" memberValueDatatype="130" unbalanced="0"/>
    <cacheHierarchy uniqueName="[Table245].[Durasi_Proyek]" caption="Durasi_Proyek" attribute="1" defaultMemberUniqueName="[Table245].[Durasi_Proyek].[All]" allUniqueName="[Table245].[Durasi_Proyek].[All]" dimensionUniqueName="[Table245]" displayFolder="" count="0" memberValueDatatype="20" unbalanced="0"/>
    <cacheHierarchy uniqueName="[Table245].[Anggaran_per_Hari]" caption="Anggaran_per_Hari" attribute="1" defaultMemberUniqueName="[Table245].[Anggaran_per_Hari].[All]" allUniqueName="[Table245].[Anggaran_per_Hari].[All]" dimensionUniqueName="[Table245]" displayFolder="" count="0" memberValueDatatype="5" unbalanced="0"/>
    <cacheHierarchy uniqueName="[Table245].[Tahun_Mulai]" caption="Tahun_Mulai" attribute="1" defaultMemberUniqueName="[Table245].[Tahun_Mulai].[All]" allUniqueName="[Table245].[Tahun_Mulai].[All]" dimensionUniqueName="[Table245]" displayFolder="" count="0" memberValueDatatype="20" unbalanced="0"/>
    <cacheHierarchy uniqueName="[Measures].[__XL_Count Table245]" caption="__XL_Count Table245" measure="1" displayFolder="" measureGroup="Table245" count="0" hidden="1"/>
    <cacheHierarchy uniqueName="[Measures].[__No measures defined]" caption="__No measures defined" measure="1" displayFolder="" count="0" hidden="1"/>
    <cacheHierarchy uniqueName="[Measures].[Count of ID_Proyek]" caption="Count of ID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ggaran]" caption="Sum of Anggaran" measure="1" displayFolder="" measureGroup="Table24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urasi_Proyek]" caption="Sum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urasi_Proyek]" caption="Average of Durasi_Proyek" measure="1" displayFolder="" measureGroup="Table24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ggaran]" caption="Average of Anggaran" measure="1" displayFolder="" measureGroup="Table245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nggaran_per_Hari]" caption="Sum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nggaran_per_Hari]" caption="Average of Anggaran_per_Hari" measure="1" displayFolder="" measureGroup="Table24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Kontraktor]" caption="Count of Kontraktor" measure="1" displayFolder="" measureGroup="Table24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45" uniqueName="[Table245]" caption="Table245"/>
  </dimensions>
  <measureGroups count="1">
    <measureGroup name="Table245" caption="Table2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CN-0001-2023"/>
    <s v="Drainase"/>
    <s v="Bandung"/>
    <s v="Perbaikan Drainase Bandung"/>
    <d v="2023-01-01T00:00:00"/>
    <d v="2023-03-09T00:00:00"/>
    <n v="649208256"/>
    <x v="0"/>
    <n v="67"/>
    <n v="9689675.4626865666"/>
    <x v="0"/>
    <n v="9689675.4626865666"/>
  </r>
  <r>
    <s v="CN-0001-2024"/>
    <s v="Drainase"/>
    <s v="Surabaya"/>
    <s v="Perbaikan Drainase Surabaya"/>
    <d v="2024-01-28T00:00:00"/>
    <d v="2024-02-01T00:00:00"/>
    <n v="326999652"/>
    <x v="1"/>
    <n v="4"/>
    <n v="81749913"/>
    <x v="1"/>
    <n v="81749913"/>
  </r>
  <r>
    <s v="CN-0002-2023"/>
    <s v="Flyover"/>
    <s v="Depok"/>
    <s v="Pembuatan Flyover Depok"/>
    <d v="2023-01-01T00:00:00"/>
    <d v="2023-05-16T00:00:00"/>
    <n v="3474309188"/>
    <x v="1"/>
    <n v="135"/>
    <n v="25735623.614814814"/>
    <x v="0"/>
    <n v="25735623.614814814"/>
  </r>
  <r>
    <s v="CN-0002-2024"/>
    <s v="Gedung"/>
    <s v="Jakarta"/>
    <s v="Perbaikan Gedung Pemerintah Jakarta"/>
    <d v="2024-01-29T00:00:00"/>
    <d v="2024-02-14T00:00:00"/>
    <n v="8587951510"/>
    <x v="1"/>
    <n v="16"/>
    <n v="536746969.375"/>
    <x v="1"/>
    <n v="536746969.375"/>
  </r>
  <r>
    <s v="CN-0003-2023"/>
    <s v="Jalan Raya"/>
    <s v="Bandung"/>
    <s v="Perbaikan Jalan Raya Bandung"/>
    <d v="2023-01-02T00:00:00"/>
    <d v="2023-11-09T00:00:00"/>
    <n v="191505827"/>
    <x v="2"/>
    <n v="311"/>
    <n v="615774.36334405141"/>
    <x v="0"/>
    <n v="615774.36334405141"/>
  </r>
  <r>
    <s v="CN-0003-2024"/>
    <s v="Gedung"/>
    <s v="Tomohon"/>
    <s v="Perbaikan Gedung Pemerintah Tomohon"/>
    <d v="2024-02-01T00:00:00"/>
    <d v="2024-02-21T00:00:00"/>
    <n v="8016851785"/>
    <x v="3"/>
    <n v="20"/>
    <n v="400842589.25"/>
    <x v="1"/>
    <n v="400842589.25"/>
  </r>
  <r>
    <s v="CN-0004-2023"/>
    <s v="Flyover"/>
    <s v="Tomohon"/>
    <s v="Pembuatan Flyover Tomohon"/>
    <d v="2023-01-02T00:00:00"/>
    <d v="2023-03-21T00:00:00"/>
    <n v="3979021821"/>
    <x v="4"/>
    <n v="78"/>
    <n v="51013100.269230768"/>
    <x v="0"/>
    <n v="51013100.269230768"/>
  </r>
  <r>
    <s v="CN-0004-2024"/>
    <s v="Gedung"/>
    <s v="Jakarta"/>
    <s v="Perbaikan Gedung Pemerintah Jakarta"/>
    <d v="2024-02-03T00:00:00"/>
    <d v="2024-02-20T00:00:00"/>
    <n v="2153093275"/>
    <x v="3"/>
    <n v="17"/>
    <n v="126652545.58823529"/>
    <x v="1"/>
    <n v="126652545.58823529"/>
  </r>
  <r>
    <s v="CN-0005-2023"/>
    <s v="Drainase"/>
    <s v="Jakarta"/>
    <s v="Perbaikan Drainase Jakarta"/>
    <d v="2023-01-02T00:00:00"/>
    <d v="2023-12-11T00:00:00"/>
    <n v="683556997"/>
    <x v="5"/>
    <n v="343"/>
    <n v="1992877.5422740525"/>
    <x v="0"/>
    <n v="1992877.5422740525"/>
  </r>
  <r>
    <s v="CN-0005-2024"/>
    <s v="Jembatan"/>
    <s v="Bau-Bau"/>
    <s v="Perbaikan Jembatan Bau-Bau"/>
    <d v="2024-02-05T00:00:00"/>
    <d v="2024-03-02T00:00:00"/>
    <n v="4636324090"/>
    <x v="0"/>
    <n v="26"/>
    <n v="178320157.30769232"/>
    <x v="1"/>
    <n v="178320157.30769232"/>
  </r>
  <r>
    <s v="CN-0006-2023"/>
    <s v="Drainase"/>
    <s v="Tomohon"/>
    <s v="Perbaikan Drainase Tomohon"/>
    <d v="2023-01-03T00:00:00"/>
    <d v="2023-10-31T00:00:00"/>
    <n v="663835414"/>
    <x v="6"/>
    <n v="301"/>
    <n v="2205433.2691029902"/>
    <x v="0"/>
    <n v="2205433.2691029902"/>
  </r>
  <r>
    <s v="CN-0006-2024"/>
    <s v="Drainase"/>
    <s v="Bandung"/>
    <s v="Perbaikan Drainase Bandung"/>
    <d v="2024-02-07T00:00:00"/>
    <d v="2024-03-09T00:00:00"/>
    <n v="698540517"/>
    <x v="5"/>
    <n v="31"/>
    <n v="22533565.064516131"/>
    <x v="1"/>
    <n v="22533565.064516131"/>
  </r>
  <r>
    <s v="CN-0007-2023"/>
    <s v="Flyover"/>
    <s v="Medan"/>
    <s v="Pembuatan Flyover Medan"/>
    <d v="2023-01-03T00:00:00"/>
    <d v="2023-12-01T00:00:00"/>
    <n v="2423693734"/>
    <x v="4"/>
    <n v="332"/>
    <n v="7300282.331325301"/>
    <x v="0"/>
    <n v="7300282.331325301"/>
  </r>
  <r>
    <s v="CN-0007-2024"/>
    <s v="Drainase"/>
    <s v="Depok"/>
    <s v="Perbaikan Drainase Depok"/>
    <d v="2024-02-08T00:00:00"/>
    <d v="2024-02-15T00:00:00"/>
    <n v="313131839"/>
    <x v="4"/>
    <n v="7"/>
    <n v="44733119.857142858"/>
    <x v="1"/>
    <n v="44733119.857142858"/>
  </r>
  <r>
    <s v="CN-0008-2023"/>
    <s v="Jalan Raya"/>
    <s v="Bandung"/>
    <s v="Perbaikan Jalan Raya Bandung"/>
    <d v="2023-01-03T00:00:00"/>
    <d v="2023-04-25T00:00:00"/>
    <n v="281077623"/>
    <x v="3"/>
    <n v="112"/>
    <n v="2509621.6339285714"/>
    <x v="0"/>
    <n v="2509621.6339285714"/>
  </r>
  <r>
    <s v="CN-0008-2024"/>
    <s v="Jembatan"/>
    <s v="Jakarta"/>
    <s v="Pembuatan Jembatan Jakarta"/>
    <d v="2024-02-08T00:00:00"/>
    <d v="2024-04-04T00:00:00"/>
    <n v="921085536"/>
    <x v="6"/>
    <n v="56"/>
    <n v="16447956"/>
    <x v="1"/>
    <n v="16447956"/>
  </r>
  <r>
    <s v="CN-0009-2023"/>
    <s v="Jalan Raya"/>
    <s v="Jakarta"/>
    <s v="Perbaikan Jalan Raya Jakarta"/>
    <d v="2023-01-04T00:00:00"/>
    <d v="2023-09-13T00:00:00"/>
    <n v="241214887"/>
    <x v="6"/>
    <n v="252"/>
    <n v="957201.93253968249"/>
    <x v="0"/>
    <n v="957201.93253968249"/>
  </r>
  <r>
    <s v="CN-0009-2024"/>
    <s v="Drainase"/>
    <s v="Bandung"/>
    <s v="Perbaikan Drainase Bandung"/>
    <d v="2024-02-12T00:00:00"/>
    <d v="2024-02-29T00:00:00"/>
    <n v="425861681"/>
    <x v="4"/>
    <n v="17"/>
    <n v="25050687.117647059"/>
    <x v="1"/>
    <n v="25050687.117647059"/>
  </r>
  <r>
    <s v="CN-0010-2023"/>
    <s v="Jalan Raya"/>
    <s v="Bau-Bau"/>
    <s v="Perbaikan Jalan Raya Bau-Bau"/>
    <d v="2023-01-04T00:00:00"/>
    <d v="2023-11-14T00:00:00"/>
    <n v="749126801"/>
    <x v="0"/>
    <n v="314"/>
    <n v="2385754.1433121017"/>
    <x v="0"/>
    <n v="2385754.1433121017"/>
  </r>
  <r>
    <s v="CN-0010-2024"/>
    <s v="Jembatan"/>
    <s v="Bau-Bau"/>
    <s v="Pembuatan Jembatan Bau-Bau"/>
    <d v="2024-02-13T00:00:00"/>
    <d v="2024-04-04T00:00:00"/>
    <n v="6584342537"/>
    <x v="3"/>
    <n v="51"/>
    <n v="129104755.62745099"/>
    <x v="1"/>
    <n v="129104755.62745099"/>
  </r>
  <r>
    <s v="CN-0011-2023"/>
    <s v="Drainase"/>
    <s v="Depok"/>
    <s v="Perbaikan Drainase Depok"/>
    <d v="2023-01-05T00:00:00"/>
    <d v="2023-02-11T00:00:00"/>
    <n v="536495065"/>
    <x v="1"/>
    <n v="37"/>
    <n v="14499866.621621622"/>
    <x v="0"/>
    <n v="14499866.621621622"/>
  </r>
  <r>
    <s v="CN-0011-2024"/>
    <s v="Flyover"/>
    <s v="Bandung"/>
    <s v="Pembuatan Flyover Bandung"/>
    <d v="2024-02-14T00:00:00"/>
    <d v="2024-02-14T00:00:00"/>
    <n v="3981092285"/>
    <x v="4"/>
    <n v="1"/>
    <n v="3981092285"/>
    <x v="1"/>
    <n v="3981092285"/>
  </r>
  <r>
    <s v="CN-0012-2023"/>
    <s v="Drainase"/>
    <s v="Medan"/>
    <s v="Perbaikan Drainase Medan"/>
    <d v="2023-01-06T00:00:00"/>
    <d v="2023-07-01T00:00:00"/>
    <n v="341629572"/>
    <x v="1"/>
    <n v="176"/>
    <n v="1941077.1136363635"/>
    <x v="0"/>
    <n v="1941077.1136363635"/>
  </r>
  <r>
    <s v="CN-0012-2024"/>
    <s v="Drainase"/>
    <s v="Tomohon"/>
    <s v="Perbaikan Drainase Tomohon"/>
    <d v="2024-02-15T00:00:00"/>
    <d v="2024-02-20T00:00:00"/>
    <n v="603837273"/>
    <x v="6"/>
    <n v="5"/>
    <n v="120767454.59999999"/>
    <x v="1"/>
    <n v="120767454.59999999"/>
  </r>
  <r>
    <s v="CN-0013-2023"/>
    <s v="Flyover"/>
    <s v="Bau-Bau"/>
    <s v="Pembuatan Flyover Bau-Bau"/>
    <d v="2023-01-09T00:00:00"/>
    <d v="2023-02-14T00:00:00"/>
    <n v="4534202846"/>
    <x v="1"/>
    <n v="36"/>
    <n v="125950079.05555555"/>
    <x v="0"/>
    <n v="125950079.05555555"/>
  </r>
  <r>
    <s v="CN-0013-2024"/>
    <s v="Drainase"/>
    <s v="Medan"/>
    <s v="Perbaikan Drainase Medan"/>
    <d v="2024-02-16T00:00:00"/>
    <d v="2024-02-24T00:00:00"/>
    <n v="257898943"/>
    <x v="3"/>
    <n v="8"/>
    <n v="32237367.875"/>
    <x v="1"/>
    <n v="32237367.875"/>
  </r>
  <r>
    <s v="CN-0014-2023"/>
    <s v="Drainase"/>
    <s v="Medan"/>
    <s v="Perbaikan Drainase Medan"/>
    <d v="2023-01-10T00:00:00"/>
    <d v="2024-01-04T00:00:00"/>
    <n v="489065831"/>
    <x v="5"/>
    <n v="359"/>
    <n v="1362300.364902507"/>
    <x v="0"/>
    <n v="1362300.364902507"/>
  </r>
  <r>
    <s v="CN-0014-2024"/>
    <s v="Jalan Raya"/>
    <s v="Surabaya"/>
    <s v="Perbaikan Jalan Raya Surabaya"/>
    <d v="2024-02-17T00:00:00"/>
    <d v="2024-03-28T00:00:00"/>
    <n v="545662746"/>
    <x v="5"/>
    <n v="40"/>
    <n v="13641568.65"/>
    <x v="1"/>
    <n v="13641568.65"/>
  </r>
  <r>
    <s v="CN-0015-2023"/>
    <s v="Jalan Raya"/>
    <s v="Medan"/>
    <s v="Perbaikan Jalan Raya Medan"/>
    <d v="2023-01-12T00:00:00"/>
    <d v="2023-02-28T00:00:00"/>
    <n v="486357978"/>
    <x v="2"/>
    <n v="47"/>
    <n v="10348042.085106382"/>
    <x v="0"/>
    <n v="10348042.085106382"/>
  </r>
  <r>
    <s v="CN-0015-2024"/>
    <s v="Jalan Raya"/>
    <s v="Surabaya"/>
    <s v="Perbaikan Jalan Raya Surabaya"/>
    <d v="2024-02-18T00:00:00"/>
    <d v="2024-03-20T00:00:00"/>
    <n v="810414368"/>
    <x v="7"/>
    <n v="31"/>
    <n v="26142398.967741936"/>
    <x v="1"/>
    <n v="26142398.967741936"/>
  </r>
  <r>
    <s v="CN-0016-2023"/>
    <s v="Jalan Raya"/>
    <s v="Tomohon"/>
    <s v="Perbaikan Jalan Raya Tomohon"/>
    <d v="2023-01-12T00:00:00"/>
    <d v="2023-12-02T00:00:00"/>
    <n v="341929482"/>
    <x v="3"/>
    <n v="324"/>
    <n v="1055337.9074074074"/>
    <x v="0"/>
    <n v="1055337.9074074074"/>
  </r>
  <r>
    <s v="CN-0016-2024"/>
    <s v="Jalan Raya"/>
    <s v="Bau-Bau"/>
    <s v="Perbaikan Jalan Raya Bau-Bau"/>
    <d v="2024-02-19T00:00:00"/>
    <d v="2024-04-06T00:00:00"/>
    <n v="599466235"/>
    <x v="3"/>
    <n v="47"/>
    <n v="12754600.744680852"/>
    <x v="1"/>
    <n v="12754600.744680852"/>
  </r>
  <r>
    <s v="CN-0017-2023"/>
    <s v="Gedung"/>
    <s v="Tomohon"/>
    <s v="Perbaikan Gedung Pemerintah Tomohon"/>
    <d v="2023-01-13T00:00:00"/>
    <d v="2023-09-16T00:00:00"/>
    <n v="4929333305"/>
    <x v="3"/>
    <n v="246"/>
    <n v="20037940.264227644"/>
    <x v="0"/>
    <n v="20037940.264227644"/>
  </r>
  <r>
    <s v="CN-0017-2024"/>
    <s v="Drainase"/>
    <s v="Bandung"/>
    <s v="Perbaikan Drainase Bandung"/>
    <d v="2024-02-19T00:00:00"/>
    <d v="2024-02-28T00:00:00"/>
    <n v="333089653"/>
    <x v="6"/>
    <n v="9"/>
    <n v="37009961.444444448"/>
    <x v="1"/>
    <n v="37009961.444444448"/>
  </r>
  <r>
    <s v="CN-0018-2023"/>
    <s v="Drainase"/>
    <s v="Tomohon"/>
    <s v="Perbaikan Drainase Tomohon"/>
    <d v="2023-01-14T00:00:00"/>
    <d v="2023-04-27T00:00:00"/>
    <n v="523689841"/>
    <x v="4"/>
    <n v="103"/>
    <n v="5084367.3883495145"/>
    <x v="0"/>
    <n v="5084367.3883495145"/>
  </r>
  <r>
    <s v="CN-0018-2024"/>
    <s v="Flyover"/>
    <s v="Bandung"/>
    <s v="Pembuatan Flyover Bandung"/>
    <d v="2024-02-19T00:00:00"/>
    <d v="2024-04-24T00:00:00"/>
    <n v="3757312666"/>
    <x v="6"/>
    <n v="65"/>
    <n v="57804810.246153846"/>
    <x v="1"/>
    <n v="57804810.246153846"/>
  </r>
  <r>
    <s v="CN-0019-2023"/>
    <s v="Flyover"/>
    <s v="Medan"/>
    <s v="Pembuatan Flyover Medan"/>
    <d v="2023-01-14T00:00:00"/>
    <d v="2023-10-07T00:00:00"/>
    <n v="3894709817"/>
    <x v="3"/>
    <n v="266"/>
    <n v="14641766.229323309"/>
    <x v="0"/>
    <n v="14641766.229323309"/>
  </r>
  <r>
    <s v="CN-0019-2024"/>
    <s v="Jalan Raya"/>
    <s v="Depok"/>
    <s v="Perbaikan Jalan Raya Depok"/>
    <d v="2024-02-21T00:00:00"/>
    <d v="2024-03-31T00:00:00"/>
    <n v="462876320"/>
    <x v="2"/>
    <n v="39"/>
    <n v="11868623.58974359"/>
    <x v="1"/>
    <n v="11868623.58974359"/>
  </r>
  <r>
    <s v="CN-0020-2023"/>
    <s v="Jembatan"/>
    <s v="Jakarta"/>
    <s v="Pembuatan Jembatan Jakarta"/>
    <d v="2023-01-15T00:00:00"/>
    <d v="2023-09-19T00:00:00"/>
    <n v="4532376815"/>
    <x v="4"/>
    <n v="247"/>
    <n v="18349703.704453442"/>
    <x v="0"/>
    <n v="18349703.704453442"/>
  </r>
  <r>
    <s v="CN-0020-2024"/>
    <s v="Jembatan"/>
    <s v="Depok"/>
    <s v="Pembuatan Jembatan Depok"/>
    <d v="2024-02-24T00:00:00"/>
    <d v="2024-04-16T00:00:00"/>
    <n v="3821117140"/>
    <x v="4"/>
    <n v="52"/>
    <n v="73483021.923076928"/>
    <x v="1"/>
    <n v="73483021.923076928"/>
  </r>
  <r>
    <s v="CN-0021-2023"/>
    <s v="Flyover"/>
    <s v="Bau-Bau"/>
    <s v="Perbaikan Flyover Bau-Bau"/>
    <d v="2023-01-15T00:00:00"/>
    <d v="2023-12-30T00:00:00"/>
    <n v="4159855566"/>
    <x v="7"/>
    <n v="349"/>
    <n v="11919356.922636103"/>
    <x v="0"/>
    <n v="11919356.922636103"/>
  </r>
  <r>
    <s v="CN-0022-2023"/>
    <s v="Jembatan"/>
    <s v="Bandung"/>
    <s v="Perbaikan Jembatan Bandung"/>
    <d v="2023-01-15T00:00:00"/>
    <d v="2023-06-18T00:00:00"/>
    <n v="4492886828"/>
    <x v="4"/>
    <n v="154"/>
    <n v="29174589.792207792"/>
    <x v="0"/>
    <n v="29174589.792207792"/>
  </r>
  <r>
    <s v="CN-0023-2023"/>
    <s v="Jembatan"/>
    <s v="Surabaya"/>
    <s v="Pembuatan Jembatan Surabaya"/>
    <d v="2023-01-16T00:00:00"/>
    <d v="2023-04-18T00:00:00"/>
    <n v="1424729417"/>
    <x v="3"/>
    <n v="92"/>
    <n v="15486189.315217391"/>
    <x v="0"/>
    <n v="15486189.315217391"/>
  </r>
  <r>
    <s v="CN-0024-2023"/>
    <s v="Jembatan"/>
    <s v="Bau-Bau"/>
    <s v="Pembuatan Jembatan Bau-Bau"/>
    <d v="2023-01-17T00:00:00"/>
    <d v="2023-04-11T00:00:00"/>
    <n v="1425616276"/>
    <x v="1"/>
    <n v="84"/>
    <n v="16971622.333333332"/>
    <x v="0"/>
    <n v="16971622.333333332"/>
  </r>
  <r>
    <s v="CN-0025-2023"/>
    <s v="Jalan Raya"/>
    <s v="Bandung"/>
    <s v="Perbaikan Jalan Raya Bandung"/>
    <d v="2023-01-17T00:00:00"/>
    <d v="2023-07-29T00:00:00"/>
    <n v="307413755"/>
    <x v="1"/>
    <n v="193"/>
    <n v="1592817.383419689"/>
    <x v="0"/>
    <n v="1592817.383419689"/>
  </r>
  <r>
    <s v="CN-0026-2023"/>
    <s v="Jembatan"/>
    <s v="Bau-Bau"/>
    <s v="Pembuatan Jembatan Bau-Bau"/>
    <d v="2023-01-18T00:00:00"/>
    <d v="2023-07-06T00:00:00"/>
    <n v="6929733135"/>
    <x v="7"/>
    <n v="169"/>
    <n v="41004338.07692308"/>
    <x v="0"/>
    <n v="41004338.07692308"/>
  </r>
  <r>
    <s v="CN-0027-2023"/>
    <s v="Jembatan"/>
    <s v="Bau-Bau"/>
    <s v="Perbaikan Jembatan Bau-Bau"/>
    <d v="2023-01-18T00:00:00"/>
    <d v="2023-12-24T00:00:00"/>
    <n v="1567712170"/>
    <x v="3"/>
    <n v="340"/>
    <n v="4610918.1470588231"/>
    <x v="0"/>
    <n v="4610918.1470588231"/>
  </r>
  <r>
    <s v="CN-0028-2023"/>
    <s v="Jembatan"/>
    <s v="Jakarta"/>
    <s v="Pembuatan Jembatan Jakarta"/>
    <d v="2023-01-19T00:00:00"/>
    <d v="2023-04-21T00:00:00"/>
    <n v="3020860458"/>
    <x v="3"/>
    <n v="92"/>
    <n v="32835439.760869566"/>
    <x v="0"/>
    <n v="32835439.760869566"/>
  </r>
  <r>
    <s v="CN-0029-2023"/>
    <s v="Drainase"/>
    <s v="Medan"/>
    <s v="Perbaikan Drainase Medan"/>
    <d v="2023-01-20T00:00:00"/>
    <d v="2023-06-28T00:00:00"/>
    <n v="443234047"/>
    <x v="0"/>
    <n v="159"/>
    <n v="2787635.5157232704"/>
    <x v="0"/>
    <n v="2787635.5157232704"/>
  </r>
  <r>
    <s v="CN-0030-2023"/>
    <s v="Flyover"/>
    <s v="Makassar"/>
    <s v="Pembuatan Flyover Makassar"/>
    <d v="2023-01-21T00:00:00"/>
    <d v="2023-09-08T00:00:00"/>
    <n v="4609627000"/>
    <x v="7"/>
    <n v="230"/>
    <n v="20041856.521739129"/>
    <x v="0"/>
    <n v="20041856.521739129"/>
  </r>
  <r>
    <s v="CN-0031-2023"/>
    <s v="Jalan Raya"/>
    <s v="Bandung"/>
    <s v="Perbaikan Jalan Raya Bandung"/>
    <d v="2023-01-22T00:00:00"/>
    <d v="2023-05-08T00:00:00"/>
    <n v="995204213"/>
    <x v="3"/>
    <n v="106"/>
    <n v="9388718.9905660376"/>
    <x v="0"/>
    <n v="9388718.9905660376"/>
  </r>
  <r>
    <s v="CN-0032-2023"/>
    <s v="Flyover"/>
    <s v="Medan"/>
    <s v="Perbaikan Flyover Medan"/>
    <d v="2023-01-23T00:00:00"/>
    <d v="2023-04-25T00:00:00"/>
    <n v="3867579335"/>
    <x v="4"/>
    <n v="92"/>
    <n v="42038905.815217391"/>
    <x v="0"/>
    <n v="42038905.815217391"/>
  </r>
  <r>
    <s v="CN-0033-2023"/>
    <s v="Gedung"/>
    <s v="Depok"/>
    <s v="Perbaikan Gedung Pemerintah Depok"/>
    <d v="2023-01-23T00:00:00"/>
    <d v="2023-03-01T00:00:00"/>
    <n v="8428412586"/>
    <x v="0"/>
    <n v="37"/>
    <n v="227794934.75675675"/>
    <x v="0"/>
    <n v="227794934.75675675"/>
  </r>
  <r>
    <s v="CN-0034-2023"/>
    <s v="Flyover"/>
    <s v="Tomohon"/>
    <s v="Perbaikan Flyover Tomohon"/>
    <d v="2023-01-24T00:00:00"/>
    <d v="2023-06-01T00:00:00"/>
    <n v="2004784321"/>
    <x v="5"/>
    <n v="128"/>
    <n v="15662377.5078125"/>
    <x v="0"/>
    <n v="15662377.5078125"/>
  </r>
  <r>
    <s v="CN-0035-2023"/>
    <s v="Jembatan"/>
    <s v="Surabaya"/>
    <s v="Perbaikan Jembatan Surabaya"/>
    <d v="2023-01-24T00:00:00"/>
    <d v="2023-04-07T00:00:00"/>
    <n v="2364631347"/>
    <x v="1"/>
    <n v="73"/>
    <n v="32392210.232876711"/>
    <x v="0"/>
    <n v="32392210.232876711"/>
  </r>
  <r>
    <s v="CN-0036-2023"/>
    <s v="Jembatan"/>
    <s v="Bau-Bau"/>
    <s v="Perbaikan Jembatan Bau-Bau"/>
    <d v="2023-01-25T00:00:00"/>
    <d v="2023-09-18T00:00:00"/>
    <n v="7177546505"/>
    <x v="5"/>
    <n v="236"/>
    <n v="30413332.648305085"/>
    <x v="0"/>
    <n v="30413332.648305085"/>
  </r>
  <r>
    <s v="CN-0037-2023"/>
    <s v="Drainase"/>
    <s v="Bau-Bau"/>
    <s v="Perbaikan Drainase Bau-Bau"/>
    <d v="2023-01-25T00:00:00"/>
    <d v="2023-12-02T00:00:00"/>
    <n v="420827734"/>
    <x v="6"/>
    <n v="311"/>
    <n v="1353143.8392282957"/>
    <x v="0"/>
    <n v="1353143.8392282957"/>
  </r>
  <r>
    <s v="CN-0038-2023"/>
    <s v="Drainase"/>
    <s v="Tomohon"/>
    <s v="Perbaikan Drainase Tomohon"/>
    <d v="2023-01-28T00:00:00"/>
    <d v="2023-09-17T00:00:00"/>
    <n v="382266210"/>
    <x v="2"/>
    <n v="232"/>
    <n v="1647699.1810344828"/>
    <x v="0"/>
    <n v="1647699.1810344828"/>
  </r>
  <r>
    <s v="CN-0039-2023"/>
    <s v="Flyover"/>
    <s v="Bau-Bau"/>
    <s v="Pembuatan Flyover Bau-Bau"/>
    <d v="2023-01-28T00:00:00"/>
    <d v="2023-10-21T00:00:00"/>
    <n v="1545241955"/>
    <x v="1"/>
    <n v="266"/>
    <n v="5809180.2819548873"/>
    <x v="0"/>
    <n v="5809180.2819548873"/>
  </r>
  <r>
    <s v="CN-0040-2023"/>
    <s v="Gedung"/>
    <s v="Medan"/>
    <s v="Perbaikan Gedung Pemerintah Medan"/>
    <d v="2023-01-28T00:00:00"/>
    <d v="2023-08-20T00:00:00"/>
    <n v="6831252497"/>
    <x v="5"/>
    <n v="204"/>
    <n v="33486531.848039217"/>
    <x v="0"/>
    <n v="33486531.848039217"/>
  </r>
  <r>
    <s v="CN-0041-2023"/>
    <s v="Jembatan"/>
    <s v="Bau-Bau"/>
    <s v="Perbaikan Jembatan Bau-Bau"/>
    <d v="2023-01-29T00:00:00"/>
    <d v="2023-07-09T00:00:00"/>
    <n v="3703277131"/>
    <x v="2"/>
    <n v="161"/>
    <n v="23001721.310559005"/>
    <x v="0"/>
    <n v="23001721.310559005"/>
  </r>
  <r>
    <s v="CN-0042-2023"/>
    <s v="Flyover"/>
    <s v="Surabaya"/>
    <s v="Perbaikan Flyover Surabaya"/>
    <d v="2023-02-01T00:00:00"/>
    <d v="2023-08-20T00:00:00"/>
    <n v="3678391600"/>
    <x v="6"/>
    <n v="200"/>
    <n v="18391958"/>
    <x v="0"/>
    <n v="18391958"/>
  </r>
  <r>
    <s v="CN-0043-2023"/>
    <s v="Jalan Raya"/>
    <s v="Bandung"/>
    <s v="Perbaikan Jalan Raya Bandung"/>
    <d v="2023-02-02T00:00:00"/>
    <d v="2023-11-28T00:00:00"/>
    <n v="888014731"/>
    <x v="6"/>
    <n v="299"/>
    <n v="2969948.933110368"/>
    <x v="0"/>
    <n v="2969948.933110368"/>
  </r>
  <r>
    <s v="CN-0044-2023"/>
    <s v="Jalan Raya"/>
    <s v="Jakarta"/>
    <s v="Perbaikan Jalan Raya Jakarta"/>
    <d v="2023-02-02T00:00:00"/>
    <d v="2023-08-12T00:00:00"/>
    <n v="593629020"/>
    <x v="4"/>
    <n v="191"/>
    <n v="3108005.3403141364"/>
    <x v="0"/>
    <n v="3108005.3403141364"/>
  </r>
  <r>
    <s v="CN-0045-2023"/>
    <s v="Jembatan"/>
    <s v="Makassar"/>
    <s v="Pembuatan Jembatan Makassar"/>
    <d v="2023-02-02T00:00:00"/>
    <d v="2023-08-29T00:00:00"/>
    <n v="5835541492"/>
    <x v="2"/>
    <n v="208"/>
    <n v="28055487.942307692"/>
    <x v="0"/>
    <n v="28055487.942307692"/>
  </r>
  <r>
    <s v="CN-0046-2023"/>
    <s v="Drainase"/>
    <s v="Bandung"/>
    <s v="Perbaikan Drainase Bandung"/>
    <d v="2023-02-03T00:00:00"/>
    <d v="2024-01-12T00:00:00"/>
    <n v="213457440"/>
    <x v="5"/>
    <n v="343"/>
    <n v="622324.89795918367"/>
    <x v="0"/>
    <n v="622324.89795918367"/>
  </r>
  <r>
    <s v="CN-0047-2023"/>
    <s v="Drainase"/>
    <s v="Jakarta"/>
    <s v="Perbaikan Drainase Jakarta"/>
    <d v="2023-02-04T00:00:00"/>
    <d v="2023-05-19T00:00:00"/>
    <n v="327569561"/>
    <x v="5"/>
    <n v="104"/>
    <n v="3149707.3173076925"/>
    <x v="0"/>
    <n v="3149707.3173076925"/>
  </r>
  <r>
    <s v="CN-0048-2023"/>
    <s v="Drainase"/>
    <s v="Jakarta"/>
    <s v="Perbaikan Drainase Jakarta"/>
    <d v="2023-02-04T00:00:00"/>
    <d v="2023-06-01T00:00:00"/>
    <n v="705483967"/>
    <x v="1"/>
    <n v="117"/>
    <n v="6029777.495726496"/>
    <x v="0"/>
    <n v="6029777.495726496"/>
  </r>
  <r>
    <s v="CN-0049-2023"/>
    <s v="Jembatan"/>
    <s v="Makassar"/>
    <s v="Perbaikan Jembatan Makassar"/>
    <d v="2023-02-06T00:00:00"/>
    <d v="2023-05-02T00:00:00"/>
    <n v="3447782131"/>
    <x v="4"/>
    <n v="85"/>
    <n v="40562142.717647061"/>
    <x v="0"/>
    <n v="40562142.717647061"/>
  </r>
  <r>
    <s v="CN-0050-2023"/>
    <s v="Flyover"/>
    <s v="Depok"/>
    <s v="Pembuatan Flyover Depok"/>
    <d v="2023-02-06T00:00:00"/>
    <d v="2024-01-22T00:00:00"/>
    <n v="2635808219"/>
    <x v="6"/>
    <n v="350"/>
    <n v="7530880.6257142853"/>
    <x v="0"/>
    <n v="7530880.6257142853"/>
  </r>
  <r>
    <s v="CN-0051-2023"/>
    <s v="Flyover"/>
    <s v="Surabaya"/>
    <s v="Pembuatan Flyover Surabaya"/>
    <d v="2023-02-08T00:00:00"/>
    <d v="2023-12-07T00:00:00"/>
    <n v="2011712412"/>
    <x v="4"/>
    <n v="302"/>
    <n v="6661299.3774834434"/>
    <x v="0"/>
    <n v="6661299.3774834434"/>
  </r>
  <r>
    <s v="CN-0052-2023"/>
    <s v="Flyover"/>
    <s v="Jakarta"/>
    <s v="Pembuatan Flyover Jakarta"/>
    <d v="2023-02-08T00:00:00"/>
    <d v="2023-05-20T00:00:00"/>
    <n v="3202495526"/>
    <x v="1"/>
    <n v="101"/>
    <n v="31707876.495049506"/>
    <x v="0"/>
    <n v="31707876.495049506"/>
  </r>
  <r>
    <s v="CN-0053-2023"/>
    <s v="Flyover"/>
    <s v="Surabaya"/>
    <s v="Perbaikan Flyover Surabaya"/>
    <d v="2023-02-10T00:00:00"/>
    <d v="2023-11-30T00:00:00"/>
    <n v="1655558865"/>
    <x v="6"/>
    <n v="293"/>
    <n v="5650371.552901024"/>
    <x v="0"/>
    <n v="5650371.552901024"/>
  </r>
  <r>
    <s v="CN-0054-2023"/>
    <s v="Flyover"/>
    <s v="Bandung"/>
    <s v="Pembuatan Flyover Bandung"/>
    <d v="2023-02-10T00:00:00"/>
    <d v="2023-06-22T00:00:00"/>
    <n v="4806787932"/>
    <x v="1"/>
    <n v="132"/>
    <n v="36415060.090909094"/>
    <x v="0"/>
    <n v="36415060.090909094"/>
  </r>
  <r>
    <s v="CN-0055-2023"/>
    <s v="Jalan Raya"/>
    <s v="Tomohon"/>
    <s v="Perbaikan Jalan Raya Tomohon"/>
    <d v="2023-02-11T00:00:00"/>
    <d v="2024-02-07T00:00:00"/>
    <n v="699551361"/>
    <x v="5"/>
    <n v="361"/>
    <n v="1937815.4044321331"/>
    <x v="0"/>
    <n v="1937815.4044321331"/>
  </r>
  <r>
    <s v="CN-0056-2023"/>
    <s v="Drainase"/>
    <s v="Bau-Bau"/>
    <s v="Perbaikan Drainase Bau-Bau"/>
    <d v="2023-02-11T00:00:00"/>
    <d v="2023-09-17T00:00:00"/>
    <n v="363997813"/>
    <x v="3"/>
    <n v="218"/>
    <n v="1669714.7385321101"/>
    <x v="0"/>
    <n v="1669714.7385321101"/>
  </r>
  <r>
    <s v="CN-0057-2023"/>
    <s v="Jalan Raya"/>
    <s v="Depok"/>
    <s v="Perbaikan Jalan Raya Depok"/>
    <d v="2023-02-12T00:00:00"/>
    <d v="2023-07-16T00:00:00"/>
    <n v="926922328"/>
    <x v="7"/>
    <n v="154"/>
    <n v="6018976.1558441557"/>
    <x v="0"/>
    <n v="6018976.1558441557"/>
  </r>
  <r>
    <s v="CN-0058-2023"/>
    <s v="Tidak Diketahui"/>
    <s v="Tidak Diketahui"/>
    <s v="Tidak Diketahui"/>
    <d v="2023-02-12T00:00:00"/>
    <d v="2023-04-14T00:00:00"/>
    <n v="314690070"/>
    <x v="1"/>
    <n v="61"/>
    <n v="5158853.6065573767"/>
    <x v="0"/>
    <n v="5158853.6065573767"/>
  </r>
  <r>
    <s v="CN-0059-2023"/>
    <s v="Drainase"/>
    <s v="Surabaya"/>
    <s v="Perbaikan Drainase Surabaya"/>
    <d v="2023-02-14T00:00:00"/>
    <d v="2023-11-02T00:00:00"/>
    <n v="708312743"/>
    <x v="4"/>
    <n v="261"/>
    <n v="2713841.9272030653"/>
    <x v="0"/>
    <n v="2713841.9272030653"/>
  </r>
  <r>
    <s v="CN-0060-2023"/>
    <s v="Drainase"/>
    <s v="Medan"/>
    <s v="Perbaikan Drainase Medan"/>
    <d v="2023-02-14T00:00:00"/>
    <d v="2023-10-29T00:00:00"/>
    <n v="419037113"/>
    <x v="5"/>
    <n v="257"/>
    <n v="1630494.6031128406"/>
    <x v="0"/>
    <n v="1630494.6031128406"/>
  </r>
  <r>
    <s v="CN-0061-2023"/>
    <s v="Drainase"/>
    <s v="Jakarta"/>
    <s v="Perbaikan Drainase Jakarta"/>
    <d v="2023-02-15T00:00:00"/>
    <d v="2023-07-23T00:00:00"/>
    <n v="500841363"/>
    <x v="3"/>
    <n v="158"/>
    <n v="3169882.0443037977"/>
    <x v="0"/>
    <n v="3169882.0443037977"/>
  </r>
  <r>
    <s v="CN-0062-2023"/>
    <s v="Jalan Raya"/>
    <s v="Jakarta"/>
    <s v="Perbaikan Jalan Raya Jakarta"/>
    <d v="2023-02-16T00:00:00"/>
    <d v="2023-12-29T00:00:00"/>
    <n v="209304110"/>
    <x v="3"/>
    <n v="316"/>
    <n v="662354.77848101268"/>
    <x v="0"/>
    <n v="662354.77848101268"/>
  </r>
  <r>
    <s v="CN-0063-2023"/>
    <s v="Jembatan"/>
    <s v="Medan"/>
    <s v="Perbaikan Jembatan Medan"/>
    <d v="2023-02-17T00:00:00"/>
    <d v="2023-06-05T00:00:00"/>
    <n v="3686469051"/>
    <x v="3"/>
    <n v="108"/>
    <n v="34133972.694444448"/>
    <x v="0"/>
    <n v="34133972.694444448"/>
  </r>
  <r>
    <s v="CN-0064-2023"/>
    <s v="Jalan Raya"/>
    <s v="Bandung"/>
    <s v="Perbaikan Jalan Raya Bandung"/>
    <d v="2023-02-17T00:00:00"/>
    <d v="2023-07-05T00:00:00"/>
    <n v="353290709"/>
    <x v="0"/>
    <n v="138"/>
    <n v="2560077.6014492754"/>
    <x v="0"/>
    <n v="2560077.6014492754"/>
  </r>
  <r>
    <s v="CN-0065-2023"/>
    <s v="Gedung"/>
    <s v="Jakarta"/>
    <s v="Perbaikan Gedung Pemerintah Jakarta"/>
    <d v="2023-02-17T00:00:00"/>
    <d v="2023-10-31T00:00:00"/>
    <n v="8935017863"/>
    <x v="5"/>
    <n v="256"/>
    <n v="34902413.52734375"/>
    <x v="0"/>
    <n v="34902413.52734375"/>
  </r>
  <r>
    <s v="CN-0066-2023"/>
    <s v="Jembatan"/>
    <s v="Bau-Bau"/>
    <s v="Perbaikan Jembatan Bau-Bau"/>
    <d v="2023-02-18T00:00:00"/>
    <d v="2023-09-24T00:00:00"/>
    <n v="5518454926"/>
    <x v="7"/>
    <n v="218"/>
    <n v="25314013.422018349"/>
    <x v="0"/>
    <n v="25314013.422018349"/>
  </r>
  <r>
    <s v="CN-0067-2023"/>
    <s v="Flyover"/>
    <s v="Medan"/>
    <s v="Perbaikan Flyover Medan"/>
    <d v="2023-02-18T00:00:00"/>
    <d v="2023-11-26T00:00:00"/>
    <n v="3367495384"/>
    <x v="2"/>
    <n v="281"/>
    <n v="11983969.338078292"/>
    <x v="0"/>
    <n v="11983969.338078292"/>
  </r>
  <r>
    <s v="CN-0068-2023"/>
    <s v="Flyover"/>
    <s v="Bandung"/>
    <s v="Perbaikan Flyover Bandung"/>
    <d v="2023-02-19T00:00:00"/>
    <d v="2024-01-16T00:00:00"/>
    <n v="2293993253"/>
    <x v="7"/>
    <n v="331"/>
    <n v="6930493.2114803623"/>
    <x v="0"/>
    <n v="6930493.2114803623"/>
  </r>
  <r>
    <s v="CN-0069-2023"/>
    <s v="Flyover"/>
    <s v="Makassar"/>
    <s v="Pembuatan Flyover Makassar"/>
    <d v="2023-02-19T00:00:00"/>
    <d v="2024-01-27T00:00:00"/>
    <n v="1790927128"/>
    <x v="4"/>
    <n v="342"/>
    <n v="5236629.0292397663"/>
    <x v="0"/>
    <n v="5236629.0292397663"/>
  </r>
  <r>
    <s v="CN-0070-2023"/>
    <s v="Gedung"/>
    <s v="Jakarta"/>
    <s v="Tidak Diketahui"/>
    <d v="2023-02-20T00:00:00"/>
    <d v="2023-12-25T00:00:00"/>
    <n v="7432359735"/>
    <x v="2"/>
    <n v="308"/>
    <n v="24131038.100649349"/>
    <x v="0"/>
    <n v="24131038.100649349"/>
  </r>
  <r>
    <s v="CN-0071-2023"/>
    <s v="Gedung"/>
    <s v="Surabaya"/>
    <s v="Perbaikan Gedung Pemerintah Surabaya"/>
    <d v="2023-02-20T00:00:00"/>
    <d v="2023-11-03T00:00:00"/>
    <n v="7645065116"/>
    <x v="2"/>
    <n v="256"/>
    <n v="29863535.609375"/>
    <x v="0"/>
    <n v="29863535.609375"/>
  </r>
  <r>
    <s v="CN-0072-2023"/>
    <s v="Jembatan"/>
    <s v="Tomohon"/>
    <s v="Perbaikan Jembatan Tomohon"/>
    <d v="2023-02-22T00:00:00"/>
    <d v="2024-01-04T00:00:00"/>
    <n v="5522312320"/>
    <x v="3"/>
    <n v="316"/>
    <n v="17475671.898734178"/>
    <x v="0"/>
    <n v="17475671.898734178"/>
  </r>
  <r>
    <s v="CN-0073-2023"/>
    <s v="Jalan Raya"/>
    <s v="Medan"/>
    <s v="Perbaikan Jalan Raya Medan"/>
    <d v="2023-02-22T00:00:00"/>
    <d v="2023-05-28T00:00:00"/>
    <n v="934325560"/>
    <x v="4"/>
    <n v="95"/>
    <n v="9835005.8947368413"/>
    <x v="0"/>
    <n v="9835005.8947368413"/>
  </r>
  <r>
    <s v="CN-0074-2023"/>
    <s v="Jalan Raya"/>
    <s v="Makassar"/>
    <s v="Perbaikan Jalan Raya Makassar"/>
    <d v="2023-02-22T00:00:00"/>
    <d v="2023-05-12T00:00:00"/>
    <n v="121142623"/>
    <x v="1"/>
    <n v="79"/>
    <n v="1533450.9240506329"/>
    <x v="0"/>
    <n v="1533450.9240506329"/>
  </r>
  <r>
    <s v="CN-0075-2023"/>
    <s v="Jembatan"/>
    <s v="Medan"/>
    <s v="Pembuatan Jembatan Medan"/>
    <d v="2023-02-25T00:00:00"/>
    <d v="2023-09-12T00:00:00"/>
    <n v="1493231996"/>
    <x v="7"/>
    <n v="199"/>
    <n v="7503678.3718592962"/>
    <x v="0"/>
    <n v="7503678.3718592962"/>
  </r>
  <r>
    <s v="CN-0076-2023"/>
    <s v="Jembatan"/>
    <s v="Jakarta"/>
    <s v="Pembuatan Jembatan Jakarta"/>
    <d v="2023-02-27T00:00:00"/>
    <d v="2024-02-02T00:00:00"/>
    <n v="5860997586"/>
    <x v="0"/>
    <n v="340"/>
    <n v="17238228.194117647"/>
    <x v="0"/>
    <n v="17238228.194117647"/>
  </r>
  <r>
    <s v="CN-0077-2023"/>
    <s v="Drainase"/>
    <s v="Jakarta"/>
    <s v="Perbaikan Drainase Jakarta"/>
    <d v="2023-02-27T00:00:00"/>
    <d v="2023-08-11T00:00:00"/>
    <n v="551513519"/>
    <x v="1"/>
    <n v="165"/>
    <n v="3342506.1757575758"/>
    <x v="0"/>
    <n v="3342506.1757575758"/>
  </r>
  <r>
    <s v="CN-0078-2023"/>
    <s v="Jalan Raya"/>
    <s v="Surabaya"/>
    <s v="Perbaikan Jalan Raya Surabaya"/>
    <d v="2023-02-28T00:00:00"/>
    <d v="2023-09-17T00:00:00"/>
    <n v="359783228"/>
    <x v="1"/>
    <n v="201"/>
    <n v="1789966.3084577115"/>
    <x v="0"/>
    <n v="1789966.3084577115"/>
  </r>
  <r>
    <s v="CN-0079-2023"/>
    <s v="Flyover"/>
    <s v="Surabaya"/>
    <s v="Perbaikan Flyover Surabaya"/>
    <d v="2023-03-01T00:00:00"/>
    <d v="2023-06-28T00:00:00"/>
    <n v="4429242773"/>
    <x v="4"/>
    <n v="119"/>
    <n v="37220527.50420168"/>
    <x v="0"/>
    <n v="37220527.50420168"/>
  </r>
  <r>
    <s v="CN-0080-2023"/>
    <s v="Gedung"/>
    <s v="Tomohon"/>
    <s v="Perbaikan Gedung Pemerintah Tomohon"/>
    <d v="2023-03-02T00:00:00"/>
    <d v="2023-11-04T00:00:00"/>
    <n v="2034415367"/>
    <x v="6"/>
    <n v="247"/>
    <n v="8236499.461538462"/>
    <x v="0"/>
    <n v="8236499.461538462"/>
  </r>
  <r>
    <s v="CN-0081-2023"/>
    <s v="Jembatan"/>
    <s v="Medan"/>
    <s v="Perbaikan Jembatan Medan"/>
    <d v="2023-03-04T00:00:00"/>
    <d v="2024-01-10T00:00:00"/>
    <n v="1597122511"/>
    <x v="1"/>
    <n v="312"/>
    <n v="5118982.407051282"/>
    <x v="0"/>
    <n v="5118982.407051282"/>
  </r>
  <r>
    <s v="CN-0082-2023"/>
    <s v="Jalan Raya"/>
    <s v="Medan"/>
    <s v="Perbaikan Jalan Raya Medan"/>
    <d v="2023-03-04T00:00:00"/>
    <d v="2023-07-13T00:00:00"/>
    <n v="966519099"/>
    <x v="7"/>
    <n v="131"/>
    <n v="7378008.389312977"/>
    <x v="0"/>
    <n v="7378008.389312977"/>
  </r>
  <r>
    <s v="CN-0083-2023"/>
    <s v="Jalan Raya"/>
    <s v="Tomohon"/>
    <s v="Perbaikan Jalan Raya Tomohon"/>
    <d v="2023-03-05T00:00:00"/>
    <d v="2023-08-20T00:00:00"/>
    <n v="881938572"/>
    <x v="3"/>
    <n v="168"/>
    <n v="5249634.3571428573"/>
    <x v="0"/>
    <n v="5249634.3571428573"/>
  </r>
  <r>
    <s v="CN-0084-2023"/>
    <s v="Flyover"/>
    <s v="Jakarta"/>
    <s v="Pembuatan Flyover Jakarta"/>
    <d v="2023-03-05T00:00:00"/>
    <d v="2023-04-04T00:00:00"/>
    <n v="4508122990"/>
    <x v="4"/>
    <n v="30"/>
    <n v="150270766.33333334"/>
    <x v="0"/>
    <n v="150270766.33333334"/>
  </r>
  <r>
    <s v="CN-0085-2023"/>
    <s v="Flyover"/>
    <s v="Medan"/>
    <s v="Pembuatan Flyover Medan"/>
    <d v="2023-03-05T00:00:00"/>
    <d v="2024-01-20T00:00:00"/>
    <n v="1863372939"/>
    <x v="1"/>
    <n v="321"/>
    <n v="5804900.121495327"/>
    <x v="0"/>
    <n v="5804900.121495327"/>
  </r>
  <r>
    <s v="CN-0086-2023"/>
    <s v="Drainase"/>
    <s v="Tomohon"/>
    <s v="Perbaikan Drainase Tomohon"/>
    <d v="2023-03-06T00:00:00"/>
    <d v="2023-05-16T00:00:00"/>
    <n v="512883235"/>
    <x v="0"/>
    <n v="71"/>
    <n v="7223707.5352112679"/>
    <x v="0"/>
    <n v="7223707.5352112679"/>
  </r>
  <r>
    <s v="CN-0087-2023"/>
    <s v="Gedung"/>
    <s v="Medan"/>
    <s v="Perbaikan Gedung Pemerintah Medan"/>
    <d v="2023-03-06T00:00:00"/>
    <d v="2024-02-16T00:00:00"/>
    <n v="4679669631"/>
    <x v="1"/>
    <n v="347"/>
    <n v="13486079.628242075"/>
    <x v="0"/>
    <n v="13486079.628242075"/>
  </r>
  <r>
    <s v="CN-0088-2023"/>
    <s v="Jembatan"/>
    <s v="Bau-Bau"/>
    <s v="Pembuatan Jembatan Bau-Bau"/>
    <d v="2023-03-06T00:00:00"/>
    <d v="2023-12-09T00:00:00"/>
    <n v="4513453864"/>
    <x v="0"/>
    <n v="278"/>
    <n v="16235445.553956835"/>
    <x v="0"/>
    <n v="16235445.553956835"/>
  </r>
  <r>
    <s v="CN-0089-2023"/>
    <s v="Jembatan"/>
    <s v="Bandung"/>
    <s v="Perbaikan Jembatan Bandung"/>
    <d v="2023-03-07T00:00:00"/>
    <d v="2024-01-31T00:00:00"/>
    <n v="7126604362"/>
    <x v="4"/>
    <n v="330"/>
    <n v="21595770.793939393"/>
    <x v="0"/>
    <n v="21595770.793939393"/>
  </r>
  <r>
    <s v="CN-0090-2023"/>
    <s v="Jembatan"/>
    <s v="Medan"/>
    <s v="Perbaikan Jembatan Medan"/>
    <d v="2023-03-09T00:00:00"/>
    <d v="2023-11-11T00:00:00"/>
    <n v="4952427692"/>
    <x v="0"/>
    <n v="247"/>
    <n v="20050314.542510122"/>
    <x v="0"/>
    <n v="20050314.542510122"/>
  </r>
  <r>
    <s v="CN-0091-2023"/>
    <s v="Drainase"/>
    <s v="Bau-Bau"/>
    <s v="Perbaikan Drainase Bau-Bau"/>
    <d v="2023-03-09T00:00:00"/>
    <d v="2023-11-01T00:00:00"/>
    <n v="542759810"/>
    <x v="1"/>
    <n v="237"/>
    <n v="2290125.7805907172"/>
    <x v="0"/>
    <n v="2290125.7805907172"/>
  </r>
  <r>
    <s v="CN-0092-2023"/>
    <s v="Gedung"/>
    <s v="Surabaya"/>
    <s v="Perbaikan Gedung Pemerintah Surabaya"/>
    <d v="2023-03-09T00:00:00"/>
    <d v="2023-05-28T00:00:00"/>
    <n v="5059161734"/>
    <x v="4"/>
    <n v="80"/>
    <n v="63239521.674999997"/>
    <x v="0"/>
    <n v="63239521.674999997"/>
  </r>
  <r>
    <s v="CN-0093-2023"/>
    <s v="Jembatan"/>
    <s v="Bau-Bau"/>
    <s v="Perbaikan Jembatan Bau-Bau"/>
    <d v="2023-03-11T00:00:00"/>
    <d v="2023-10-04T00:00:00"/>
    <n v="5462259142"/>
    <x v="5"/>
    <n v="207"/>
    <n v="26387725.323671497"/>
    <x v="0"/>
    <n v="26387725.323671497"/>
  </r>
  <r>
    <s v="CN-0094-2023"/>
    <s v="Flyover"/>
    <s v="Tomohon"/>
    <s v="Perbaikan Flyover Tomohon"/>
    <d v="2023-03-11T00:00:00"/>
    <d v="2023-09-12T00:00:00"/>
    <n v="3922070251"/>
    <x v="4"/>
    <n v="185"/>
    <n v="21200379.735135134"/>
    <x v="0"/>
    <n v="21200379.735135134"/>
  </r>
  <r>
    <s v="CN-0095-2023"/>
    <s v="Gedung"/>
    <s v="Makassar"/>
    <s v="Perbaikan Gedung Pemerintah Makassar"/>
    <d v="2023-03-13T00:00:00"/>
    <d v="2024-02-19T00:00:00"/>
    <n v="9404668499"/>
    <x v="2"/>
    <n v="343"/>
    <n v="27418858.597667638"/>
    <x v="0"/>
    <n v="27418858.597667638"/>
  </r>
  <r>
    <s v="CN-0096-2023"/>
    <s v="Gedung"/>
    <s v="Tomohon"/>
    <s v="Perbaikan Gedung Pemerintah Tomohon"/>
    <d v="2023-03-15T00:00:00"/>
    <d v="2023-04-22T00:00:00"/>
    <n v="6049021945"/>
    <x v="1"/>
    <n v="38"/>
    <n v="159184788.02631578"/>
    <x v="0"/>
    <n v="159184788.02631578"/>
  </r>
  <r>
    <s v="CN-0097-2023"/>
    <s v="Jalan Raya"/>
    <s v="Tomohon"/>
    <s v="Perbaikan Jalan Raya Tomohon"/>
    <d v="2023-03-16T00:00:00"/>
    <d v="2024-02-03T00:00:00"/>
    <n v="989197622"/>
    <x v="1"/>
    <n v="324"/>
    <n v="3053079.0802469137"/>
    <x v="0"/>
    <n v="3053079.0802469137"/>
  </r>
  <r>
    <s v="CN-0098-2023"/>
    <s v="Jalan Raya"/>
    <s v="Bandung"/>
    <s v="Perbaikan Jalan Raya Bandung"/>
    <d v="2023-03-16T00:00:00"/>
    <d v="2023-12-08T00:00:00"/>
    <n v="923609376"/>
    <x v="7"/>
    <n v="267"/>
    <n v="3459211.1460674158"/>
    <x v="0"/>
    <n v="3459211.1460674158"/>
  </r>
  <r>
    <s v="CN-0099-2023"/>
    <s v="Gedung"/>
    <s v="Bandung"/>
    <s v="Perbaikan Gedung Pemerintah Bandung"/>
    <d v="2023-03-16T00:00:00"/>
    <d v="2023-09-04T00:00:00"/>
    <n v="7000822070"/>
    <x v="4"/>
    <n v="172"/>
    <n v="40702453.895348839"/>
    <x v="0"/>
    <n v="40702453.895348839"/>
  </r>
  <r>
    <s v="CN-0100-2023"/>
    <s v="Gedung"/>
    <s v="Jakarta"/>
    <s v="Perbaikan Gedung Pemerintah Jakarta"/>
    <d v="2023-03-18T00:00:00"/>
    <d v="2023-08-27T00:00:00"/>
    <n v="4006400142"/>
    <x v="0"/>
    <n v="162"/>
    <n v="24730865.074074075"/>
    <x v="0"/>
    <n v="24730865.074074075"/>
  </r>
  <r>
    <s v="CN-0101-2023"/>
    <s v="Gedung"/>
    <s v="Depok"/>
    <s v="Perbaikan Gedung Pemerintah Depok"/>
    <d v="2023-03-19T00:00:00"/>
    <d v="2024-01-23T00:00:00"/>
    <n v="7054924571"/>
    <x v="3"/>
    <n v="310"/>
    <n v="22757821.196774192"/>
    <x v="0"/>
    <n v="22757821.196774192"/>
  </r>
  <r>
    <s v="CN-0102-2023"/>
    <s v="Jembatan"/>
    <s v="Medan"/>
    <s v="Perbaikan Jembatan Medan"/>
    <d v="2023-03-21T00:00:00"/>
    <d v="2023-11-04T00:00:00"/>
    <n v="7494641055"/>
    <x v="2"/>
    <n v="228"/>
    <n v="32871232.697368421"/>
    <x v="0"/>
    <n v="32871232.697368421"/>
  </r>
  <r>
    <s v="CN-0103-2023"/>
    <s v="Gedung"/>
    <s v="Medan"/>
    <s v="Perbaikan Gedung Pemerintah Medan"/>
    <d v="2023-03-23T00:00:00"/>
    <d v="2023-12-08T00:00:00"/>
    <n v="7221183664"/>
    <x v="7"/>
    <n v="260"/>
    <n v="27773783.323076922"/>
    <x v="0"/>
    <n v="27773783.323076922"/>
  </r>
  <r>
    <s v="CN-0104-2023"/>
    <s v="Jalan Raya"/>
    <s v="Bandung"/>
    <s v="Perbaikan Jalan Raya Bandung"/>
    <d v="2023-03-23T00:00:00"/>
    <d v="2023-07-14T00:00:00"/>
    <n v="870876750"/>
    <x v="0"/>
    <n v="113"/>
    <n v="7706873.8938053101"/>
    <x v="0"/>
    <n v="7706873.8938053101"/>
  </r>
  <r>
    <s v="CN-0105-2023"/>
    <s v="Flyover"/>
    <s v="Makassar"/>
    <s v="Perbaikan Flyover Makassar"/>
    <d v="2023-03-24T00:00:00"/>
    <d v="2024-01-25T00:00:00"/>
    <n v="2164051592"/>
    <x v="7"/>
    <n v="307"/>
    <n v="7049027.9869706845"/>
    <x v="0"/>
    <n v="7049027.9869706845"/>
  </r>
  <r>
    <s v="CN-0106-2023"/>
    <s v="Flyover"/>
    <s v="Bandung"/>
    <s v="Pembuatan Flyover Bandung"/>
    <d v="2023-03-24T00:00:00"/>
    <d v="2023-12-20T00:00:00"/>
    <n v="3746270294"/>
    <x v="7"/>
    <n v="271"/>
    <n v="13823875.623616235"/>
    <x v="0"/>
    <n v="13823875.623616235"/>
  </r>
  <r>
    <s v="CN-0107-2023"/>
    <s v="Gedung"/>
    <s v="Bau-Bau"/>
    <s v="Perbaikan Gedung Pemerintah Bau-Bau"/>
    <d v="2023-03-25T00:00:00"/>
    <d v="2023-05-03T00:00:00"/>
    <n v="3094147448"/>
    <x v="3"/>
    <n v="39"/>
    <n v="79337114.051282048"/>
    <x v="0"/>
    <n v="79337114.051282048"/>
  </r>
  <r>
    <s v="CN-0108-2023"/>
    <s v="Tidak Diketahui"/>
    <s v="Bandung"/>
    <s v="Tidak Diketahui"/>
    <d v="2023-03-25T00:00:00"/>
    <d v="2023-06-14T00:00:00"/>
    <n v="2960912774"/>
    <x v="2"/>
    <n v="81"/>
    <n v="36554478.691358022"/>
    <x v="0"/>
    <n v="36554478.691358022"/>
  </r>
  <r>
    <s v="CN-0109-2023"/>
    <s v="Drainase"/>
    <s v="Makassar"/>
    <s v="Perbaikan Drainase Makassar"/>
    <d v="2023-03-26T00:00:00"/>
    <d v="2023-11-05T00:00:00"/>
    <n v="421859230"/>
    <x v="2"/>
    <n v="224"/>
    <n v="1883300.1339285714"/>
    <x v="0"/>
    <n v="1883300.1339285714"/>
  </r>
  <r>
    <s v="CN-0110-2023"/>
    <s v="Jalan Raya"/>
    <s v="Medan"/>
    <s v="Perbaikan Jalan Raya Medan"/>
    <d v="2023-03-28T00:00:00"/>
    <d v="2023-08-23T00:00:00"/>
    <n v="776411814"/>
    <x v="1"/>
    <n v="148"/>
    <n v="5246025.7702702703"/>
    <x v="0"/>
    <n v="5246025.7702702703"/>
  </r>
  <r>
    <s v="CN-0111-2023"/>
    <s v="Gedung"/>
    <s v="Bandung"/>
    <s v="Perbaikan Gedung Pemerintah Bandung"/>
    <d v="2023-03-28T00:00:00"/>
    <d v="2023-06-18T00:00:00"/>
    <n v="5326254824"/>
    <x v="3"/>
    <n v="82"/>
    <n v="64954327.121951222"/>
    <x v="0"/>
    <n v="64954327.121951222"/>
  </r>
  <r>
    <s v="CN-0112-2023"/>
    <s v="Drainase"/>
    <s v="Bandung"/>
    <s v="Perbaikan Drainase Bandung"/>
    <d v="2023-03-30T00:00:00"/>
    <d v="2023-05-28T00:00:00"/>
    <n v="737874671"/>
    <x v="5"/>
    <n v="59"/>
    <n v="12506350.355932204"/>
    <x v="0"/>
    <n v="12506350.355932204"/>
  </r>
  <r>
    <s v="CN-0113-2023"/>
    <s v="Gedung"/>
    <s v="Medan"/>
    <s v="Perbaikan Gedung Pemerintah Medan"/>
    <d v="2023-03-31T00:00:00"/>
    <d v="2023-11-18T00:00:00"/>
    <n v="6410731228"/>
    <x v="6"/>
    <n v="232"/>
    <n v="27632462.189655174"/>
    <x v="0"/>
    <n v="27632462.189655174"/>
  </r>
  <r>
    <s v="CN-0114-2023"/>
    <s v="Jalan Raya"/>
    <s v="Depok"/>
    <s v="Perbaikan Jalan Raya Depok"/>
    <d v="2023-04-01T00:00:00"/>
    <d v="2023-08-24T00:00:00"/>
    <n v="584530717"/>
    <x v="3"/>
    <n v="145"/>
    <n v="4031246.3241379312"/>
    <x v="0"/>
    <n v="4031246.3241379312"/>
  </r>
  <r>
    <s v="CN-0115-2023"/>
    <s v="Gedung"/>
    <s v="Surabaya"/>
    <s v="Perbaikan Gedung Pemerintah Surabaya"/>
    <d v="2023-04-01T00:00:00"/>
    <d v="2023-10-10T00:00:00"/>
    <n v="5399904068"/>
    <x v="7"/>
    <n v="192"/>
    <n v="28124500.354166668"/>
    <x v="0"/>
    <n v="28124500.354166668"/>
  </r>
  <r>
    <s v="CN-0116-2023"/>
    <s v="Drainase"/>
    <s v="Depok"/>
    <s v="Perbaikan Drainase Depok"/>
    <d v="2023-04-01T00:00:00"/>
    <d v="2023-12-07T00:00:00"/>
    <n v="620525430"/>
    <x v="4"/>
    <n v="250"/>
    <n v="2482101.7200000002"/>
    <x v="0"/>
    <n v="2482101.7200000002"/>
  </r>
  <r>
    <s v="CN-0117-2023"/>
    <s v="Flyover"/>
    <s v="Jakarta"/>
    <s v="Pembuatan Flyover Jakarta"/>
    <d v="2023-04-01T00:00:00"/>
    <d v="2024-03-21T00:00:00"/>
    <n v="2278233533"/>
    <x v="3"/>
    <n v="355"/>
    <n v="6417559.2478873236"/>
    <x v="0"/>
    <n v="6417559.2478873236"/>
  </r>
  <r>
    <s v="CN-0118-2023"/>
    <s v="Gedung"/>
    <s v="Jakarta"/>
    <s v="Perbaikan Gedung Pemerintah Jakarta"/>
    <d v="2023-04-01T00:00:00"/>
    <d v="2024-03-18T00:00:00"/>
    <n v="2425304687"/>
    <x v="7"/>
    <n v="352"/>
    <n v="6890070.1335227275"/>
    <x v="0"/>
    <n v="6890070.1335227275"/>
  </r>
  <r>
    <s v="CN-0119-2023"/>
    <s v="Gedung"/>
    <s v="Depok"/>
    <s v="Perbaikan Gedung Pemerintah Depok"/>
    <d v="2023-04-01T00:00:00"/>
    <d v="2023-05-07T00:00:00"/>
    <n v="3263728734"/>
    <x v="1"/>
    <n v="36"/>
    <n v="90659131.5"/>
    <x v="0"/>
    <n v="90659131.5"/>
  </r>
  <r>
    <s v="CN-0120-2023"/>
    <s v="Gedung"/>
    <s v="Makassar"/>
    <s v="Perbaikan Gedung Pemerintah Makassar"/>
    <d v="2023-04-02T00:00:00"/>
    <d v="2023-11-25T00:00:00"/>
    <n v="7299558365"/>
    <x v="3"/>
    <n v="237"/>
    <n v="30799824.324894514"/>
    <x v="0"/>
    <n v="30799824.324894514"/>
  </r>
  <r>
    <s v="CN-0121-2023"/>
    <s v="Jalan Raya"/>
    <s v="Medan"/>
    <s v="Perbaikan Jalan Raya Medan"/>
    <d v="2023-04-02T00:00:00"/>
    <d v="2023-06-07T00:00:00"/>
    <n v="304540977"/>
    <x v="1"/>
    <n v="66"/>
    <n v="4614257.2272727275"/>
    <x v="0"/>
    <n v="4614257.2272727275"/>
  </r>
  <r>
    <s v="CN-0122-2023"/>
    <s v="Jembatan"/>
    <s v="Depok"/>
    <s v="Perbaikan Jembatan Depok"/>
    <d v="2023-04-02T00:00:00"/>
    <d v="2024-03-20T00:00:00"/>
    <n v="5043663492"/>
    <x v="3"/>
    <n v="353"/>
    <n v="14287998.560906516"/>
    <x v="0"/>
    <n v="14287998.560906516"/>
  </r>
  <r>
    <s v="CN-0123-2023"/>
    <s v="Flyover"/>
    <s v="Makassar"/>
    <s v="Perbaikan Flyover Makassar"/>
    <d v="2023-04-04T00:00:00"/>
    <d v="2023-10-01T00:00:00"/>
    <n v="3438414318"/>
    <x v="0"/>
    <n v="180"/>
    <n v="19102301.766666666"/>
    <x v="0"/>
    <n v="19102301.766666666"/>
  </r>
  <r>
    <s v="CN-0124-2023"/>
    <s v="Jalan Raya"/>
    <s v="Makassar"/>
    <s v="Perbaikan Jalan Raya Makassar"/>
    <d v="2023-04-04T00:00:00"/>
    <d v="2024-03-30T00:00:00"/>
    <n v="538173778"/>
    <x v="3"/>
    <n v="361"/>
    <n v="1490786.0886426594"/>
    <x v="0"/>
    <n v="1490786.0886426594"/>
  </r>
  <r>
    <s v="CN-0125-2023"/>
    <s v="Gedung"/>
    <s v="Jakarta"/>
    <s v="Perbaikan Gedung Pemerintah Jakarta"/>
    <d v="2023-04-06T00:00:00"/>
    <d v="2023-11-18T00:00:00"/>
    <n v="4142478037"/>
    <x v="6"/>
    <n v="226"/>
    <n v="18329548.836283185"/>
    <x v="0"/>
    <n v="18329548.836283185"/>
  </r>
  <r>
    <s v="CN-0126-2023"/>
    <s v="Jembatan"/>
    <s v="Surabaya"/>
    <s v="Pembuatan Jembatan Surabaya"/>
    <d v="2023-04-07T00:00:00"/>
    <d v="2023-05-29T00:00:00"/>
    <n v="4552866676"/>
    <x v="5"/>
    <n v="52"/>
    <n v="87555128.384615391"/>
    <x v="0"/>
    <n v="87555128.384615391"/>
  </r>
  <r>
    <s v="CN-0127-2023"/>
    <s v="Jalan Raya"/>
    <s v="Tomohon"/>
    <s v="Perbaikan Jalan Raya Tomohon"/>
    <d v="2023-04-08T00:00:00"/>
    <d v="2023-07-14T00:00:00"/>
    <n v="902216985"/>
    <x v="4"/>
    <n v="97"/>
    <n v="9301206.030927835"/>
    <x v="0"/>
    <n v="9301206.030927835"/>
  </r>
  <r>
    <s v="CN-0128-2023"/>
    <s v="Jembatan"/>
    <s v="Bandung"/>
    <s v="Perbaikan Jembatan Bandung"/>
    <d v="2023-04-08T00:00:00"/>
    <d v="2023-11-23T00:00:00"/>
    <n v="6582376288"/>
    <x v="7"/>
    <n v="229"/>
    <n v="28744001.257641923"/>
    <x v="0"/>
    <n v="28744001.257641923"/>
  </r>
  <r>
    <s v="CN-0129-2023"/>
    <s v="Drainase"/>
    <s v="Surabaya"/>
    <s v="Perbaikan Drainase Surabaya"/>
    <d v="2023-04-10T00:00:00"/>
    <d v="2024-01-14T00:00:00"/>
    <n v="204769884"/>
    <x v="0"/>
    <n v="279"/>
    <n v="733942.2365591398"/>
    <x v="0"/>
    <n v="733942.2365591398"/>
  </r>
  <r>
    <s v="CN-0130-2023"/>
    <s v="Jalan Raya"/>
    <s v="Bandung"/>
    <s v="Perbaikan Jalan Raya Bandung"/>
    <d v="2023-04-10T00:00:00"/>
    <d v="2024-01-29T00:00:00"/>
    <n v="100103542"/>
    <x v="6"/>
    <n v="294"/>
    <n v="340488.23809523811"/>
    <x v="0"/>
    <n v="340488.23809523811"/>
  </r>
  <r>
    <s v="CN-0131-2023"/>
    <s v="Jembatan"/>
    <s v="Jakarta"/>
    <s v="Pembuatan Jembatan Jakarta"/>
    <d v="2023-04-12T00:00:00"/>
    <d v="2023-06-20T00:00:00"/>
    <n v="567827038"/>
    <x v="3"/>
    <n v="69"/>
    <n v="8229377.3623188408"/>
    <x v="0"/>
    <n v="8229377.3623188408"/>
  </r>
  <r>
    <s v="CN-0132-2023"/>
    <s v="Gedung"/>
    <s v="Surabaya"/>
    <s v="Perbaikan Gedung Pemerintah Surabaya"/>
    <d v="2023-04-15T00:00:00"/>
    <d v="2023-10-12T00:00:00"/>
    <n v="7382613940"/>
    <x v="5"/>
    <n v="180"/>
    <n v="41014521.888888888"/>
    <x v="0"/>
    <n v="41014521.888888888"/>
  </r>
  <r>
    <s v="CN-0133-2023"/>
    <s v="Gedung"/>
    <s v="Jakarta"/>
    <s v="Perbaikan Gedung Pemerintah Jakarta"/>
    <d v="2023-04-15T00:00:00"/>
    <d v="2023-07-16T00:00:00"/>
    <n v="3840273247"/>
    <x v="7"/>
    <n v="92"/>
    <n v="41742100.510869563"/>
    <x v="0"/>
    <n v="41742100.510869563"/>
  </r>
  <r>
    <s v="CN-0134-2023"/>
    <s v="Jalan Raya"/>
    <s v="Bau-Bau"/>
    <s v="Perbaikan Jalan Raya Bau-Bau"/>
    <d v="2023-04-17T00:00:00"/>
    <d v="2024-03-19T00:00:00"/>
    <n v="510276507"/>
    <x v="1"/>
    <n v="337"/>
    <n v="1514173.6112759644"/>
    <x v="0"/>
    <n v="1514173.6112759644"/>
  </r>
  <r>
    <s v="CN-0135-2023"/>
    <s v="Jalan Raya"/>
    <s v="Bandung"/>
    <s v="Perbaikan Jalan Raya Bandung"/>
    <d v="2023-04-17T00:00:00"/>
    <d v="2023-12-31T00:00:00"/>
    <n v="806848236"/>
    <x v="6"/>
    <n v="258"/>
    <n v="3127318.7441860465"/>
    <x v="0"/>
    <n v="3127318.7441860465"/>
  </r>
  <r>
    <s v="CN-0136-2023"/>
    <s v="Flyover"/>
    <s v="Surabaya"/>
    <s v="Perbaikan Flyover Surabaya"/>
    <d v="2023-04-18T00:00:00"/>
    <d v="2023-11-27T00:00:00"/>
    <n v="3687967195"/>
    <x v="7"/>
    <n v="223"/>
    <n v="16537969.484304933"/>
    <x v="0"/>
    <n v="16537969.484304933"/>
  </r>
  <r>
    <s v="CN-0137-2023"/>
    <s v="Jembatan"/>
    <s v="Jakarta"/>
    <s v="Perbaikan Jembatan Jakarta"/>
    <d v="2023-04-19T00:00:00"/>
    <d v="2024-02-17T00:00:00"/>
    <n v="4409857336"/>
    <x v="2"/>
    <n v="304"/>
    <n v="14506109.657894736"/>
    <x v="0"/>
    <n v="14506109.657894736"/>
  </r>
  <r>
    <s v="CN-0138-2023"/>
    <s v="Drainase"/>
    <s v="Tomohon"/>
    <s v="Perbaikan Drainase Tomohon"/>
    <d v="2023-04-19T00:00:00"/>
    <d v="2024-01-06T00:00:00"/>
    <n v="603531905"/>
    <x v="0"/>
    <n v="262"/>
    <n v="2303556.889312977"/>
    <x v="0"/>
    <n v="2303556.889312977"/>
  </r>
  <r>
    <s v="CN-0139-2023"/>
    <s v="Drainase"/>
    <s v="Surabaya"/>
    <s v="Perbaikan Drainase Surabaya"/>
    <d v="2023-04-19T00:00:00"/>
    <d v="2023-12-09T00:00:00"/>
    <n v="648732190"/>
    <x v="3"/>
    <n v="234"/>
    <n v="2772359.7863247865"/>
    <x v="0"/>
    <n v="2772359.7863247865"/>
  </r>
  <r>
    <s v="CN-0140-2023"/>
    <s v="Jalan Raya"/>
    <s v="Surabaya"/>
    <s v="Perbaikan Jalan Raya Surabaya"/>
    <d v="2023-04-19T00:00:00"/>
    <d v="2023-09-10T00:00:00"/>
    <n v="872561312"/>
    <x v="7"/>
    <n v="144"/>
    <n v="6059453.555555556"/>
    <x v="0"/>
    <n v="6059453.555555556"/>
  </r>
  <r>
    <s v="CN-0141-2023"/>
    <s v="Drainase"/>
    <s v="Surabaya"/>
    <s v="Perbaikan Drainase Surabaya"/>
    <d v="2023-04-20T00:00:00"/>
    <d v="2023-07-12T00:00:00"/>
    <n v="461667131"/>
    <x v="4"/>
    <n v="83"/>
    <n v="5562254.5903614461"/>
    <x v="0"/>
    <n v="5562254.5903614461"/>
  </r>
  <r>
    <s v="CN-0142-2023"/>
    <s v="Drainase"/>
    <s v="Bandung"/>
    <s v="Perbaikan Drainase Bandung"/>
    <d v="2023-04-20T00:00:00"/>
    <d v="2024-01-22T00:00:00"/>
    <n v="265879074"/>
    <x v="2"/>
    <n v="277"/>
    <n v="959852.25270758127"/>
    <x v="0"/>
    <n v="959852.25270758127"/>
  </r>
  <r>
    <s v="CN-0143-2023"/>
    <s v="Jalan Raya"/>
    <s v="Jakarta"/>
    <s v="Perbaikan Jalan Raya Jakarta"/>
    <d v="2023-04-21T00:00:00"/>
    <d v="2024-04-02T00:00:00"/>
    <n v="339042702"/>
    <x v="6"/>
    <n v="347"/>
    <n v="977068.30547550437"/>
    <x v="0"/>
    <n v="977068.30547550437"/>
  </r>
  <r>
    <s v="CN-0144-2023"/>
    <s v="Gedung"/>
    <s v="Medan"/>
    <s v="Perbaikan Gedung Pemerintah Medan"/>
    <d v="2023-04-22T00:00:00"/>
    <d v="2024-01-17T00:00:00"/>
    <n v="9295259236"/>
    <x v="5"/>
    <n v="270"/>
    <n v="34426886.059259258"/>
    <x v="0"/>
    <n v="34426886.059259258"/>
  </r>
  <r>
    <s v="CN-0145-2023"/>
    <s v="Gedung"/>
    <s v="Bau-Bau"/>
    <s v="Perbaikan Gedung Pemerintah Bau-Bau"/>
    <d v="2023-04-22T00:00:00"/>
    <d v="2024-02-11T00:00:00"/>
    <n v="7601913991"/>
    <x v="1"/>
    <n v="295"/>
    <n v="25769199.969491526"/>
    <x v="0"/>
    <n v="25769199.969491526"/>
  </r>
  <r>
    <s v="CN-0146-2023"/>
    <s v="Jalan Raya"/>
    <s v="Bau-Bau"/>
    <s v="Perbaikan Jalan Raya Bau-Bau"/>
    <d v="2023-04-23T00:00:00"/>
    <d v="2024-01-15T00:00:00"/>
    <n v="307072675"/>
    <x v="1"/>
    <n v="267"/>
    <n v="1150084.9250936329"/>
    <x v="0"/>
    <n v="1150084.9250936329"/>
  </r>
  <r>
    <s v="CN-0147-2023"/>
    <s v="Jembatan"/>
    <s v="Bandung"/>
    <s v="Pembuatan Jembatan Bandung"/>
    <d v="2023-04-23T00:00:00"/>
    <d v="2023-12-14T00:00:00"/>
    <n v="3190510162"/>
    <x v="6"/>
    <n v="235"/>
    <n v="13576638.987234043"/>
    <x v="0"/>
    <n v="13576638.987234043"/>
  </r>
  <r>
    <s v="CN-0148-2023"/>
    <s v="Drainase"/>
    <s v="Medan"/>
    <s v="Perbaikan Drainase Medan"/>
    <d v="2023-04-25T00:00:00"/>
    <d v="2023-06-25T00:00:00"/>
    <n v="724043833"/>
    <x v="6"/>
    <n v="61"/>
    <n v="11869571.032786885"/>
    <x v="0"/>
    <n v="11869571.032786885"/>
  </r>
  <r>
    <s v="CN-0149-2023"/>
    <s v="Flyover"/>
    <s v="Depok"/>
    <s v="Perbaikan Flyover Depok"/>
    <d v="2023-04-25T00:00:00"/>
    <d v="2024-03-08T00:00:00"/>
    <n v="3094852115"/>
    <x v="4"/>
    <n v="318"/>
    <n v="9732239.3553459123"/>
    <x v="0"/>
    <n v="9732239.3553459123"/>
  </r>
  <r>
    <s v="CN-0150-2023"/>
    <s v="Drainase"/>
    <s v="Tomohon"/>
    <s v="Perbaikan Drainase Tomohon"/>
    <d v="2023-04-26T00:00:00"/>
    <d v="2024-03-13T00:00:00"/>
    <n v="433880373"/>
    <x v="2"/>
    <n v="322"/>
    <n v="1347454.5745341615"/>
    <x v="0"/>
    <n v="1347454.5745341615"/>
  </r>
  <r>
    <s v="CN-0151-2023"/>
    <s v="Jembatan"/>
    <s v="Surabaya"/>
    <s v="Pembuatan Jembatan Surabaya"/>
    <d v="2023-04-29T00:00:00"/>
    <d v="2024-04-12T00:00:00"/>
    <n v="5094791554"/>
    <x v="1"/>
    <n v="349"/>
    <n v="14598256.601719197"/>
    <x v="0"/>
    <n v="14598256.601719197"/>
  </r>
  <r>
    <s v="CN-0152-2023"/>
    <s v="Jalan Raya"/>
    <s v="Surabaya"/>
    <s v="Perbaikan Jalan Raya Surabaya"/>
    <d v="2023-04-29T00:00:00"/>
    <d v="2024-02-02T00:00:00"/>
    <n v="407950829"/>
    <x v="2"/>
    <n v="279"/>
    <n v="1462189.3512544802"/>
    <x v="0"/>
    <n v="1462189.3512544802"/>
  </r>
  <r>
    <s v="CN-0153-2023"/>
    <s v="Gedung"/>
    <s v="Tomohon"/>
    <s v="Perbaikan Gedung Pemerintah Tomohon"/>
    <d v="2023-04-29T00:00:00"/>
    <d v="2024-03-25T00:00:00"/>
    <n v="1692019622"/>
    <x v="5"/>
    <n v="331"/>
    <n v="5111841.7583081573"/>
    <x v="0"/>
    <n v="5111841.7583081573"/>
  </r>
  <r>
    <s v="CN-0154-2023"/>
    <s v="Flyover"/>
    <s v="Depok"/>
    <s v="Perbaikan Flyover Depok"/>
    <d v="2023-04-29T00:00:00"/>
    <d v="2024-04-22T00:00:00"/>
    <n v="4909765412"/>
    <x v="3"/>
    <n v="359"/>
    <n v="13676226.774373259"/>
    <x v="0"/>
    <n v="13676226.774373259"/>
  </r>
  <r>
    <s v="CN-0155-2023"/>
    <s v="Flyover"/>
    <s v="Depok"/>
    <s v="Perbaikan Flyover Depok"/>
    <d v="2023-04-29T00:00:00"/>
    <d v="2023-08-12T00:00:00"/>
    <n v="3396315626"/>
    <x v="7"/>
    <n v="105"/>
    <n v="32345863.104761906"/>
    <x v="0"/>
    <n v="32345863.104761906"/>
  </r>
  <r>
    <s v="CN-0156-2023"/>
    <s v="Flyover"/>
    <s v="Bau-Bau"/>
    <s v="Pembuatan Flyover Bau-Bau"/>
    <d v="2023-05-02T00:00:00"/>
    <d v="2024-03-07T00:00:00"/>
    <n v="2665194797"/>
    <x v="2"/>
    <n v="310"/>
    <n v="8597402.5709677413"/>
    <x v="0"/>
    <n v="8597402.5709677413"/>
  </r>
  <r>
    <s v="CN-0157-2023"/>
    <s v="Jembatan"/>
    <s v="Bau-Bau"/>
    <s v="Perbaikan Jembatan Bau-Bau"/>
    <d v="2023-05-03T00:00:00"/>
    <d v="2024-04-19T00:00:00"/>
    <n v="2586947699"/>
    <x v="2"/>
    <n v="352"/>
    <n v="7349283.2357954541"/>
    <x v="0"/>
    <n v="7349283.2357954541"/>
  </r>
  <r>
    <s v="CN-0158-2023"/>
    <s v="Jalan Raya"/>
    <s v="Bandung"/>
    <s v="Perbaikan Jalan Raya Bandung"/>
    <d v="2023-05-06T00:00:00"/>
    <d v="2023-06-10T00:00:00"/>
    <n v="189032296"/>
    <x v="2"/>
    <n v="35"/>
    <n v="5400922.7428571433"/>
    <x v="0"/>
    <n v="5400922.7428571433"/>
  </r>
  <r>
    <s v="CN-0159-2023"/>
    <s v="Jalan Raya"/>
    <s v="Jakarta"/>
    <s v="Perbaikan Jalan Raya Jakarta"/>
    <d v="2023-05-06T00:00:00"/>
    <d v="2023-11-23T00:00:00"/>
    <n v="484231869"/>
    <x v="1"/>
    <n v="201"/>
    <n v="2409113.7761194031"/>
    <x v="0"/>
    <n v="2409113.7761194031"/>
  </r>
  <r>
    <s v="CN-0160-2023"/>
    <s v="Flyover"/>
    <s v="Bandung"/>
    <s v="Pembuatan Flyover Bandung"/>
    <d v="2023-05-07T00:00:00"/>
    <d v="2024-01-30T00:00:00"/>
    <n v="1552182554"/>
    <x v="6"/>
    <n v="268"/>
    <n v="5791725.9477611938"/>
    <x v="0"/>
    <n v="5791725.9477611938"/>
  </r>
  <r>
    <s v="CN-0161-2023"/>
    <s v="Drainase"/>
    <s v="Bau-Bau"/>
    <s v="Perbaikan Drainase Bau-Bau"/>
    <d v="2023-05-07T00:00:00"/>
    <d v="2024-04-28T00:00:00"/>
    <n v="212901636"/>
    <x v="7"/>
    <n v="357"/>
    <n v="596363.12605042022"/>
    <x v="0"/>
    <n v="596363.12605042022"/>
  </r>
  <r>
    <s v="CN-0162-2023"/>
    <s v="Jalan Raya"/>
    <s v="Bau-Bau"/>
    <s v="Perbaikan Jalan Raya Bau-Bau"/>
    <d v="2023-05-09T00:00:00"/>
    <d v="2024-01-24T00:00:00"/>
    <n v="862295964"/>
    <x v="6"/>
    <n v="260"/>
    <n v="3316522.9384615384"/>
    <x v="0"/>
    <n v="3316522.9384615384"/>
  </r>
  <r>
    <s v="CN-0163-2023"/>
    <s v="Drainase"/>
    <s v="Bandung"/>
    <s v="Perbaikan Drainase Bandung"/>
    <d v="2023-05-09T00:00:00"/>
    <d v="2023-12-13T00:00:00"/>
    <n v="636437813"/>
    <x v="3"/>
    <n v="218"/>
    <n v="2919439.509174312"/>
    <x v="0"/>
    <n v="2919439.509174312"/>
  </r>
  <r>
    <s v="CN-0164-2023"/>
    <s v="Gedung"/>
    <s v="Makassar"/>
    <s v="Perbaikan Gedung Pemerintah Makassar"/>
    <d v="2023-05-10T00:00:00"/>
    <d v="2023-10-11T00:00:00"/>
    <n v="22993543140"/>
    <x v="5"/>
    <n v="154"/>
    <n v="149308721.6883117"/>
    <x v="0"/>
    <n v="149308721.6883117"/>
  </r>
  <r>
    <s v="CN-0165-2023"/>
    <s v="Jembatan"/>
    <s v="Bau-Bau"/>
    <s v="Pembuatan Jembatan Bau-Bau"/>
    <d v="2023-05-10T00:00:00"/>
    <d v="2024-03-13T00:00:00"/>
    <n v="5097478222"/>
    <x v="1"/>
    <n v="308"/>
    <n v="16550253.967532467"/>
    <x v="0"/>
    <n v="16550253.967532467"/>
  </r>
  <r>
    <s v="CN-0166-2023"/>
    <s v="Jembatan"/>
    <s v="Depok"/>
    <s v="Pembuatan Jembatan Depok"/>
    <d v="2023-05-10T00:00:00"/>
    <d v="2024-04-05T00:00:00"/>
    <n v="6825404228"/>
    <x v="3"/>
    <n v="331"/>
    <n v="20620556.580060422"/>
    <x v="0"/>
    <n v="20620556.580060422"/>
  </r>
  <r>
    <s v="CN-0167-2023"/>
    <s v="Drainase"/>
    <s v="Depok"/>
    <s v="Perbaikan Drainase Depok"/>
    <d v="2023-05-11T00:00:00"/>
    <d v="2024-02-15T00:00:00"/>
    <n v="711908536"/>
    <x v="0"/>
    <n v="280"/>
    <n v="2542530.4857142856"/>
    <x v="0"/>
    <n v="2542530.4857142856"/>
  </r>
  <r>
    <s v="CN-0168-2023"/>
    <s v="Flyover"/>
    <s v="Bandung"/>
    <s v="Pembuatan Flyover Bandung"/>
    <d v="2023-05-11T00:00:00"/>
    <d v="2023-12-01T00:00:00"/>
    <n v="4488626883"/>
    <x v="5"/>
    <n v="204"/>
    <n v="22003072.955882352"/>
    <x v="0"/>
    <n v="22003072.955882352"/>
  </r>
  <r>
    <s v="CN-0169-2023"/>
    <s v="Jalan Raya"/>
    <s v="Bau-Bau"/>
    <s v="Perbaikan Jalan Raya Bau-Bau"/>
    <d v="2023-05-12T00:00:00"/>
    <d v="2023-08-07T00:00:00"/>
    <n v="833760455"/>
    <x v="4"/>
    <n v="87"/>
    <n v="9583453.5057471264"/>
    <x v="0"/>
    <n v="9583453.5057471264"/>
  </r>
  <r>
    <s v="CN-0170-2023"/>
    <s v="Jalan Raya"/>
    <s v="Makassar"/>
    <s v="Perbaikan Jalan Raya Makassar"/>
    <d v="2023-05-13T00:00:00"/>
    <d v="2024-04-08T00:00:00"/>
    <n v="796873116"/>
    <x v="7"/>
    <n v="331"/>
    <n v="2407471.6495468277"/>
    <x v="0"/>
    <n v="2407471.6495468277"/>
  </r>
  <r>
    <s v="CN-0171-2023"/>
    <s v="Jalan Raya"/>
    <s v="Surabaya"/>
    <s v="Perbaikan Jalan Raya Surabaya"/>
    <d v="2023-05-14T00:00:00"/>
    <d v="2023-11-01T00:00:00"/>
    <n v="265841157"/>
    <x v="6"/>
    <n v="171"/>
    <n v="1554626.649122807"/>
    <x v="0"/>
    <n v="1554626.649122807"/>
  </r>
  <r>
    <s v="CN-0172-2023"/>
    <s v="Jembatan"/>
    <s v="Medan"/>
    <s v="Pembuatan Jembatan Medan"/>
    <d v="2023-05-15T00:00:00"/>
    <d v="2024-01-03T00:00:00"/>
    <n v="2403144972"/>
    <x v="6"/>
    <n v="233"/>
    <n v="10313926.918454936"/>
    <x v="0"/>
    <n v="10313926.918454936"/>
  </r>
  <r>
    <s v="CN-0173-2023"/>
    <s v="Jembatan"/>
    <s v="Medan"/>
    <s v="Pembuatan Jembatan Medan"/>
    <d v="2023-05-16T00:00:00"/>
    <d v="2024-05-06T00:00:00"/>
    <n v="2353183969"/>
    <x v="7"/>
    <n v="356"/>
    <n v="6610067.3286516853"/>
    <x v="0"/>
    <n v="6610067.3286516853"/>
  </r>
  <r>
    <s v="CN-0174-2023"/>
    <s v="Jembatan"/>
    <s v="Bau-Bau"/>
    <s v="Perbaikan Jembatan Bau-Bau"/>
    <d v="2023-05-17T00:00:00"/>
    <d v="2023-11-03T00:00:00"/>
    <n v="3010188959"/>
    <x v="7"/>
    <n v="170"/>
    <n v="17706993.876470588"/>
    <x v="0"/>
    <n v="17706993.876470588"/>
  </r>
  <r>
    <s v="CN-0175-2023"/>
    <s v="Jembatan"/>
    <s v="Bau-Bau"/>
    <s v="Perbaikan Jembatan Bau-Bau"/>
    <d v="2023-05-17T00:00:00"/>
    <d v="2023-12-14T00:00:00"/>
    <n v="3270056272"/>
    <x v="3"/>
    <n v="211"/>
    <n v="15497897.023696683"/>
    <x v="0"/>
    <n v="15497897.023696683"/>
  </r>
  <r>
    <s v="CN-0176-2023"/>
    <s v="Flyover"/>
    <s v="Surabaya"/>
    <s v="Pembuatan Flyover Surabaya"/>
    <d v="2023-05-17T00:00:00"/>
    <d v="2024-03-25T00:00:00"/>
    <n v="2737545275"/>
    <x v="5"/>
    <n v="313"/>
    <n v="8746151.0383386575"/>
    <x v="0"/>
    <n v="8746151.0383386575"/>
  </r>
  <r>
    <s v="CN-0177-2023"/>
    <s v="Drainase"/>
    <s v="Jakarta"/>
    <s v="Perbaikan Drainase Jakarta"/>
    <d v="2023-05-17T00:00:00"/>
    <d v="2023-10-16T00:00:00"/>
    <n v="435396392"/>
    <x v="5"/>
    <n v="152"/>
    <n v="2864449.9473684211"/>
    <x v="0"/>
    <n v="2864449.9473684211"/>
  </r>
  <r>
    <s v="CN-0178-2023"/>
    <s v="Jalan Raya"/>
    <s v="Tomohon"/>
    <s v="Perbaikan Jalan Raya Tomohon"/>
    <d v="2023-05-18T00:00:00"/>
    <d v="2023-09-30T00:00:00"/>
    <n v="862972191"/>
    <x v="0"/>
    <n v="135"/>
    <n v="6392386.5999999996"/>
    <x v="0"/>
    <n v="6392386.5999999996"/>
  </r>
  <r>
    <s v="CN-0179-2023"/>
    <s v="Drainase"/>
    <s v="Jakarta"/>
    <s v="Perbaikan Drainase Jakarta"/>
    <d v="2023-05-20T00:00:00"/>
    <d v="2023-06-24T00:00:00"/>
    <n v="540011263"/>
    <x v="5"/>
    <n v="35"/>
    <n v="15428893.228571428"/>
    <x v="0"/>
    <n v="15428893.228571428"/>
  </r>
  <r>
    <s v="CN-0180-2023"/>
    <s v="Jembatan"/>
    <s v="Medan"/>
    <s v="Pembuatan Jembatan Medan"/>
    <d v="2023-05-22T00:00:00"/>
    <d v="2023-07-03T00:00:00"/>
    <n v="1029500364"/>
    <x v="4"/>
    <n v="42"/>
    <n v="24511913.428571429"/>
    <x v="0"/>
    <n v="24511913.428571429"/>
  </r>
  <r>
    <s v="CN-0181-2023"/>
    <s v="Jalan Raya"/>
    <s v="Makassar"/>
    <s v="Perbaikan Jalan Raya Makassar"/>
    <d v="2023-05-23T00:00:00"/>
    <d v="2024-02-15T00:00:00"/>
    <n v="641123605"/>
    <x v="1"/>
    <n v="268"/>
    <n v="2392252.2574626864"/>
    <x v="0"/>
    <n v="2392252.2574626864"/>
  </r>
  <r>
    <s v="CN-0182-2023"/>
    <s v="Flyover"/>
    <s v="Bau-Bau"/>
    <s v="Pembuatan Flyover Bau-Bau"/>
    <d v="2023-05-24T00:00:00"/>
    <d v="2024-05-01T00:00:00"/>
    <n v="3739543587"/>
    <x v="7"/>
    <n v="343"/>
    <n v="10902459.437317785"/>
    <x v="0"/>
    <n v="10902459.437317785"/>
  </r>
  <r>
    <s v="CN-0183-2023"/>
    <s v="Gedung"/>
    <s v="Bandung"/>
    <s v="Perbaikan Gedung Pemerintah Bandung"/>
    <d v="2023-05-26T00:00:00"/>
    <d v="2023-07-01T00:00:00"/>
    <n v="1989239519"/>
    <x v="6"/>
    <n v="36"/>
    <n v="55256653.305555552"/>
    <x v="0"/>
    <n v="55256653.305555552"/>
  </r>
  <r>
    <s v="CN-0184-2023"/>
    <s v="Jalan Raya"/>
    <s v="Surabaya"/>
    <s v="Perbaikan Jalan Raya Surabaya"/>
    <d v="2023-05-26T00:00:00"/>
    <d v="2024-01-19T00:00:00"/>
    <n v="751081465"/>
    <x v="5"/>
    <n v="238"/>
    <n v="3155804.4747899161"/>
    <x v="0"/>
    <n v="3155804.4747899161"/>
  </r>
  <r>
    <s v="CN-0185-2023"/>
    <s v="Drainase"/>
    <s v="Surabaya"/>
    <s v="Perbaikan Drainase Surabaya"/>
    <d v="2023-05-27T00:00:00"/>
    <d v="2024-04-18T00:00:00"/>
    <n v="396170576"/>
    <x v="4"/>
    <n v="327"/>
    <n v="1211530.8134556576"/>
    <x v="0"/>
    <n v="1211530.8134556576"/>
  </r>
  <r>
    <s v="CN-0186-2023"/>
    <s v="Flyover"/>
    <s v="Bandung"/>
    <s v="Pembuatan Flyover Bandung"/>
    <d v="2023-05-27T00:00:00"/>
    <d v="2024-03-17T00:00:00"/>
    <n v="3867278410"/>
    <x v="6"/>
    <n v="295"/>
    <n v="13109418.338983051"/>
    <x v="0"/>
    <n v="13109418.338983051"/>
  </r>
  <r>
    <s v="CN-0187-2023"/>
    <s v="Gedung"/>
    <s v="Jakarta"/>
    <s v="Perbaikan Gedung Pemerintah Jakarta"/>
    <d v="2023-05-28T00:00:00"/>
    <d v="2024-02-04T00:00:00"/>
    <n v="1475452617"/>
    <x v="5"/>
    <n v="252"/>
    <n v="5854970.7023809524"/>
    <x v="0"/>
    <n v="5854970.7023809524"/>
  </r>
  <r>
    <s v="CN-0188-2023"/>
    <s v="Tidak Diketahui"/>
    <s v="Tidak Diketahui"/>
    <s v="Perbaikan Gedung Pemerintah Surabaya"/>
    <d v="2023-05-28T00:00:00"/>
    <d v="2023-11-13T00:00:00"/>
    <n v="8372699981"/>
    <x v="2"/>
    <n v="169"/>
    <n v="49542603.437869824"/>
    <x v="0"/>
    <n v="49542603.437869824"/>
  </r>
  <r>
    <s v="CN-0189-2023"/>
    <s v="Drainase"/>
    <s v="Bau-Bau"/>
    <s v="Perbaikan Drainase Bau-Bau"/>
    <d v="2023-05-28T00:00:00"/>
    <d v="2023-10-16T00:00:00"/>
    <n v="467726708"/>
    <x v="0"/>
    <n v="141"/>
    <n v="3317210.6950354609"/>
    <x v="0"/>
    <n v="3317210.6950354609"/>
  </r>
  <r>
    <s v="CN-0190-2023"/>
    <s v="Jembatan"/>
    <s v="Bau-Bau"/>
    <s v="Pembuatan Jembatan Bau-Bau"/>
    <d v="2023-05-29T00:00:00"/>
    <d v="2023-12-16T00:00:00"/>
    <n v="3277415006"/>
    <x v="7"/>
    <n v="201"/>
    <n v="16305547.293532338"/>
    <x v="0"/>
    <n v="16305547.293532338"/>
  </r>
  <r>
    <s v="CN-0191-2023"/>
    <s v="Drainase"/>
    <s v="Bau-Bau"/>
    <s v="Perbaikan Drainase Bau-Bau"/>
    <d v="2023-05-30T00:00:00"/>
    <d v="2024-03-04T00:00:00"/>
    <n v="636468503"/>
    <x v="3"/>
    <n v="279"/>
    <n v="2281249.1146953404"/>
    <x v="0"/>
    <n v="2281249.1146953404"/>
  </r>
  <r>
    <s v="CN-0192-2023"/>
    <s v="Gedung"/>
    <s v="Surabaya"/>
    <s v="Perbaikan Gedung Pemerintah Surabaya"/>
    <d v="2023-06-01T00:00:00"/>
    <d v="2023-08-15T00:00:00"/>
    <n v="1206249778"/>
    <x v="6"/>
    <n v="75"/>
    <n v="16083330.373333333"/>
    <x v="0"/>
    <n v="16083330.373333333"/>
  </r>
  <r>
    <s v="CN-0193-2023"/>
    <s v="Gedung"/>
    <s v="Surabaya"/>
    <s v="Perbaikan Gedung Pemerintah Surabaya"/>
    <d v="2023-06-01T00:00:00"/>
    <d v="2023-08-15T00:00:00"/>
    <n v="6060807570"/>
    <x v="3"/>
    <n v="75"/>
    <n v="80810767.599999994"/>
    <x v="0"/>
    <n v="80810767.599999994"/>
  </r>
  <r>
    <s v="CN-0194-2023"/>
    <s v="Flyover"/>
    <s v="Medan"/>
    <s v="Pembuatan Flyover Medan"/>
    <d v="2023-06-01T00:00:00"/>
    <d v="2023-10-21T00:00:00"/>
    <n v="2544644297"/>
    <x v="2"/>
    <n v="142"/>
    <n v="17920030.260563381"/>
    <x v="0"/>
    <n v="17920030.260563381"/>
  </r>
  <r>
    <s v="CN-0195-2023"/>
    <s v="Jembatan"/>
    <s v="Jakarta"/>
    <s v="Pembuatan Jembatan Jakarta"/>
    <d v="2023-06-03T00:00:00"/>
    <d v="2024-05-11T00:00:00"/>
    <n v="6557069994"/>
    <x v="7"/>
    <n v="343"/>
    <n v="19116822.139941692"/>
    <x v="0"/>
    <n v="19116822.139941692"/>
  </r>
  <r>
    <s v="CN-0196-2023"/>
    <s v="Flyover"/>
    <s v="Makassar"/>
    <s v="Pembuatan Flyover Makassar"/>
    <d v="2023-06-04T00:00:00"/>
    <d v="2024-04-11T00:00:00"/>
    <n v="4526013687"/>
    <x v="6"/>
    <n v="312"/>
    <n v="14506454.125"/>
    <x v="0"/>
    <n v="14506454.125"/>
  </r>
  <r>
    <s v="CN-0197-2023"/>
    <s v="Flyover"/>
    <s v="Bandung"/>
    <s v="Pembuatan Flyover Bandung"/>
    <d v="2023-06-04T00:00:00"/>
    <d v="2024-02-14T00:00:00"/>
    <n v="1746655000"/>
    <x v="1"/>
    <n v="255"/>
    <n v="6849627.4509803923"/>
    <x v="0"/>
    <n v="6849627.4509803923"/>
  </r>
  <r>
    <s v="CN-0198-2023"/>
    <s v="Jembatan"/>
    <s v="Medan"/>
    <s v="Pembuatan Jembatan Medan"/>
    <d v="2023-06-04T00:00:00"/>
    <d v="2023-08-13T00:00:00"/>
    <n v="846453122"/>
    <x v="4"/>
    <n v="70"/>
    <n v="12092187.457142858"/>
    <x v="0"/>
    <n v="12092187.457142858"/>
  </r>
  <r>
    <s v="CN-0199-2023"/>
    <s v="Jalan Raya"/>
    <s v="Makassar"/>
    <s v="Perbaikan Jalan Raya Makassar"/>
    <d v="2023-06-04T00:00:00"/>
    <d v="2023-08-04T00:00:00"/>
    <n v="203965243"/>
    <x v="4"/>
    <n v="61"/>
    <n v="3343692.5081967213"/>
    <x v="0"/>
    <n v="3343692.5081967213"/>
  </r>
  <r>
    <s v="CN-0200-2023"/>
    <s v="Flyover"/>
    <s v="Bau-Bau"/>
    <s v="Perbaikan Flyover Bau-Bau"/>
    <d v="2023-06-04T00:00:00"/>
    <d v="2024-04-04T00:00:00"/>
    <n v="10119728525"/>
    <x v="6"/>
    <n v="305"/>
    <n v="33179437.786885247"/>
    <x v="0"/>
    <n v="33179437.786885247"/>
  </r>
  <r>
    <s v="CN-0201-2023"/>
    <s v="Flyover"/>
    <s v="Makassar"/>
    <s v="Pembuatan Flyover Makassar"/>
    <d v="2023-06-05T00:00:00"/>
    <d v="2024-04-28T00:00:00"/>
    <n v="4915550556"/>
    <x v="5"/>
    <n v="328"/>
    <n v="14986434.621951219"/>
    <x v="0"/>
    <n v="14986434.621951219"/>
  </r>
  <r>
    <s v="CN-0202-2023"/>
    <s v="Drainase"/>
    <s v="Tomohon"/>
    <s v="Perbaikan Drainase Tomohon"/>
    <d v="2023-06-07T00:00:00"/>
    <d v="2024-01-12T00:00:00"/>
    <n v="490931117"/>
    <x v="1"/>
    <n v="219"/>
    <n v="2241694.5981735159"/>
    <x v="0"/>
    <n v="2241694.5981735159"/>
  </r>
  <r>
    <s v="CN-0203-2023"/>
    <s v="Drainase"/>
    <s v="Bandung"/>
    <s v="Perbaikan Drainase Bandung"/>
    <d v="2023-06-07T00:00:00"/>
    <d v="2024-03-28T00:00:00"/>
    <n v="345656676"/>
    <x v="1"/>
    <n v="295"/>
    <n v="1171717.5457627119"/>
    <x v="0"/>
    <n v="1171717.5457627119"/>
  </r>
  <r>
    <s v="CN-0204-2023"/>
    <s v="Flyover"/>
    <s v="Bau-Bau"/>
    <s v="Perbaikan Flyover Bau-Bau"/>
    <d v="2023-06-11T00:00:00"/>
    <d v="2024-04-20T00:00:00"/>
    <n v="2994383941"/>
    <x v="6"/>
    <n v="314"/>
    <n v="9536254.589171974"/>
    <x v="0"/>
    <n v="9536254.589171974"/>
  </r>
  <r>
    <s v="CN-0205-2023"/>
    <s v="Gedung"/>
    <s v="Jakarta"/>
    <s v="Perbaikan Gedung Pemerintah Jakarta"/>
    <d v="2023-06-11T00:00:00"/>
    <d v="2023-11-29T00:00:00"/>
    <n v="6364217108"/>
    <x v="4"/>
    <n v="171"/>
    <n v="37217643.906432748"/>
    <x v="0"/>
    <n v="37217643.906432748"/>
  </r>
  <r>
    <s v="CN-0206-2023"/>
    <s v="Jembatan"/>
    <s v="Bau-Bau"/>
    <s v="Perbaikan Jembatan Bau-Bau"/>
    <d v="2023-06-13T00:00:00"/>
    <d v="2023-08-30T00:00:00"/>
    <n v="3757150419"/>
    <x v="5"/>
    <n v="78"/>
    <n v="48168595.115384616"/>
    <x v="0"/>
    <n v="48168595.115384616"/>
  </r>
  <r>
    <s v="CN-0207-2023"/>
    <s v="Jembatan"/>
    <s v="Medan"/>
    <s v="Pembuatan Jembatan Medan"/>
    <d v="2023-06-13T00:00:00"/>
    <d v="2023-10-21T00:00:00"/>
    <n v="4655083177"/>
    <x v="6"/>
    <n v="130"/>
    <n v="35808332.13076923"/>
    <x v="0"/>
    <n v="35808332.13076923"/>
  </r>
  <r>
    <s v="CN-0208-2023"/>
    <s v="Drainase"/>
    <s v="Bandung"/>
    <s v="Perbaikan Drainase Bandung"/>
    <d v="2023-06-14T00:00:00"/>
    <d v="2023-06-14T00:00:00"/>
    <n v="612637613"/>
    <x v="6"/>
    <n v="1"/>
    <n v="612637613"/>
    <x v="0"/>
    <n v="612637613"/>
  </r>
  <r>
    <s v="CN-0209-2023"/>
    <s v="Jembatan"/>
    <s v="Bandung"/>
    <s v="Pembuatan Jembatan Bandung"/>
    <d v="2023-06-16T00:00:00"/>
    <d v="2024-05-13T00:00:00"/>
    <n v="765288058"/>
    <x v="1"/>
    <n v="332"/>
    <n v="2305084.5120481928"/>
    <x v="0"/>
    <n v="2305084.5120481928"/>
  </r>
  <r>
    <s v="CN-0210-2023"/>
    <s v="Jalan Raya"/>
    <s v="Depok"/>
    <s v="Perbaikan Jalan Raya Depok"/>
    <d v="2023-06-16T00:00:00"/>
    <d v="2024-02-15T00:00:00"/>
    <n v="996933795"/>
    <x v="4"/>
    <n v="244"/>
    <n v="4085794.2418032787"/>
    <x v="0"/>
    <n v="4085794.2418032787"/>
  </r>
  <r>
    <s v="CN-0211-2023"/>
    <s v="Gedung"/>
    <s v="Jakarta"/>
    <s v="Perbaikan Gedung Pemerintah Jakarta"/>
    <d v="2023-06-16T00:00:00"/>
    <d v="2023-12-20T00:00:00"/>
    <n v="6355661362"/>
    <x v="2"/>
    <n v="187"/>
    <n v="33987493.914438501"/>
    <x v="0"/>
    <n v="33987493.914438501"/>
  </r>
  <r>
    <s v="CN-0212-2023"/>
    <s v="Jembatan"/>
    <s v="Bau-Bau"/>
    <s v="Pembuatan Jembatan Bau-Bau"/>
    <d v="2023-06-16T00:00:00"/>
    <d v="2024-04-01T00:00:00"/>
    <n v="6951220052"/>
    <x v="1"/>
    <n v="290"/>
    <n v="23969724.317241378"/>
    <x v="0"/>
    <n v="23969724.317241378"/>
  </r>
  <r>
    <s v="CN-0213-2023"/>
    <s v="Drainase"/>
    <s v="Bandung"/>
    <s v="Perbaikan Drainase Bandung"/>
    <d v="2023-06-18T00:00:00"/>
    <d v="2024-05-11T00:00:00"/>
    <n v="257229348"/>
    <x v="2"/>
    <n v="328"/>
    <n v="784235.81707317068"/>
    <x v="0"/>
    <n v="784235.81707317068"/>
  </r>
  <r>
    <s v="CN-0214-2023"/>
    <s v="Gedung"/>
    <s v="Medan"/>
    <s v="Perbaikan Gedung Pemerintah Medan"/>
    <d v="2023-06-19T00:00:00"/>
    <d v="2024-05-16T00:00:00"/>
    <n v="1258024298"/>
    <x v="0"/>
    <n v="332"/>
    <n v="3789229.813253012"/>
    <x v="0"/>
    <n v="3789229.813253012"/>
  </r>
  <r>
    <s v="CN-0215-2023"/>
    <s v="Drainase"/>
    <s v="Makassar"/>
    <s v="Perbaikan Drainase Makassar"/>
    <d v="2023-06-19T00:00:00"/>
    <d v="2023-09-30T00:00:00"/>
    <n v="375761303"/>
    <x v="5"/>
    <n v="103"/>
    <n v="3648167.990291262"/>
    <x v="0"/>
    <n v="3648167.990291262"/>
  </r>
  <r>
    <s v="CN-0216-2023"/>
    <s v="Gedung"/>
    <s v="Depok"/>
    <s v="Perbaikan Gedung Pemerintah Depok"/>
    <d v="2023-06-20T00:00:00"/>
    <d v="2023-07-22T00:00:00"/>
    <n v="6540978129"/>
    <x v="4"/>
    <n v="32"/>
    <n v="204405566.53125"/>
    <x v="0"/>
    <n v="204405566.53125"/>
  </r>
  <r>
    <s v="CN-0217-2023"/>
    <s v="Drainase"/>
    <s v="Jakarta"/>
    <s v="Perbaikan Drainase Jakarta"/>
    <d v="2023-06-21T00:00:00"/>
    <d v="2023-08-04T00:00:00"/>
    <n v="342017973"/>
    <x v="3"/>
    <n v="44"/>
    <n v="7773135.75"/>
    <x v="0"/>
    <n v="7773135.75"/>
  </r>
  <r>
    <s v="CN-0218-2023"/>
    <s v="Jembatan"/>
    <s v="Bau-Bau"/>
    <s v="Perbaikan Jembatan Bau-Bau"/>
    <d v="2023-06-21T00:00:00"/>
    <d v="2024-01-01T00:00:00"/>
    <n v="4806164886"/>
    <x v="3"/>
    <n v="194"/>
    <n v="24774045.804123711"/>
    <x v="0"/>
    <n v="24774045.804123711"/>
  </r>
  <r>
    <s v="CN-0219-2023"/>
    <s v="Gedung"/>
    <s v="Bandung"/>
    <s v="Perbaikan Gedung Pemerintah Bandung"/>
    <d v="2023-06-22T00:00:00"/>
    <d v="2024-04-03T00:00:00"/>
    <n v="9209856007"/>
    <x v="5"/>
    <n v="286"/>
    <n v="32202293.730769232"/>
    <x v="0"/>
    <n v="32202293.730769232"/>
  </r>
  <r>
    <s v="CN-0220-2023"/>
    <s v="Drainase"/>
    <s v="Makassar"/>
    <s v="Perbaikan Drainase Makassar"/>
    <d v="2023-06-22T00:00:00"/>
    <d v="2023-08-16T00:00:00"/>
    <n v="269400319"/>
    <x v="1"/>
    <n v="55"/>
    <n v="4898187.6181818182"/>
    <x v="0"/>
    <n v="4898187.6181818182"/>
  </r>
  <r>
    <s v="CN-0221-2023"/>
    <s v="Gedung"/>
    <s v="Tomohon"/>
    <s v="Perbaikan Gedung Pemerintah Tomohon"/>
    <d v="2023-06-22T00:00:00"/>
    <d v="2023-11-15T00:00:00"/>
    <n v="3098986860"/>
    <x v="0"/>
    <n v="146"/>
    <n v="21225937.397260275"/>
    <x v="0"/>
    <n v="21225937.397260275"/>
  </r>
  <r>
    <s v="CN-0222-2023"/>
    <s v="Jembatan"/>
    <s v="Surabaya"/>
    <s v="Perbaikan Jembatan Surabaya"/>
    <d v="2023-06-22T00:00:00"/>
    <d v="2023-11-24T00:00:00"/>
    <n v="2873619122"/>
    <x v="0"/>
    <n v="155"/>
    <n v="18539478.206451613"/>
    <x v="0"/>
    <n v="18539478.206451613"/>
  </r>
  <r>
    <s v="CN-0223-2023"/>
    <s v="Drainase"/>
    <s v="Depok"/>
    <s v="Perbaikan Drainase Depok"/>
    <d v="2023-06-24T00:00:00"/>
    <d v="2023-07-31T00:00:00"/>
    <n v="735575459"/>
    <x v="3"/>
    <n v="37"/>
    <n v="19880417.810810812"/>
    <x v="0"/>
    <n v="19880417.810810812"/>
  </r>
  <r>
    <s v="CN-0224-2023"/>
    <s v="Gedung"/>
    <s v="Medan"/>
    <s v="Perbaikan Gedung Pemerintah Medan"/>
    <d v="2023-06-24T00:00:00"/>
    <d v="2024-03-24T00:00:00"/>
    <n v="2354261081"/>
    <x v="0"/>
    <n v="274"/>
    <n v="8592193.7262773719"/>
    <x v="0"/>
    <n v="8592193.7262773719"/>
  </r>
  <r>
    <s v="CN-0225-2023"/>
    <s v="Jembatan"/>
    <s v="Medan"/>
    <s v="Pembuatan Jembatan Medan"/>
    <d v="2023-06-25T00:00:00"/>
    <d v="2024-02-02T00:00:00"/>
    <n v="2697497947"/>
    <x v="5"/>
    <n v="222"/>
    <n v="12150891.653153153"/>
    <x v="0"/>
    <n v="12150891.653153153"/>
  </r>
  <r>
    <s v="CN-0226-2023"/>
    <s v="Jalan Raya"/>
    <s v="Tomohon"/>
    <s v="Perbaikan Jalan Raya Tomohon"/>
    <d v="2023-06-26T00:00:00"/>
    <d v="2024-04-22T00:00:00"/>
    <n v="277801695"/>
    <x v="0"/>
    <n v="301"/>
    <n v="922929.21926910302"/>
    <x v="0"/>
    <n v="922929.21926910302"/>
  </r>
  <r>
    <s v="CN-0227-2023"/>
    <s v="Gedung"/>
    <s v="Bandung"/>
    <s v="Perbaikan Gedung Pemerintah Bandung"/>
    <d v="2023-06-27T00:00:00"/>
    <d v="2023-09-26T00:00:00"/>
    <n v="5365371920"/>
    <x v="3"/>
    <n v="91"/>
    <n v="58960130.98901099"/>
    <x v="0"/>
    <n v="58960130.98901099"/>
  </r>
  <r>
    <s v="CN-0228-2023"/>
    <s v="Drainase"/>
    <s v="Surabaya"/>
    <s v="Perbaikan Drainase Surabaya"/>
    <d v="2023-06-29T00:00:00"/>
    <d v="2023-08-06T00:00:00"/>
    <n v="737701834"/>
    <x v="5"/>
    <n v="38"/>
    <n v="19413206.157894738"/>
    <x v="0"/>
    <n v="19413206.157894738"/>
  </r>
  <r>
    <s v="CN-0229-2023"/>
    <s v="Jembatan"/>
    <s v="Tomohon"/>
    <s v="Perbaikan Jembatan Tomohon"/>
    <d v="2023-06-29T00:00:00"/>
    <d v="2023-10-13T00:00:00"/>
    <n v="2498238869"/>
    <x v="2"/>
    <n v="106"/>
    <n v="23568291.216981132"/>
    <x v="0"/>
    <n v="23568291.216981132"/>
  </r>
  <r>
    <s v="CN-0230-2023"/>
    <s v="Drainase"/>
    <s v="Surabaya"/>
    <s v="Perbaikan Drainase Surabaya"/>
    <d v="2023-06-30T00:00:00"/>
    <d v="2023-10-22T00:00:00"/>
    <n v="343573944"/>
    <x v="4"/>
    <n v="114"/>
    <n v="3013806.5263157897"/>
    <x v="0"/>
    <n v="3013806.5263157897"/>
  </r>
  <r>
    <s v="CN-0231-2023"/>
    <s v="Jalan Raya"/>
    <s v="Makassar"/>
    <s v="Perbaikan Jalan Raya Makassar"/>
    <d v="2023-07-04T00:00:00"/>
    <d v="2023-09-11T00:00:00"/>
    <n v="802980870"/>
    <x v="6"/>
    <n v="69"/>
    <n v="11637403.913043479"/>
    <x v="0"/>
    <n v="11637403.913043479"/>
  </r>
  <r>
    <s v="CN-0232-2023"/>
    <s v="Jembatan"/>
    <s v="Bandung"/>
    <s v="Perbaikan Jembatan Bandung"/>
    <d v="2023-07-06T00:00:00"/>
    <d v="2023-11-23T00:00:00"/>
    <n v="1132821017"/>
    <x v="4"/>
    <n v="140"/>
    <n v="8091578.6928571425"/>
    <x v="0"/>
    <n v="8091578.6928571425"/>
  </r>
  <r>
    <s v="CN-0233-2023"/>
    <s v="Drainase"/>
    <s v="Depok"/>
    <s v="Perbaikan Drainase Depok"/>
    <d v="2023-07-07T00:00:00"/>
    <d v="2023-08-18T00:00:00"/>
    <n v="646267645"/>
    <x v="5"/>
    <n v="42"/>
    <n v="15387324.880952381"/>
    <x v="0"/>
    <n v="15387324.880952381"/>
  </r>
  <r>
    <s v="CN-0234-2023"/>
    <s v="Jembatan"/>
    <s v="Tomohon"/>
    <s v="Pembuatan Jembatan Tomohon"/>
    <d v="2023-07-08T00:00:00"/>
    <d v="2023-08-07T00:00:00"/>
    <n v="1091849633"/>
    <x v="7"/>
    <n v="30"/>
    <n v="36394987.766666666"/>
    <x v="0"/>
    <n v="36394987.766666666"/>
  </r>
  <r>
    <s v="CN-0235-2023"/>
    <s v="Jalan Raya"/>
    <s v="Jakarta"/>
    <s v="Perbaikan Jalan Raya Jakarta"/>
    <d v="2023-07-09T00:00:00"/>
    <d v="2023-08-20T00:00:00"/>
    <n v="969437655"/>
    <x v="0"/>
    <n v="42"/>
    <n v="23081848.928571429"/>
    <x v="0"/>
    <n v="23081848.928571429"/>
  </r>
  <r>
    <s v="CN-0236-2023"/>
    <s v="Flyover"/>
    <s v="Surabaya"/>
    <s v="Pembuatan Flyover Surabaya"/>
    <d v="2023-07-09T00:00:00"/>
    <d v="2024-02-28T00:00:00"/>
    <n v="3165392319"/>
    <x v="0"/>
    <n v="234"/>
    <n v="13527317.602564102"/>
    <x v="0"/>
    <n v="13527317.602564102"/>
  </r>
  <r>
    <s v="CN-0237-2023"/>
    <s v="Jembatan"/>
    <s v="Tomohon"/>
    <s v="Perbaikan Jembatan Tomohon"/>
    <d v="2023-07-10T00:00:00"/>
    <d v="2023-08-18T00:00:00"/>
    <n v="5204534546"/>
    <x v="3"/>
    <n v="39"/>
    <n v="133449603.74358974"/>
    <x v="0"/>
    <n v="133449603.74358974"/>
  </r>
  <r>
    <s v="CN-0238-2023"/>
    <s v="Gedung"/>
    <s v="Makassar"/>
    <s v="Perbaikan Gedung Pemerintah Makassar"/>
    <d v="2023-07-11T00:00:00"/>
    <d v="2023-12-28T00:00:00"/>
    <n v="3942664693"/>
    <x v="5"/>
    <n v="170"/>
    <n v="23192145.252941176"/>
    <x v="0"/>
    <n v="23192145.252941176"/>
  </r>
  <r>
    <s v="CN-0239-2023"/>
    <s v="Flyover"/>
    <s v="Makassar"/>
    <s v="Pembuatan Flyover Makassar"/>
    <d v="2023-07-11T00:00:00"/>
    <d v="2023-11-26T00:00:00"/>
    <n v="1996986704"/>
    <x v="7"/>
    <n v="138"/>
    <n v="14470918.144927537"/>
    <x v="0"/>
    <n v="14470918.144927537"/>
  </r>
  <r>
    <s v="CN-0240-2023"/>
    <s v="Jembatan"/>
    <s v="Jakarta"/>
    <s v="Perbaikan Jembatan Jakarta"/>
    <d v="2023-07-11T00:00:00"/>
    <d v="2024-04-12T00:00:00"/>
    <n v="1005719572"/>
    <x v="0"/>
    <n v="276"/>
    <n v="3643911.4927536231"/>
    <x v="0"/>
    <n v="3643911.4927536231"/>
  </r>
  <r>
    <s v="CN-0241-2023"/>
    <s v="Flyover"/>
    <s v="Makassar"/>
    <s v="Perbaikan Flyover Makassar"/>
    <d v="2023-07-11T00:00:00"/>
    <d v="2023-09-11T00:00:00"/>
    <n v="4155376448"/>
    <x v="4"/>
    <n v="62"/>
    <n v="67022200.774193548"/>
    <x v="0"/>
    <n v="67022200.774193548"/>
  </r>
  <r>
    <s v="CN-0242-2023"/>
    <s v="Gedung"/>
    <s v="Bau-Bau"/>
    <s v="Perbaikan Gedung Pemerintah Bau-Bau"/>
    <d v="2023-07-11T00:00:00"/>
    <d v="2024-06-09T00:00:00"/>
    <n v="6519755129"/>
    <x v="6"/>
    <n v="334"/>
    <n v="19520224.93712575"/>
    <x v="0"/>
    <n v="19520224.93712575"/>
  </r>
  <r>
    <s v="CN-0243-2023"/>
    <s v="Jalan Raya"/>
    <s v="Makassar"/>
    <s v="Perbaikan Jalan Raya Makassar"/>
    <d v="2023-07-12T00:00:00"/>
    <d v="2024-05-15T00:00:00"/>
    <n v="509824821"/>
    <x v="7"/>
    <n v="308"/>
    <n v="1655275.392857143"/>
    <x v="0"/>
    <n v="1655275.392857143"/>
  </r>
  <r>
    <s v="CN-0244-2023"/>
    <s v="Flyover"/>
    <s v="Jakarta"/>
    <s v="Perbaikan Flyover Jakarta"/>
    <d v="2023-07-12T00:00:00"/>
    <d v="2023-10-19T00:00:00"/>
    <n v="4249269902"/>
    <x v="2"/>
    <n v="99"/>
    <n v="42921918.202020206"/>
    <x v="0"/>
    <n v="42921918.202020206"/>
  </r>
  <r>
    <s v="CN-0245-2023"/>
    <s v="Flyover"/>
    <s v="Medan"/>
    <s v="Pembuatan Flyover Medan"/>
    <d v="2023-07-13T00:00:00"/>
    <d v="2023-10-24T00:00:00"/>
    <n v="2236844121"/>
    <x v="0"/>
    <n v="103"/>
    <n v="21716933.213592231"/>
    <x v="0"/>
    <n v="21716933.213592231"/>
  </r>
  <r>
    <s v="CN-0246-2023"/>
    <s v="Jalan Raya"/>
    <s v="Depok"/>
    <s v="Perbaikan Jalan Raya Depok"/>
    <d v="2023-07-14T00:00:00"/>
    <d v="2023-09-07T00:00:00"/>
    <n v="369427315"/>
    <x v="3"/>
    <n v="55"/>
    <n v="6716860.2727272725"/>
    <x v="0"/>
    <n v="6716860.2727272725"/>
  </r>
  <r>
    <s v="CN-0247-2023"/>
    <s v="Jembatan"/>
    <s v="Depok"/>
    <s v="Perbaikan Jembatan Depok"/>
    <d v="2023-07-14T00:00:00"/>
    <d v="2023-08-23T00:00:00"/>
    <n v="3688243132"/>
    <x v="0"/>
    <n v="40"/>
    <n v="92206078.299999997"/>
    <x v="0"/>
    <n v="92206078.299999997"/>
  </r>
  <r>
    <s v="CN-0248-2023"/>
    <s v="Jalan Raya"/>
    <s v="Surabaya"/>
    <s v="Perbaikan Jalan Raya Surabaya"/>
    <d v="2023-07-16T00:00:00"/>
    <d v="2024-01-24T00:00:00"/>
    <n v="381166441"/>
    <x v="7"/>
    <n v="192"/>
    <n v="1985241.8802083333"/>
    <x v="0"/>
    <n v="1985241.8802083333"/>
  </r>
  <r>
    <s v="CN-0249-2023"/>
    <s v="Drainase"/>
    <s v="Tomohon"/>
    <s v="Perbaikan Drainase Tomohon"/>
    <d v="2023-07-17T00:00:00"/>
    <d v="2024-05-09T00:00:00"/>
    <n v="604130639"/>
    <x v="2"/>
    <n v="297"/>
    <n v="2034109.8956228956"/>
    <x v="0"/>
    <n v="2034109.8956228956"/>
  </r>
  <r>
    <s v="CN-0250-2023"/>
    <s v="Jalan Raya"/>
    <s v="Medan"/>
    <s v="Perbaikan Jalan Raya Medan"/>
    <d v="2023-07-17T00:00:00"/>
    <d v="2023-11-28T00:00:00"/>
    <n v="283236486"/>
    <x v="1"/>
    <n v="134"/>
    <n v="2113705.1194029851"/>
    <x v="0"/>
    <n v="2113705.1194029851"/>
  </r>
  <r>
    <s v="CN-0251-2023"/>
    <s v="Drainase"/>
    <s v="Bau-Bau"/>
    <s v="Perbaikan Drainase Bau-Bau"/>
    <d v="2023-07-17T00:00:00"/>
    <d v="2023-12-09T00:00:00"/>
    <n v="288462185"/>
    <x v="6"/>
    <n v="145"/>
    <n v="1989394.3793103448"/>
    <x v="0"/>
    <n v="1989394.3793103448"/>
  </r>
  <r>
    <s v="CN-0252-2023"/>
    <s v="Jalan Raya"/>
    <s v="Bandung"/>
    <s v="Perbaikan Jalan Raya Bandung"/>
    <d v="2023-07-18T00:00:00"/>
    <d v="2024-05-07T00:00:00"/>
    <n v="706008565"/>
    <x v="7"/>
    <n v="294"/>
    <n v="2401389.6768707484"/>
    <x v="0"/>
    <n v="2401389.6768707484"/>
  </r>
  <r>
    <s v="CN-0253-2023"/>
    <s v="Jembatan"/>
    <s v="Jakarta"/>
    <s v="Pembuatan Jembatan Jakarta"/>
    <d v="2023-07-18T00:00:00"/>
    <d v="2024-01-26T00:00:00"/>
    <n v="3442468253"/>
    <x v="7"/>
    <n v="192"/>
    <n v="17929522.151041668"/>
    <x v="0"/>
    <n v="17929522.151041668"/>
  </r>
  <r>
    <s v="CN-0254-2023"/>
    <s v="Flyover"/>
    <s v="Surabaya"/>
    <s v="Pembuatan Flyover Surabaya"/>
    <d v="2023-07-18T00:00:00"/>
    <d v="2023-09-19T00:00:00"/>
    <n v="2233995238"/>
    <x v="6"/>
    <n v="63"/>
    <n v="35460241.873015873"/>
    <x v="0"/>
    <n v="35460241.873015873"/>
  </r>
  <r>
    <s v="CN-0255-2023"/>
    <s v="Drainase"/>
    <s v="Tomohon"/>
    <s v="Perbaikan Drainase Tomohon"/>
    <d v="2023-07-18T00:00:00"/>
    <d v="2023-12-17T00:00:00"/>
    <n v="579386663"/>
    <x v="6"/>
    <n v="152"/>
    <n v="3811754.3618421052"/>
    <x v="0"/>
    <n v="3811754.3618421052"/>
  </r>
  <r>
    <s v="CN-0256-2023"/>
    <s v="Gedung"/>
    <s v="Depok"/>
    <s v="Perbaikan Gedung Pemerintah Depok"/>
    <d v="2023-07-18T00:00:00"/>
    <d v="2024-02-05T00:00:00"/>
    <n v="2892512480"/>
    <x v="6"/>
    <n v="202"/>
    <n v="14319368.712871287"/>
    <x v="0"/>
    <n v="14319368.712871287"/>
  </r>
  <r>
    <s v="CN-0257-2023"/>
    <s v="Jembatan"/>
    <s v="Bandung"/>
    <s v="Perbaikan Jembatan Bandung"/>
    <d v="2023-07-19T00:00:00"/>
    <d v="2023-09-18T00:00:00"/>
    <n v="1731360253"/>
    <x v="3"/>
    <n v="61"/>
    <n v="28382954.967213117"/>
    <x v="0"/>
    <n v="28382954.967213117"/>
  </r>
  <r>
    <s v="CN-0258-2023"/>
    <s v="Flyover"/>
    <s v="Bandung"/>
    <s v="Pembuatan Flyover Bandung"/>
    <d v="2023-07-21T00:00:00"/>
    <d v="2023-10-05T00:00:00"/>
    <n v="4702380798"/>
    <x v="7"/>
    <n v="76"/>
    <n v="61873431.552631579"/>
    <x v="0"/>
    <n v="61873431.552631579"/>
  </r>
  <r>
    <s v="CN-0259-2023"/>
    <s v="Gedung"/>
    <s v="Bau-Bau"/>
    <s v="Perbaikan Gedung Pemerintah Bau-Bau"/>
    <d v="2023-07-21T00:00:00"/>
    <d v="2023-12-15T00:00:00"/>
    <n v="1321857853"/>
    <x v="1"/>
    <n v="147"/>
    <n v="8992230.2925170064"/>
    <x v="0"/>
    <n v="8992230.2925170064"/>
  </r>
  <r>
    <s v="CN-0260-2023"/>
    <s v="Jembatan"/>
    <s v="Jakarta"/>
    <s v="Pembuatan Jembatan Jakarta"/>
    <d v="2023-07-21T00:00:00"/>
    <d v="2023-09-19T00:00:00"/>
    <n v="4256914338"/>
    <x v="6"/>
    <n v="60"/>
    <n v="70948572.299999997"/>
    <x v="0"/>
    <n v="70948572.299999997"/>
  </r>
  <r>
    <s v="CN-0261-2023"/>
    <s v="Drainase"/>
    <s v="Bau-Bau"/>
    <s v="Perbaikan Drainase Bau-Bau"/>
    <d v="2023-07-21T00:00:00"/>
    <d v="2024-07-19T00:00:00"/>
    <n v="202438902"/>
    <x v="7"/>
    <n v="364"/>
    <n v="556150.82967032969"/>
    <x v="0"/>
    <n v="556150.82967032969"/>
  </r>
  <r>
    <s v="CN-0262-2023"/>
    <s v="Gedung"/>
    <s v="Bandung"/>
    <s v="Perbaikan Gedung Pemerintah Bandung"/>
    <d v="2023-07-22T00:00:00"/>
    <d v="2023-12-04T00:00:00"/>
    <n v="7153815573"/>
    <x v="1"/>
    <n v="135"/>
    <n v="52991226.466666669"/>
    <x v="0"/>
    <n v="52991226.466666669"/>
  </r>
  <r>
    <s v="CN-0263-2023"/>
    <s v="Flyover"/>
    <s v="Depok"/>
    <s v="Pembuatan Flyover Depok"/>
    <d v="2023-07-22T00:00:00"/>
    <d v="2023-12-25T00:00:00"/>
    <n v="2210232440"/>
    <x v="3"/>
    <n v="156"/>
    <n v="14168156.666666666"/>
    <x v="0"/>
    <n v="14168156.666666666"/>
  </r>
  <r>
    <s v="CN-0264-2023"/>
    <s v="Jembatan"/>
    <s v="Medan"/>
    <s v="Perbaikan Jembatan Medan"/>
    <d v="2023-07-22T00:00:00"/>
    <d v="2024-01-19T00:00:00"/>
    <n v="2045004222"/>
    <x v="6"/>
    <n v="181"/>
    <n v="11298365.867403315"/>
    <x v="0"/>
    <n v="11298365.867403315"/>
  </r>
  <r>
    <s v="CN-0265-2023"/>
    <s v="Jalan Raya"/>
    <s v="Medan"/>
    <s v="Perbaikan Jalan Raya Medan"/>
    <d v="2023-07-23T00:00:00"/>
    <d v="2024-06-02T00:00:00"/>
    <n v="607111213"/>
    <x v="3"/>
    <n v="315"/>
    <n v="1927337.1841269841"/>
    <x v="0"/>
    <n v="1927337.1841269841"/>
  </r>
  <r>
    <s v="CN-0266-2023"/>
    <s v="Jalan Raya"/>
    <s v="Bandung"/>
    <s v="Perbaikan Jalan Raya Bandung"/>
    <d v="2023-07-23T00:00:00"/>
    <d v="2024-04-25T00:00:00"/>
    <n v="378250495"/>
    <x v="0"/>
    <n v="277"/>
    <n v="1365525.2527075813"/>
    <x v="0"/>
    <n v="1365525.2527075813"/>
  </r>
  <r>
    <s v="CN-0267-2023"/>
    <s v="Drainase"/>
    <s v="Medan"/>
    <s v="Perbaikan Drainase Medan"/>
    <d v="2023-07-23T00:00:00"/>
    <d v="2023-12-17T00:00:00"/>
    <n v="225164187"/>
    <x v="2"/>
    <n v="147"/>
    <n v="1531729.163265306"/>
    <x v="0"/>
    <n v="1531729.163265306"/>
  </r>
  <r>
    <s v="CN-0268-2023"/>
    <s v="Jembatan"/>
    <s v="Bandung"/>
    <s v="Perbaikan Jembatan Bandung"/>
    <d v="2023-07-23T00:00:00"/>
    <d v="2024-06-22T00:00:00"/>
    <n v="4178594822"/>
    <x v="3"/>
    <n v="335"/>
    <n v="12473417.379104478"/>
    <x v="0"/>
    <n v="12473417.379104478"/>
  </r>
  <r>
    <s v="CN-0269-2023"/>
    <s v="Jalan Raya"/>
    <s v="Tomohon"/>
    <s v="Perbaikan Jalan Raya Tomohon"/>
    <d v="2023-07-24T00:00:00"/>
    <d v="2023-10-29T00:00:00"/>
    <n v="660225526"/>
    <x v="7"/>
    <n v="97"/>
    <n v="6806448.7216494847"/>
    <x v="0"/>
    <n v="6806448.7216494847"/>
  </r>
  <r>
    <s v="CN-0270-2023"/>
    <s v="Jembatan"/>
    <s v="Depok"/>
    <s v="Pembuatan Jembatan Depok"/>
    <d v="2023-07-24T00:00:00"/>
    <d v="2024-04-29T00:00:00"/>
    <n v="6255723631"/>
    <x v="7"/>
    <n v="280"/>
    <n v="22341870.110714287"/>
    <x v="0"/>
    <n v="22341870.110714287"/>
  </r>
  <r>
    <s v="CN-0271-2023"/>
    <s v="Flyover"/>
    <s v="Jakarta"/>
    <s v="Pembuatan Flyover Jakarta"/>
    <d v="2023-07-24T00:00:00"/>
    <d v="2023-12-11T00:00:00"/>
    <n v="1935087556"/>
    <x v="1"/>
    <n v="140"/>
    <n v="13822053.971428571"/>
    <x v="0"/>
    <n v="13822053.971428571"/>
  </r>
  <r>
    <s v="CN-0272-2023"/>
    <s v="Jembatan"/>
    <s v="Makassar"/>
    <s v="Perbaikan Jembatan Makassar"/>
    <d v="2023-07-26T00:00:00"/>
    <d v="2024-04-02T00:00:00"/>
    <n v="6639282641"/>
    <x v="5"/>
    <n v="251"/>
    <n v="26451325.262948208"/>
    <x v="0"/>
    <n v="26451325.262948208"/>
  </r>
  <r>
    <s v="CN-0273-2023"/>
    <s v="Gedung"/>
    <s v="Surabaya"/>
    <s v="Perbaikan Gedung Pemerintah Surabaya"/>
    <d v="2023-07-26T00:00:00"/>
    <d v="2024-05-17T00:00:00"/>
    <n v="1341304566"/>
    <x v="6"/>
    <n v="296"/>
    <n v="4531434.344594595"/>
    <x v="0"/>
    <n v="4531434.344594595"/>
  </r>
  <r>
    <s v="CN-0274-2023"/>
    <s v="Jembatan"/>
    <s v="Medan"/>
    <s v="Pembuatan Jembatan Medan"/>
    <d v="2023-07-28T00:00:00"/>
    <d v="2023-08-30T00:00:00"/>
    <n v="1482129947"/>
    <x v="4"/>
    <n v="33"/>
    <n v="44913028.696969695"/>
    <x v="0"/>
    <n v="44913028.696969695"/>
  </r>
  <r>
    <s v="CN-0275-2023"/>
    <s v="Jembatan"/>
    <s v="Medan"/>
    <s v="Pembuatan Jembatan Medan"/>
    <d v="2023-07-28T00:00:00"/>
    <d v="2023-11-10T00:00:00"/>
    <n v="5134610940"/>
    <x v="1"/>
    <n v="105"/>
    <n v="48901056.571428575"/>
    <x v="0"/>
    <n v="48901056.571428575"/>
  </r>
  <r>
    <s v="CN-0276-2023"/>
    <s v="Jalan Raya"/>
    <s v="Medan"/>
    <s v="Perbaikan Jalan Raya Medan"/>
    <d v="2023-07-28T00:00:00"/>
    <d v="2024-03-06T00:00:00"/>
    <n v="344333067"/>
    <x v="7"/>
    <n v="222"/>
    <n v="1551049.8513513512"/>
    <x v="0"/>
    <n v="1551049.8513513512"/>
  </r>
  <r>
    <s v="CN-0277-2023"/>
    <s v="Gedung"/>
    <s v="Bau-Bau"/>
    <s v="Perbaikan Gedung Pemerintah Bau-Bau"/>
    <d v="2023-07-29T00:00:00"/>
    <d v="2023-09-08T00:00:00"/>
    <n v="2347619310"/>
    <x v="4"/>
    <n v="41"/>
    <n v="57259007.560975611"/>
    <x v="0"/>
    <n v="57259007.560975611"/>
  </r>
  <r>
    <s v="CN-0278-2023"/>
    <s v="Flyover"/>
    <s v="Tomohon"/>
    <s v="Perbaikan Flyover Tomohon"/>
    <d v="2023-07-29T00:00:00"/>
    <d v="2024-03-29T00:00:00"/>
    <n v="2422397660"/>
    <x v="5"/>
    <n v="244"/>
    <n v="9927859.2622950822"/>
    <x v="0"/>
    <n v="9927859.2622950822"/>
  </r>
  <r>
    <s v="CN-0279-2023"/>
    <s v="Drainase"/>
    <s v="Bandung"/>
    <s v="Perbaikan Drainase Bandung"/>
    <d v="2023-07-30T00:00:00"/>
    <d v="2024-01-15T00:00:00"/>
    <n v="593562614"/>
    <x v="1"/>
    <n v="169"/>
    <n v="3512204.8165680473"/>
    <x v="0"/>
    <n v="3512204.8165680473"/>
  </r>
  <r>
    <s v="CN-0280-2023"/>
    <s v="Flyover"/>
    <s v="Tomohon"/>
    <s v="Pembuatan Flyover Tomohon"/>
    <d v="2023-07-30T00:00:00"/>
    <d v="2023-11-18T00:00:00"/>
    <n v="3507077254"/>
    <x v="5"/>
    <n v="111"/>
    <n v="31595290.576576576"/>
    <x v="0"/>
    <n v="31595290.576576576"/>
  </r>
  <r>
    <s v="CN-0281-2023"/>
    <s v="Gedung"/>
    <s v="Depok"/>
    <s v="Perbaikan Gedung Pemerintah Depok"/>
    <d v="2023-07-31T00:00:00"/>
    <d v="2024-06-03T00:00:00"/>
    <n v="7830031020"/>
    <x v="3"/>
    <n v="308"/>
    <n v="25422178.636363637"/>
    <x v="0"/>
    <n v="25422178.636363637"/>
  </r>
  <r>
    <s v="CN-0282-2023"/>
    <s v="Flyover"/>
    <s v="Makassar"/>
    <s v="Pembuatan Flyover Makassar"/>
    <d v="2023-07-31T00:00:00"/>
    <d v="2023-11-30T00:00:00"/>
    <n v="3767875960"/>
    <x v="2"/>
    <n v="122"/>
    <n v="30884229.18032787"/>
    <x v="0"/>
    <n v="30884229.18032787"/>
  </r>
  <r>
    <s v="CN-0283-2023"/>
    <s v="Gedung"/>
    <s v="Bandung"/>
    <s v="Perbaikan Gedung Pemerintah Bandung"/>
    <d v="2023-08-02T00:00:00"/>
    <d v="2024-06-13T00:00:00"/>
    <n v="8403683934"/>
    <x v="4"/>
    <n v="316"/>
    <n v="26593936.5"/>
    <x v="0"/>
    <n v="26593936.5"/>
  </r>
  <r>
    <s v="CN-0284-2023"/>
    <s v="Flyover"/>
    <s v="Bandung"/>
    <s v="Perbaikan Flyover Bandung"/>
    <d v="2023-08-02T00:00:00"/>
    <d v="2024-06-30T00:00:00"/>
    <n v="4381657926"/>
    <x v="3"/>
    <n v="333"/>
    <n v="13158131.90990991"/>
    <x v="0"/>
    <n v="13158131.90990991"/>
  </r>
  <r>
    <s v="CN-0285-2023"/>
    <s v="Jembatan"/>
    <s v="Medan"/>
    <s v="Pembuatan Jembatan Medan"/>
    <d v="2023-08-02T00:00:00"/>
    <d v="2024-07-14T00:00:00"/>
    <n v="1717899076"/>
    <x v="1"/>
    <n v="347"/>
    <n v="4950717.7982708933"/>
    <x v="0"/>
    <n v="4950717.7982708933"/>
  </r>
  <r>
    <s v="CN-0286-2023"/>
    <s v="Jalan Raya"/>
    <s v="Surabaya"/>
    <s v="Perbaikan Jalan Raya Surabaya"/>
    <d v="2023-08-05T00:00:00"/>
    <d v="2023-10-02T00:00:00"/>
    <n v="231308784"/>
    <x v="7"/>
    <n v="58"/>
    <n v="3988082.4827586208"/>
    <x v="0"/>
    <n v="3988082.4827586208"/>
  </r>
  <r>
    <s v="CN-0287-2023"/>
    <s v="Gedung"/>
    <s v="Depok"/>
    <s v="Perbaikan Gedung Pemerintah Depok"/>
    <d v="2023-08-05T00:00:00"/>
    <d v="2023-11-24T00:00:00"/>
    <n v="1694502492"/>
    <x v="0"/>
    <n v="111"/>
    <n v="15265788.216216216"/>
    <x v="0"/>
    <n v="15265788.216216216"/>
  </r>
  <r>
    <s v="CN-0288-2023"/>
    <s v="Gedung"/>
    <s v="Depok"/>
    <s v="Perbaikan Gedung Pemerintah Depok"/>
    <d v="2023-08-06T00:00:00"/>
    <d v="2023-10-16T00:00:00"/>
    <n v="6044403214"/>
    <x v="7"/>
    <n v="71"/>
    <n v="85132439.633802816"/>
    <x v="0"/>
    <n v="85132439.633802816"/>
  </r>
  <r>
    <s v="CN-0289-2023"/>
    <s v="Flyover"/>
    <s v="Jakarta"/>
    <s v="Pembuatan Flyover Jakarta"/>
    <d v="2023-08-06T00:00:00"/>
    <d v="2023-09-18T00:00:00"/>
    <n v="4486128429"/>
    <x v="2"/>
    <n v="43"/>
    <n v="104328568.11627907"/>
    <x v="0"/>
    <n v="104328568.11627907"/>
  </r>
  <r>
    <s v="CN-0290-2023"/>
    <s v="Jalan Raya"/>
    <s v="Medan"/>
    <s v="Perbaikan Jalan Raya Medan"/>
    <d v="2023-08-07T00:00:00"/>
    <d v="2024-04-15T00:00:00"/>
    <n v="873718114"/>
    <x v="1"/>
    <n v="252"/>
    <n v="3467135.3730158731"/>
    <x v="0"/>
    <n v="3467135.3730158731"/>
  </r>
  <r>
    <s v="CN-0291-2023"/>
    <s v="Drainase"/>
    <s v="Jakarta"/>
    <s v="Perbaikan Drainase Jakarta"/>
    <d v="2023-08-09T00:00:00"/>
    <d v="2024-02-21T00:00:00"/>
    <n v="230467768"/>
    <x v="6"/>
    <n v="196"/>
    <n v="1175855.9591836734"/>
    <x v="0"/>
    <n v="1175855.9591836734"/>
  </r>
  <r>
    <s v="CN-0292-2023"/>
    <s v="Jalan Raya"/>
    <s v="Bandung"/>
    <s v="Perbaikan Jalan Raya Bandung"/>
    <d v="2023-08-10T00:00:00"/>
    <d v="2023-11-29T00:00:00"/>
    <n v="688191398"/>
    <x v="1"/>
    <n v="111"/>
    <n v="6199922.5045045046"/>
    <x v="0"/>
    <n v="6199922.5045045046"/>
  </r>
  <r>
    <s v="CN-0293-2023"/>
    <s v="Gedung"/>
    <s v="Bandung"/>
    <s v="Perbaikan Gedung Pemerintah Bandung"/>
    <d v="2023-08-11T00:00:00"/>
    <d v="2023-12-25T00:00:00"/>
    <n v="2697606072"/>
    <x v="1"/>
    <n v="136"/>
    <n v="19835338.764705881"/>
    <x v="0"/>
    <n v="19835338.764705881"/>
  </r>
  <r>
    <s v="CN-0294-2023"/>
    <s v="Jalan Raya"/>
    <s v="Jakarta"/>
    <s v="Perbaikan Jalan Raya Jakarta"/>
    <d v="2023-08-13T00:00:00"/>
    <d v="2024-01-20T00:00:00"/>
    <n v="990744889"/>
    <x v="0"/>
    <n v="160"/>
    <n v="6192155.5562500004"/>
    <x v="0"/>
    <n v="6192155.5562500004"/>
  </r>
  <r>
    <s v="CN-0295-2023"/>
    <s v="Jembatan"/>
    <s v="Bandung"/>
    <s v="Pembuatan Jembatan Bandung"/>
    <d v="2023-08-15T00:00:00"/>
    <d v="2024-02-20T00:00:00"/>
    <n v="3212613392"/>
    <x v="5"/>
    <n v="189"/>
    <n v="16997954.455026455"/>
    <x v="0"/>
    <n v="16997954.455026455"/>
  </r>
  <r>
    <s v="CN-0296-2023"/>
    <s v="Jembatan"/>
    <s v="Makassar"/>
    <s v="Pembuatan Jembatan Makassar"/>
    <d v="2023-08-16T00:00:00"/>
    <d v="2024-01-20T00:00:00"/>
    <n v="843044899"/>
    <x v="0"/>
    <n v="157"/>
    <n v="5369712.7324840762"/>
    <x v="0"/>
    <n v="5369712.7324840762"/>
  </r>
  <r>
    <s v="CN-0297-2023"/>
    <s v="Drainase"/>
    <s v="Tomohon"/>
    <s v="Perbaikan Drainase Tomohon"/>
    <d v="2023-08-16T00:00:00"/>
    <d v="2024-02-19T00:00:00"/>
    <n v="442886883"/>
    <x v="2"/>
    <n v="187"/>
    <n v="2368379.0534759359"/>
    <x v="0"/>
    <n v="2368379.0534759359"/>
  </r>
  <r>
    <s v="CN-0298-2023"/>
    <s v="Gedung"/>
    <s v="Depok"/>
    <s v="Perbaikan Gedung Pemerintah Depok"/>
    <d v="2023-08-17T00:00:00"/>
    <d v="2024-03-31T00:00:00"/>
    <n v="8993425036"/>
    <x v="4"/>
    <n v="227"/>
    <n v="39618612.493392073"/>
    <x v="0"/>
    <n v="39618612.493392073"/>
  </r>
  <r>
    <s v="CN-0299-2023"/>
    <s v="Gedung"/>
    <s v="Bandung"/>
    <s v="Perbaikan Gedung Pemerintah Bandung"/>
    <d v="2023-08-19T00:00:00"/>
    <d v="2023-10-23T00:00:00"/>
    <n v="4764842863"/>
    <x v="5"/>
    <n v="65"/>
    <n v="73305274.815384611"/>
    <x v="0"/>
    <n v="73305274.815384611"/>
  </r>
  <r>
    <s v="CN-0300-2023"/>
    <s v="Jalan Raya"/>
    <s v="Medan"/>
    <s v="Perbaikan Jalan Raya Medan"/>
    <d v="2023-08-19T00:00:00"/>
    <d v="2024-01-14T00:00:00"/>
    <n v="616245876"/>
    <x v="2"/>
    <n v="148"/>
    <n v="4163823.4864864866"/>
    <x v="0"/>
    <n v="4163823.4864864866"/>
  </r>
  <r>
    <s v="CN-0301-2023"/>
    <s v="Flyover"/>
    <s v="Makassar"/>
    <s v="Pembuatan Flyover Makassar"/>
    <d v="2023-08-20T00:00:00"/>
    <d v="2023-12-24T00:00:00"/>
    <n v="2466228274"/>
    <x v="3"/>
    <n v="126"/>
    <n v="19573240.269841269"/>
    <x v="0"/>
    <n v="19573240.269841269"/>
  </r>
  <r>
    <s v="CN-0302-2023"/>
    <s v="Flyover"/>
    <s v="Bau-Bau"/>
    <s v="Pembuatan Flyover Bau-Bau"/>
    <d v="2023-08-21T00:00:00"/>
    <d v="2024-03-27T00:00:00"/>
    <n v="3270114898"/>
    <x v="4"/>
    <n v="219"/>
    <n v="14932031.497716894"/>
    <x v="0"/>
    <n v="14932031.497716894"/>
  </r>
  <r>
    <s v="CN-0303-2023"/>
    <s v="Flyover"/>
    <s v="Depok"/>
    <s v="Perbaikan Flyover Depok"/>
    <d v="2023-08-21T00:00:00"/>
    <d v="2023-12-12T00:00:00"/>
    <n v="2841617618"/>
    <x v="4"/>
    <n v="113"/>
    <n v="25147058.566371683"/>
    <x v="0"/>
    <n v="25147058.566371683"/>
  </r>
  <r>
    <s v="CN-0304-2023"/>
    <s v="Flyover"/>
    <s v="Depok"/>
    <s v="Perbaikan Flyover Depok"/>
    <d v="2023-08-22T00:00:00"/>
    <d v="2024-05-03T00:00:00"/>
    <n v="2178901994"/>
    <x v="2"/>
    <n v="255"/>
    <n v="8544713.7019607835"/>
    <x v="0"/>
    <n v="8544713.7019607835"/>
  </r>
  <r>
    <s v="CN-0305-2023"/>
    <s v="Gedung"/>
    <s v="Bau-Bau"/>
    <s v="Perbaikan Gedung Pemerintah Bau-Bau"/>
    <d v="2023-08-22T00:00:00"/>
    <d v="2024-07-23T00:00:00"/>
    <n v="4033563886"/>
    <x v="2"/>
    <n v="336"/>
    <n v="12004654.422619049"/>
    <x v="0"/>
    <n v="12004654.422619049"/>
  </r>
  <r>
    <s v="CN-0306-2023"/>
    <s v="Jembatan"/>
    <s v="Depok"/>
    <s v="Perbaikan Jembatan Depok"/>
    <d v="2023-08-22T00:00:00"/>
    <d v="2023-09-28T00:00:00"/>
    <n v="965725164"/>
    <x v="2"/>
    <n v="37"/>
    <n v="26100680.108108107"/>
    <x v="0"/>
    <n v="26100680.108108107"/>
  </r>
  <r>
    <s v="CN-0307-2023"/>
    <s v="Jalan Raya"/>
    <s v="Depok"/>
    <s v="Perbaikan Jalan Raya Depok"/>
    <d v="2023-08-23T00:00:00"/>
    <d v="2023-09-30T00:00:00"/>
    <n v="647397365"/>
    <x v="4"/>
    <n v="38"/>
    <n v="17036772.763157893"/>
    <x v="0"/>
    <n v="17036772.763157893"/>
  </r>
  <r>
    <s v="CN-0308-2023"/>
    <s v="Jembatan"/>
    <s v="Depok"/>
    <s v="Perbaikan Jembatan Depok"/>
    <d v="2023-08-23T00:00:00"/>
    <d v="2024-06-23T00:00:00"/>
    <n v="775460621"/>
    <x v="0"/>
    <n v="305"/>
    <n v="2542493.8393442621"/>
    <x v="0"/>
    <n v="2542493.8393442621"/>
  </r>
  <r>
    <s v="CN-0309-2023"/>
    <s v="Gedung"/>
    <s v="Jakarta"/>
    <s v="Perbaikan Gedung Pemerintah Jakarta"/>
    <d v="2023-08-24T00:00:00"/>
    <d v="2024-08-12T00:00:00"/>
    <n v="7165201683"/>
    <x v="1"/>
    <n v="354"/>
    <n v="20240682.720338982"/>
    <x v="0"/>
    <n v="20240682.720338982"/>
  </r>
  <r>
    <s v="CN-0310-2023"/>
    <s v="Drainase"/>
    <s v="Surabaya"/>
    <s v="Perbaikan Drainase Surabaya"/>
    <d v="2023-08-24T00:00:00"/>
    <d v="2023-11-24T00:00:00"/>
    <n v="557418865"/>
    <x v="2"/>
    <n v="92"/>
    <n v="6058900.7065217393"/>
    <x v="0"/>
    <n v="6058900.7065217393"/>
  </r>
  <r>
    <s v="CN-0311-2023"/>
    <s v="Gedung"/>
    <s v="Surabaya"/>
    <s v="Perbaikan Gedung Pemerintah Surabaya"/>
    <d v="2023-08-25T00:00:00"/>
    <d v="2023-10-20T00:00:00"/>
    <n v="4732793482"/>
    <x v="6"/>
    <n v="56"/>
    <n v="84514169.321428567"/>
    <x v="0"/>
    <n v="84514169.321428567"/>
  </r>
  <r>
    <s v="CN-0312-2023"/>
    <s v="Jembatan"/>
    <s v="Jakarta"/>
    <s v="Pembuatan Jembatan Jakarta"/>
    <d v="2023-08-25T00:00:00"/>
    <d v="2023-11-28T00:00:00"/>
    <n v="2993133974"/>
    <x v="6"/>
    <n v="95"/>
    <n v="31506673.410526317"/>
    <x v="0"/>
    <n v="31506673.410526317"/>
  </r>
  <r>
    <s v="CN-0313-2023"/>
    <s v="Flyover"/>
    <s v="Tomohon"/>
    <s v="Pembuatan Flyover Tomohon"/>
    <d v="2023-08-26T00:00:00"/>
    <d v="2024-06-13T00:00:00"/>
    <n v="4720470438"/>
    <x v="7"/>
    <n v="292"/>
    <n v="16165994.650684932"/>
    <x v="0"/>
    <n v="16165994.650684932"/>
  </r>
  <r>
    <s v="CN-0314-2023"/>
    <s v="Jembatan"/>
    <s v="Bau-Bau"/>
    <s v="Perbaikan Jembatan Bau-Bau"/>
    <d v="2023-08-29T00:00:00"/>
    <d v="2024-06-10T00:00:00"/>
    <n v="3999421618"/>
    <x v="6"/>
    <n v="286"/>
    <n v="13983991.671328671"/>
    <x v="0"/>
    <n v="13983991.671328671"/>
  </r>
  <r>
    <s v="CN-0315-2023"/>
    <s v="Jembatan"/>
    <s v="Makassar"/>
    <s v="Perbaikan Jembatan Makassar"/>
    <d v="2023-08-30T00:00:00"/>
    <d v="2024-08-07T00:00:00"/>
    <n v="1118159098"/>
    <x v="5"/>
    <n v="343"/>
    <n v="3259939.0612244899"/>
    <x v="0"/>
    <n v="3259939.0612244899"/>
  </r>
  <r>
    <s v="CN-0316-2023"/>
    <s v="Gedung"/>
    <s v="Tomohon"/>
    <s v="Perbaikan Gedung Pemerintah Tomohon"/>
    <d v="2023-08-30T00:00:00"/>
    <d v="2024-08-26T00:00:00"/>
    <n v="9891638971"/>
    <x v="2"/>
    <n v="362"/>
    <n v="27324969.533149172"/>
    <x v="0"/>
    <n v="27324969.533149172"/>
  </r>
  <r>
    <s v="CN-0317-2023"/>
    <s v="Drainase"/>
    <s v="Jakarta"/>
    <s v="Perbaikan Drainase Jakarta"/>
    <d v="2023-08-30T00:00:00"/>
    <d v="2023-11-06T00:00:00"/>
    <n v="246997207"/>
    <x v="4"/>
    <n v="68"/>
    <n v="3632311.8676470588"/>
    <x v="0"/>
    <n v="3632311.8676470588"/>
  </r>
  <r>
    <s v="CN-0318-2023"/>
    <s v="Flyover"/>
    <s v="Bandung"/>
    <s v="Perbaikan Flyover Bandung"/>
    <d v="2023-08-31T00:00:00"/>
    <d v="2023-10-01T00:00:00"/>
    <n v="4163473786"/>
    <x v="7"/>
    <n v="31"/>
    <n v="134305606"/>
    <x v="0"/>
    <n v="134305606"/>
  </r>
  <r>
    <s v="CN-0319-2023"/>
    <s v="Gedung"/>
    <s v="Makassar"/>
    <s v="Perbaikan Gedung Pemerintah Makassar"/>
    <d v="2023-08-31T00:00:00"/>
    <d v="2023-12-07T00:00:00"/>
    <n v="2007900262"/>
    <x v="3"/>
    <n v="98"/>
    <n v="20488778.183673471"/>
    <x v="0"/>
    <n v="20488778.183673471"/>
  </r>
  <r>
    <s v="CN-0320-2023"/>
    <s v="Gedung"/>
    <s v="Bau-Bau"/>
    <s v="Perbaikan Gedung Pemerintah Bau-Bau"/>
    <d v="2023-09-01T00:00:00"/>
    <d v="2024-06-11T00:00:00"/>
    <n v="9921498760"/>
    <x v="4"/>
    <n v="284"/>
    <n v="34934854.788732395"/>
    <x v="0"/>
    <n v="34934854.788732395"/>
  </r>
  <r>
    <s v="CN-0321-2023"/>
    <s v="Flyover"/>
    <s v="Bandung"/>
    <s v="Perbaikan Flyover Bandung"/>
    <d v="2023-09-02T00:00:00"/>
    <d v="2023-12-28T00:00:00"/>
    <n v="2562733310"/>
    <x v="6"/>
    <n v="117"/>
    <n v="21903703.504273504"/>
    <x v="0"/>
    <n v="21903703.504273504"/>
  </r>
  <r>
    <s v="CN-0322-2023"/>
    <s v="Jalan Raya"/>
    <s v="Surabaya"/>
    <s v="Perbaikan Jalan Raya Surabaya"/>
    <d v="2023-09-03T00:00:00"/>
    <d v="2024-05-23T00:00:00"/>
    <n v="894294565"/>
    <x v="4"/>
    <n v="263"/>
    <n v="3400359.5627376428"/>
    <x v="0"/>
    <n v="3400359.5627376428"/>
  </r>
  <r>
    <s v="CN-0323-2023"/>
    <s v="Jembatan"/>
    <s v="Makassar"/>
    <s v="Perbaikan Jembatan Makassar"/>
    <d v="2023-09-04T00:00:00"/>
    <d v="2024-02-18T00:00:00"/>
    <n v="661378979"/>
    <x v="3"/>
    <n v="167"/>
    <n v="3960353.1676646709"/>
    <x v="0"/>
    <n v="3960353.1676646709"/>
  </r>
  <r>
    <s v="CN-0324-2023"/>
    <s v="Flyover"/>
    <s v="Bandung"/>
    <s v="Perbaikan Flyover Bandung"/>
    <d v="2023-09-06T00:00:00"/>
    <d v="2024-01-25T00:00:00"/>
    <n v="2081376801"/>
    <x v="2"/>
    <n v="141"/>
    <n v="14761537.595744681"/>
    <x v="0"/>
    <n v="14761537.595744681"/>
  </r>
  <r>
    <s v="CN-0325-2023"/>
    <s v="Drainase"/>
    <s v="Bau-Bau"/>
    <s v="Perbaikan Drainase Bau-Bau"/>
    <d v="2023-09-08T00:00:00"/>
    <d v="2024-07-04T00:00:00"/>
    <n v="609956841"/>
    <x v="6"/>
    <n v="300"/>
    <n v="2033189.47"/>
    <x v="0"/>
    <n v="2033189.47"/>
  </r>
  <r>
    <s v="CN-0326-2023"/>
    <s v="Gedung"/>
    <s v="Surabaya"/>
    <s v="Perbaikan Gedung Pemerintah Surabaya"/>
    <d v="2023-09-09T00:00:00"/>
    <d v="2024-06-06T00:00:00"/>
    <n v="4372183615"/>
    <x v="4"/>
    <n v="271"/>
    <n v="16133518.874538746"/>
    <x v="0"/>
    <n v="16133518.874538746"/>
  </r>
  <r>
    <s v="CN-0327-2023"/>
    <s v="Gedung"/>
    <s v="Tomohon"/>
    <s v="Perbaikan Gedung Pemerintah Tomohon"/>
    <d v="2023-09-09T00:00:00"/>
    <d v="2024-09-05T00:00:00"/>
    <n v="7734024053"/>
    <x v="3"/>
    <n v="362"/>
    <n v="21364707.328729283"/>
    <x v="0"/>
    <n v="21364707.328729283"/>
  </r>
  <r>
    <s v="CN-0328-2023"/>
    <s v="Flyover"/>
    <s v="Tomohon"/>
    <s v="Pembuatan Flyover Tomohon"/>
    <d v="2023-09-09T00:00:00"/>
    <d v="2024-06-14T00:00:00"/>
    <n v="2237295280"/>
    <x v="0"/>
    <n v="279"/>
    <n v="8018979.4982078848"/>
    <x v="0"/>
    <n v="8018979.4982078848"/>
  </r>
  <r>
    <s v="CN-0329-2023"/>
    <s v="Jembatan"/>
    <s v="Bandung"/>
    <s v="Pembuatan Jembatan Bandung"/>
    <d v="2023-09-09T00:00:00"/>
    <d v="2023-12-19T00:00:00"/>
    <n v="4595910673"/>
    <x v="7"/>
    <n v="101"/>
    <n v="45504066.069306932"/>
    <x v="0"/>
    <n v="45504066.069306932"/>
  </r>
  <r>
    <s v="CN-0330-2023"/>
    <s v="Jembatan"/>
    <s v="Makassar"/>
    <s v="Perbaikan Jembatan Makassar"/>
    <d v="2023-09-10T00:00:00"/>
    <d v="2024-04-18T00:00:00"/>
    <n v="5159672072"/>
    <x v="1"/>
    <n v="221"/>
    <n v="23346932.452488687"/>
    <x v="0"/>
    <n v="23346932.452488687"/>
  </r>
  <r>
    <s v="CN-0331-2023"/>
    <s v="Gedung"/>
    <s v="Bau-Bau"/>
    <s v="Perbaikan Gedung Pemerintah Bau-Bau"/>
    <d v="2023-09-11T00:00:00"/>
    <d v="2023-12-10T00:00:00"/>
    <n v="6721798052"/>
    <x v="2"/>
    <n v="90"/>
    <n v="74686645.022222221"/>
    <x v="0"/>
    <n v="74686645.022222221"/>
  </r>
  <r>
    <s v="CN-0332-2023"/>
    <s v="Jembatan"/>
    <s v="Bau-Bau"/>
    <s v="Pembuatan Jembatan Bau-Bau"/>
    <d v="2023-09-12T00:00:00"/>
    <d v="2024-06-12T00:00:00"/>
    <n v="4769425566"/>
    <x v="1"/>
    <n v="274"/>
    <n v="17406662.649635036"/>
    <x v="0"/>
    <n v="17406662.649635036"/>
  </r>
  <r>
    <s v="CN-0333-2023"/>
    <s v="Jembatan"/>
    <s v="Depok"/>
    <s v="Pembuatan Jembatan Depok"/>
    <d v="2023-09-14T00:00:00"/>
    <d v="2023-11-25T00:00:00"/>
    <n v="1336819118"/>
    <x v="1"/>
    <n v="72"/>
    <n v="18566932.194444444"/>
    <x v="0"/>
    <n v="18566932.194444444"/>
  </r>
  <r>
    <s v="CN-0334-2023"/>
    <s v="Drainase"/>
    <s v="Depok"/>
    <s v="Perbaikan Drainase Depok"/>
    <d v="2023-09-15T00:00:00"/>
    <d v="2024-08-30T00:00:00"/>
    <n v="471750376"/>
    <x v="7"/>
    <n v="350"/>
    <n v="1347858.2171428571"/>
    <x v="0"/>
    <n v="1347858.2171428571"/>
  </r>
  <r>
    <s v="CN-0335-2023"/>
    <s v="Jalan Raya"/>
    <s v="Bau-Bau"/>
    <s v="Perbaikan Jalan Raya Bau-Bau"/>
    <d v="2023-09-15T00:00:00"/>
    <d v="2023-11-09T00:00:00"/>
    <n v="628901605"/>
    <x v="7"/>
    <n v="55"/>
    <n v="11434574.636363637"/>
    <x v="0"/>
    <n v="11434574.636363637"/>
  </r>
  <r>
    <s v="CN-0336-2023"/>
    <s v="Jembatan"/>
    <s v="Medan"/>
    <s v="Perbaikan Jembatan Medan"/>
    <d v="2023-09-16T00:00:00"/>
    <d v="2023-12-13T00:00:00"/>
    <n v="1251866235"/>
    <x v="5"/>
    <n v="88"/>
    <n v="14225752.670454545"/>
    <x v="0"/>
    <n v="14225752.670454545"/>
  </r>
  <r>
    <s v="CN-0337-2023"/>
    <s v="Jalan Raya"/>
    <s v="Jakarta"/>
    <s v="Perbaikan Jalan Raya Jakarta"/>
    <d v="2023-09-16T00:00:00"/>
    <d v="2024-04-22T00:00:00"/>
    <n v="321020182"/>
    <x v="4"/>
    <n v="219"/>
    <n v="1465845.5799086757"/>
    <x v="0"/>
    <n v="1465845.5799086757"/>
  </r>
  <r>
    <s v="CN-0338-2023"/>
    <s v="Jembatan"/>
    <s v="Tomohon"/>
    <s v="Perbaikan Jembatan Tomohon"/>
    <d v="2023-09-17T00:00:00"/>
    <d v="2024-07-04T00:00:00"/>
    <n v="4533278952"/>
    <x v="3"/>
    <n v="291"/>
    <n v="15578278.18556701"/>
    <x v="0"/>
    <n v="15578278.18556701"/>
  </r>
  <r>
    <s v="CN-0339-2023"/>
    <s v="Gedung"/>
    <s v="Jakarta"/>
    <s v="Perbaikan Gedung Pemerintah Jakarta"/>
    <d v="2023-09-18T00:00:00"/>
    <d v="2024-07-20T00:00:00"/>
    <n v="4814287975"/>
    <x v="3"/>
    <n v="306"/>
    <n v="15732967.238562092"/>
    <x v="0"/>
    <n v="15732967.238562092"/>
  </r>
  <r>
    <s v="CN-0340-2023"/>
    <s v="Jembatan"/>
    <s v="Depok"/>
    <s v="Perbaikan Jembatan Depok"/>
    <d v="2023-09-19T00:00:00"/>
    <d v="2024-02-06T00:00:00"/>
    <n v="5011848562"/>
    <x v="6"/>
    <n v="140"/>
    <n v="35798918.299999997"/>
    <x v="0"/>
    <n v="35798918.299999997"/>
  </r>
  <r>
    <s v="CN-0341-2023"/>
    <s v="Flyover"/>
    <s v="Bandung"/>
    <s v="Pembuatan Flyover Bandung"/>
    <d v="2023-09-19T00:00:00"/>
    <d v="2024-03-13T00:00:00"/>
    <n v="2187444281"/>
    <x v="1"/>
    <n v="176"/>
    <n v="12428660.6875"/>
    <x v="0"/>
    <n v="12428660.6875"/>
  </r>
  <r>
    <s v="CN-0342-2023"/>
    <s v="Jembatan"/>
    <s v="Jakarta"/>
    <s v="Perbaikan Jembatan Jakarta"/>
    <d v="2023-09-19T00:00:00"/>
    <d v="2023-11-15T00:00:00"/>
    <n v="3086567364"/>
    <x v="4"/>
    <n v="57"/>
    <n v="54150304.631578945"/>
    <x v="0"/>
    <n v="54150304.631578945"/>
  </r>
  <r>
    <s v="CN-0343-2023"/>
    <s v="Jembatan"/>
    <s v="Bau-Bau"/>
    <s v="Perbaikan Jembatan Bau-Bau"/>
    <d v="2023-09-22T00:00:00"/>
    <d v="2024-03-24T00:00:00"/>
    <n v="3308514312"/>
    <x v="5"/>
    <n v="184"/>
    <n v="17981056.043478262"/>
    <x v="0"/>
    <n v="17981056.043478262"/>
  </r>
  <r>
    <s v="CN-0344-2023"/>
    <s v="Jalan Raya"/>
    <s v="Medan"/>
    <s v="Perbaikan Jalan Raya Medan"/>
    <d v="2023-09-23T00:00:00"/>
    <d v="2024-08-28T00:00:00"/>
    <n v="283571018"/>
    <x v="3"/>
    <n v="340"/>
    <n v="834032.40588235296"/>
    <x v="0"/>
    <n v="834032.40588235296"/>
  </r>
  <r>
    <s v="CN-0345-2023"/>
    <s v="Gedung"/>
    <s v="Medan"/>
    <s v="Perbaikan Gedung Pemerintah Medan"/>
    <d v="2023-09-23T00:00:00"/>
    <d v="2024-03-10T00:00:00"/>
    <n v="7071217769"/>
    <x v="7"/>
    <n v="169"/>
    <n v="41841525.260355033"/>
    <x v="0"/>
    <n v="41841525.260355033"/>
  </r>
  <r>
    <s v="CN-0346-2023"/>
    <s v="Jembatan"/>
    <s v="Medan"/>
    <s v="Pembuatan Jembatan Medan"/>
    <d v="2023-09-24T00:00:00"/>
    <d v="2023-12-07T00:00:00"/>
    <n v="5103380941"/>
    <x v="7"/>
    <n v="74"/>
    <n v="68964607.310810804"/>
    <x v="0"/>
    <n v="68964607.310810804"/>
  </r>
  <r>
    <s v="CN-0347-2023"/>
    <s v="Gedung"/>
    <s v="Jakarta"/>
    <s v="Perbaikan Gedung Pemerintah Jakarta"/>
    <d v="2023-09-25T00:00:00"/>
    <d v="2024-04-12T00:00:00"/>
    <n v="4342819473"/>
    <x v="4"/>
    <n v="200"/>
    <n v="21714097.364999998"/>
    <x v="0"/>
    <n v="21714097.364999998"/>
  </r>
  <r>
    <s v="CN-0348-2023"/>
    <s v="Jembatan"/>
    <s v="Jakarta"/>
    <s v="Perbaikan Jembatan Jakarta"/>
    <d v="2023-09-25T00:00:00"/>
    <d v="2023-11-01T00:00:00"/>
    <n v="6977377591"/>
    <x v="6"/>
    <n v="37"/>
    <n v="188577772.72972974"/>
    <x v="0"/>
    <n v="188577772.72972974"/>
  </r>
  <r>
    <s v="CN-0349-2023"/>
    <s v="Jembatan"/>
    <s v="Tomohon"/>
    <s v="Perbaikan Jembatan Tomohon"/>
    <d v="2023-09-26T00:00:00"/>
    <d v="2024-06-17T00:00:00"/>
    <n v="5457855102"/>
    <x v="5"/>
    <n v="265"/>
    <n v="20595679.630188677"/>
    <x v="0"/>
    <n v="20595679.630188677"/>
  </r>
  <r>
    <s v="CN-0350-2023"/>
    <s v="Gedung"/>
    <s v="Bau-Bau"/>
    <s v="Perbaikan Gedung Pemerintah Bau-Bau"/>
    <d v="2023-09-26T00:00:00"/>
    <d v="2024-08-29T00:00:00"/>
    <n v="2054160295"/>
    <x v="1"/>
    <n v="338"/>
    <n v="6077397.3224852066"/>
    <x v="0"/>
    <n v="6077397.3224852066"/>
  </r>
  <r>
    <s v="CN-0351-2023"/>
    <s v="Gedung"/>
    <s v="Depok"/>
    <s v="Perbaikan Gedung Pemerintah Depok"/>
    <d v="2023-09-27T00:00:00"/>
    <d v="2024-05-17T00:00:00"/>
    <n v="2343750073"/>
    <x v="1"/>
    <n v="233"/>
    <n v="10059013.188841201"/>
    <x v="0"/>
    <n v="10059013.188841201"/>
  </r>
  <r>
    <s v="CN-0352-2023"/>
    <s v="Gedung"/>
    <s v="Bau-Bau"/>
    <s v="Perbaikan Gedung Pemerintah Bau-Bau"/>
    <d v="2023-09-28T00:00:00"/>
    <d v="2024-05-14T00:00:00"/>
    <n v="1025269810"/>
    <x v="7"/>
    <n v="229"/>
    <n v="4477160.7423580782"/>
    <x v="0"/>
    <n v="4477160.7423580782"/>
  </r>
  <r>
    <s v="CN-0353-2023"/>
    <s v="Drainase"/>
    <s v="Tomohon"/>
    <s v="Perbaikan Drainase Tomohon"/>
    <d v="2023-09-30T00:00:00"/>
    <d v="2023-12-16T00:00:00"/>
    <n v="350434222"/>
    <x v="6"/>
    <n v="77"/>
    <n v="4551093.7922077924"/>
    <x v="0"/>
    <n v="4551093.7922077924"/>
  </r>
  <r>
    <s v="CN-0354-2023"/>
    <s v="Jalan Raya"/>
    <s v="Surabaya"/>
    <s v="Perbaikan Jalan Raya Surabaya"/>
    <d v="2023-10-02T00:00:00"/>
    <d v="2024-05-06T00:00:00"/>
    <n v="497218843"/>
    <x v="6"/>
    <n v="217"/>
    <n v="2291331.0737327188"/>
    <x v="0"/>
    <n v="2291331.0737327188"/>
  </r>
  <r>
    <s v="CN-0355-2023"/>
    <s v="Jalan Raya"/>
    <s v="Medan"/>
    <s v="Perbaikan Jalan Raya Medan"/>
    <d v="2023-10-02T00:00:00"/>
    <d v="2024-07-26T00:00:00"/>
    <n v="872130533"/>
    <x v="0"/>
    <n v="298"/>
    <n v="2926612.5268456377"/>
    <x v="0"/>
    <n v="2926612.5268456377"/>
  </r>
  <r>
    <s v="CN-0356-2023"/>
    <s v="Flyover"/>
    <s v="Depok"/>
    <s v="Pembuatan Flyover Depok"/>
    <d v="2023-10-03T00:00:00"/>
    <d v="2024-07-14T00:00:00"/>
    <n v="4907012780"/>
    <x v="1"/>
    <n v="285"/>
    <n v="17217588.701754387"/>
    <x v="0"/>
    <n v="17217588.701754387"/>
  </r>
  <r>
    <s v="CN-0357-2023"/>
    <s v="Flyover"/>
    <s v="Medan"/>
    <s v="Pembuatan Flyover Medan"/>
    <d v="2023-10-03T00:00:00"/>
    <d v="2024-06-13T00:00:00"/>
    <n v="3253936748"/>
    <x v="4"/>
    <n v="254"/>
    <n v="12810774.598425196"/>
    <x v="0"/>
    <n v="12810774.598425196"/>
  </r>
  <r>
    <s v="CN-0358-2023"/>
    <s v="Gedung"/>
    <s v="Tomohon"/>
    <s v="Perbaikan Gedung Pemerintah Tomohon"/>
    <d v="2023-10-03T00:00:00"/>
    <d v="2024-07-01T00:00:00"/>
    <n v="1125747425"/>
    <x v="2"/>
    <n v="272"/>
    <n v="4138777.2977941176"/>
    <x v="0"/>
    <n v="4138777.2977941176"/>
  </r>
  <r>
    <s v="CN-0359-2023"/>
    <s v="Jembatan"/>
    <s v="Medan"/>
    <s v="Pembuatan Jembatan Medan"/>
    <d v="2023-10-03T00:00:00"/>
    <d v="2024-09-16T00:00:00"/>
    <n v="1635038686"/>
    <x v="6"/>
    <n v="349"/>
    <n v="4684924.6017191978"/>
    <x v="0"/>
    <n v="4684924.6017191978"/>
  </r>
  <r>
    <s v="CN-0360-2023"/>
    <s v="Gedung"/>
    <s v="Medan"/>
    <s v="Perbaikan Gedung Pemerintah Medan"/>
    <d v="2023-10-03T00:00:00"/>
    <d v="2024-08-28T00:00:00"/>
    <n v="9829087531"/>
    <x v="5"/>
    <n v="330"/>
    <n v="29785113.73030303"/>
    <x v="0"/>
    <n v="29785113.73030303"/>
  </r>
  <r>
    <s v="CN-0361-2023"/>
    <s v="Gedung"/>
    <s v="Surabaya"/>
    <s v="Perbaikan Gedung Pemerintah Surabaya"/>
    <d v="2023-10-03T00:00:00"/>
    <d v="2024-04-05T00:00:00"/>
    <n v="1057037862"/>
    <x v="0"/>
    <n v="185"/>
    <n v="5713718.1729729734"/>
    <x v="0"/>
    <n v="5713718.1729729734"/>
  </r>
  <r>
    <s v="CN-0362-2023"/>
    <s v="Jembatan"/>
    <s v="Bandung"/>
    <s v="Pembuatan Jembatan Bandung"/>
    <d v="2023-10-04T00:00:00"/>
    <d v="2024-04-25T00:00:00"/>
    <n v="5469982538"/>
    <x v="1"/>
    <n v="204"/>
    <n v="26813639.892156862"/>
    <x v="0"/>
    <n v="26813639.892156862"/>
  </r>
  <r>
    <s v="CN-0363-2023"/>
    <s v="Jembatan"/>
    <s v="Tomohon"/>
    <s v="Perbaikan Jembatan Tomohon"/>
    <d v="2023-10-05T00:00:00"/>
    <d v="2024-01-17T00:00:00"/>
    <n v="5055515290"/>
    <x v="6"/>
    <n v="104"/>
    <n v="48610723.942307696"/>
    <x v="0"/>
    <n v="48610723.942307696"/>
  </r>
  <r>
    <s v="CN-0364-2023"/>
    <s v="Gedung"/>
    <s v="Surabaya"/>
    <s v="Perbaikan Gedung Pemerintah Surabaya"/>
    <d v="2023-10-06T00:00:00"/>
    <d v="2024-06-20T00:00:00"/>
    <n v="2556364237"/>
    <x v="2"/>
    <n v="258"/>
    <n v="9908388.5155038759"/>
    <x v="0"/>
    <n v="9908388.5155038759"/>
  </r>
  <r>
    <s v="CN-0365-2023"/>
    <s v="Jembatan"/>
    <s v="Bandung"/>
    <s v="Perbaikan Jembatan Bandung"/>
    <d v="2023-10-06T00:00:00"/>
    <d v="2024-04-02T00:00:00"/>
    <n v="6904869726"/>
    <x v="0"/>
    <n v="179"/>
    <n v="38574691.206703909"/>
    <x v="0"/>
    <n v="38574691.206703909"/>
  </r>
  <r>
    <s v="CN-0366-2023"/>
    <s v="Jembatan"/>
    <s v="Jakarta"/>
    <s v="Perbaikan Jembatan Jakarta"/>
    <d v="2023-10-06T00:00:00"/>
    <d v="2024-07-30T00:00:00"/>
    <n v="3882607118"/>
    <x v="2"/>
    <n v="298"/>
    <n v="13028882.946308725"/>
    <x v="0"/>
    <n v="13028882.946308725"/>
  </r>
  <r>
    <s v="CN-0367-2023"/>
    <s v="Jalan Raya"/>
    <s v="Bandung"/>
    <s v="Perbaikan Jalan Raya Bandung"/>
    <d v="2023-10-06T00:00:00"/>
    <d v="2024-08-31T00:00:00"/>
    <n v="888436167"/>
    <x v="0"/>
    <n v="330"/>
    <n v="2692230.8090909091"/>
    <x v="0"/>
    <n v="2692230.8090909091"/>
  </r>
  <r>
    <s v="CN-0368-2023"/>
    <s v="Jembatan"/>
    <s v="Jakarta"/>
    <s v="Pembuatan Jembatan Jakarta"/>
    <d v="2023-10-06T00:00:00"/>
    <d v="2023-12-23T00:00:00"/>
    <n v="1354806627"/>
    <x v="1"/>
    <n v="78"/>
    <n v="17369315.730769232"/>
    <x v="0"/>
    <n v="17369315.730769232"/>
  </r>
  <r>
    <s v="CN-0369-2023"/>
    <s v="Jalan Raya"/>
    <s v="Bau-Bau"/>
    <s v="Perbaikan Jalan Raya Bau-Bau"/>
    <d v="2023-10-07T00:00:00"/>
    <d v="2024-01-02T00:00:00"/>
    <n v="984605716"/>
    <x v="4"/>
    <n v="87"/>
    <n v="11317307.08045977"/>
    <x v="0"/>
    <n v="11317307.08045977"/>
  </r>
  <r>
    <s v="CN-0370-2023"/>
    <s v="Jalan Raya"/>
    <s v="Bandung"/>
    <s v="Perbaikan Jalan Raya Bandung"/>
    <d v="2023-10-08T00:00:00"/>
    <d v="2024-08-03T00:00:00"/>
    <n v="371601786"/>
    <x v="0"/>
    <n v="300"/>
    <n v="1238672.6200000001"/>
    <x v="0"/>
    <n v="1238672.6200000001"/>
  </r>
  <r>
    <s v="CN-0371-2023"/>
    <s v="Jalan Raya"/>
    <s v="Depok"/>
    <s v="Perbaikan Jalan Raya Depok"/>
    <d v="2023-10-08T00:00:00"/>
    <d v="2024-04-14T00:00:00"/>
    <n v="516197294"/>
    <x v="5"/>
    <n v="189"/>
    <n v="2731202.6137566138"/>
    <x v="0"/>
    <n v="2731202.6137566138"/>
  </r>
  <r>
    <s v="CN-0372-2023"/>
    <s v="Jalan Raya"/>
    <s v="Surabaya"/>
    <s v="Perbaikan Jalan Raya Surabaya"/>
    <d v="2023-10-08T00:00:00"/>
    <d v="2024-10-07T00:00:00"/>
    <n v="540697362"/>
    <x v="6"/>
    <n v="365"/>
    <n v="1481362.6356164385"/>
    <x v="0"/>
    <n v="1481362.6356164385"/>
  </r>
  <r>
    <s v="CN-0373-2023"/>
    <s v="Gedung"/>
    <s v="Depok"/>
    <s v="Perbaikan Gedung Pemerintah Depok"/>
    <d v="2023-10-09T00:00:00"/>
    <d v="2024-04-06T00:00:00"/>
    <n v="6374609108"/>
    <x v="5"/>
    <n v="180"/>
    <n v="35414495.044444442"/>
    <x v="0"/>
    <n v="35414495.044444442"/>
  </r>
  <r>
    <s v="CN-0374-2023"/>
    <s v="Jembatan"/>
    <s v="Surabaya"/>
    <s v="Perbaikan Jembatan Surabaya"/>
    <d v="2023-10-09T00:00:00"/>
    <d v="2023-12-11T00:00:00"/>
    <n v="2805083829"/>
    <x v="3"/>
    <n v="63"/>
    <n v="44525140.142857142"/>
    <x v="0"/>
    <n v="44525140.142857142"/>
  </r>
  <r>
    <s v="CN-0375-2023"/>
    <s v="Gedung"/>
    <s v="Tomohon"/>
    <s v="Perbaikan Gedung Pemerintah Tomohon"/>
    <d v="2023-10-11T00:00:00"/>
    <d v="2024-09-22T00:00:00"/>
    <n v="7779607484"/>
    <x v="0"/>
    <n v="347"/>
    <n v="22419618.109510086"/>
    <x v="0"/>
    <n v="22419618.109510086"/>
  </r>
  <r>
    <s v="CN-0376-2023"/>
    <s v="Jembatan"/>
    <s v="Tomohon"/>
    <s v="Perbaikan Jembatan Tomohon"/>
    <d v="2023-10-12T00:00:00"/>
    <d v="2024-01-06T00:00:00"/>
    <n v="1204572808"/>
    <x v="2"/>
    <n v="86"/>
    <n v="14006660.558139535"/>
    <x v="0"/>
    <n v="14006660.558139535"/>
  </r>
  <r>
    <s v="CN-0377-2023"/>
    <s v="Jalan Raya"/>
    <s v="Depok"/>
    <s v="Perbaikan Jalan Raya Depok"/>
    <d v="2023-10-15T00:00:00"/>
    <d v="2024-07-15T00:00:00"/>
    <n v="909945479"/>
    <x v="1"/>
    <n v="274"/>
    <n v="3320968.9014598541"/>
    <x v="0"/>
    <n v="3320968.9014598541"/>
  </r>
  <r>
    <s v="CN-0378-2023"/>
    <s v="Gedung"/>
    <s v="Jakarta"/>
    <s v="Perbaikan Gedung Pemerintah Jakarta"/>
    <d v="2023-10-15T00:00:00"/>
    <d v="2024-04-28T00:00:00"/>
    <n v="5167811974"/>
    <x v="2"/>
    <n v="196"/>
    <n v="26366387.622448981"/>
    <x v="0"/>
    <n v="26366387.622448981"/>
  </r>
  <r>
    <s v="CN-0379-2023"/>
    <s v="Drainase"/>
    <s v="Jakarta"/>
    <s v="Perbaikan Drainase Jakarta"/>
    <d v="2023-10-18T00:00:00"/>
    <d v="2024-06-26T00:00:00"/>
    <n v="320968841"/>
    <x v="5"/>
    <n v="252"/>
    <n v="1273685.8769841271"/>
    <x v="0"/>
    <n v="1273685.8769841271"/>
  </r>
  <r>
    <s v="CN-0380-2023"/>
    <s v="Flyover"/>
    <s v="Jakarta"/>
    <s v="Pembuatan Flyover Jakarta"/>
    <d v="2023-10-18T00:00:00"/>
    <d v="2024-08-20T00:00:00"/>
    <n v="2879285863"/>
    <x v="4"/>
    <n v="307"/>
    <n v="9378781.3127035834"/>
    <x v="0"/>
    <n v="9378781.3127035834"/>
  </r>
  <r>
    <s v="CN-0381-2023"/>
    <s v="Flyover"/>
    <s v="Tomohon"/>
    <s v="Pembuatan Flyover Tomohon"/>
    <d v="2023-10-20T00:00:00"/>
    <d v="2024-10-18T00:00:00"/>
    <n v="4595916165"/>
    <x v="7"/>
    <n v="364"/>
    <n v="12626143.310439561"/>
    <x v="0"/>
    <n v="12626143.310439561"/>
  </r>
  <r>
    <s v="CN-0382-2023"/>
    <s v="Jembatan"/>
    <s v="Surabaya"/>
    <s v="Perbaikan Jembatan Surabaya"/>
    <d v="2023-10-21T00:00:00"/>
    <d v="2024-02-05T00:00:00"/>
    <n v="1299848740"/>
    <x v="6"/>
    <n v="107"/>
    <n v="12148119.065420561"/>
    <x v="0"/>
    <n v="12148119.065420561"/>
  </r>
  <r>
    <s v="CN-0383-2023"/>
    <s v="Gedung"/>
    <s v="Surabaya"/>
    <s v="Perbaikan Gedung Pemerintah Surabaya"/>
    <d v="2023-10-22T00:00:00"/>
    <d v="2024-01-16T00:00:00"/>
    <n v="3206827076"/>
    <x v="4"/>
    <n v="86"/>
    <n v="37288686.930232555"/>
    <x v="0"/>
    <n v="37288686.930232555"/>
  </r>
  <r>
    <s v="CN-0384-2023"/>
    <s v="Drainase"/>
    <s v="Bau-Bau"/>
    <s v="Perbaikan Drainase Bau-Bau"/>
    <d v="2023-10-23T00:00:00"/>
    <d v="2024-02-19T00:00:00"/>
    <n v="559804949"/>
    <x v="3"/>
    <n v="119"/>
    <n v="4704243.2689075628"/>
    <x v="0"/>
    <n v="4704243.2689075628"/>
  </r>
  <r>
    <s v="CN-0385-2023"/>
    <s v="Drainase"/>
    <s v="Makassar"/>
    <s v="Perbaikan Drainase Makassar"/>
    <d v="2023-10-24T00:00:00"/>
    <d v="2024-10-21T00:00:00"/>
    <n v="582067969"/>
    <x v="2"/>
    <n v="363"/>
    <n v="1603493.0275482093"/>
    <x v="0"/>
    <n v="1603493.0275482093"/>
  </r>
  <r>
    <s v="CN-0386-2023"/>
    <s v="Jalan Raya"/>
    <s v="Tomohon"/>
    <s v="Perbaikan Jalan Raya Tomohon"/>
    <d v="2023-10-24T00:00:00"/>
    <d v="2024-07-11T00:00:00"/>
    <n v="685929486"/>
    <x v="5"/>
    <n v="261"/>
    <n v="2628082.3218390807"/>
    <x v="0"/>
    <n v="2628082.3218390807"/>
  </r>
  <r>
    <s v="CN-0387-2023"/>
    <s v="Gedung"/>
    <s v="Jakarta"/>
    <s v="Perbaikan Gedung Pemerintah Jakarta"/>
    <d v="2023-10-26T00:00:00"/>
    <d v="2024-09-16T00:00:00"/>
    <n v="2626084542"/>
    <x v="3"/>
    <n v="326"/>
    <n v="8055474.0552147236"/>
    <x v="0"/>
    <n v="8055474.0552147236"/>
  </r>
  <r>
    <s v="CN-0388-2023"/>
    <s v="Jalan Raya"/>
    <s v="Depok"/>
    <s v="Perbaikan Jalan Raya Depok"/>
    <d v="2023-10-27T00:00:00"/>
    <d v="2024-04-21T00:00:00"/>
    <n v="893411259"/>
    <x v="5"/>
    <n v="177"/>
    <n v="5047521.237288136"/>
    <x v="0"/>
    <n v="5047521.237288136"/>
  </r>
  <r>
    <s v="CN-0389-2023"/>
    <s v="Drainase"/>
    <s v="Medan"/>
    <s v="Perbaikan Drainase Medan"/>
    <d v="2023-10-27T00:00:00"/>
    <d v="2024-06-24T00:00:00"/>
    <n v="264833844"/>
    <x v="5"/>
    <n v="241"/>
    <n v="1098895.6182572613"/>
    <x v="0"/>
    <n v="1098895.6182572613"/>
  </r>
  <r>
    <s v="CN-0390-2023"/>
    <s v="Drainase"/>
    <s v="Jakarta"/>
    <s v="Perbaikan Drainase Jakarta"/>
    <d v="2023-10-27T00:00:00"/>
    <d v="2024-05-14T00:00:00"/>
    <n v="588269229"/>
    <x v="4"/>
    <n v="200"/>
    <n v="2941346.145"/>
    <x v="0"/>
    <n v="2941346.145"/>
  </r>
  <r>
    <s v="CN-0391-2023"/>
    <s v="Drainase"/>
    <s v="Bau-Bau"/>
    <s v="Perbaikan Drainase Bau-Bau"/>
    <d v="2023-10-28T00:00:00"/>
    <d v="2024-07-05T00:00:00"/>
    <n v="691409314"/>
    <x v="7"/>
    <n v="251"/>
    <n v="2754618.780876494"/>
    <x v="0"/>
    <n v="2754618.780876494"/>
  </r>
  <r>
    <s v="CN-0392-2023"/>
    <s v="Jalan Raya"/>
    <s v="Medan"/>
    <s v="Perbaikan Jalan Raya Medan"/>
    <d v="2023-10-29T00:00:00"/>
    <d v="2024-10-18T00:00:00"/>
    <n v="242272002"/>
    <x v="2"/>
    <n v="355"/>
    <n v="682456.34366197186"/>
    <x v="0"/>
    <n v="682456.34366197186"/>
  </r>
  <r>
    <s v="CN-0393-2023"/>
    <s v="Jembatan"/>
    <s v="Surabaya"/>
    <s v="Pembuatan Jembatan Surabaya"/>
    <d v="2023-10-29T00:00:00"/>
    <d v="2024-08-11T00:00:00"/>
    <n v="1906777116"/>
    <x v="1"/>
    <n v="287"/>
    <n v="6643822.703832753"/>
    <x v="0"/>
    <n v="6643822.703832753"/>
  </r>
  <r>
    <s v="CN-0394-2023"/>
    <s v="Drainase"/>
    <s v="Depok"/>
    <s v="Perbaikan Drainase Depok"/>
    <d v="2023-10-30T00:00:00"/>
    <d v="2024-02-12T00:00:00"/>
    <n v="325400177"/>
    <x v="2"/>
    <n v="105"/>
    <n v="3099049.3047619048"/>
    <x v="0"/>
    <n v="3099049.3047619048"/>
  </r>
  <r>
    <s v="CN-0395-2023"/>
    <s v="Jalan Raya"/>
    <s v="Medan"/>
    <s v="Perbaikan Jalan Raya Medan"/>
    <d v="2023-10-31T00:00:00"/>
    <d v="2024-08-25T00:00:00"/>
    <n v="131415829"/>
    <x v="4"/>
    <n v="299"/>
    <n v="439517.82274247491"/>
    <x v="0"/>
    <n v="439517.82274247491"/>
  </r>
  <r>
    <s v="CN-0396-2023"/>
    <s v="Drainase"/>
    <s v="Makassar"/>
    <s v="Perbaikan Drainase Makassar"/>
    <d v="2023-10-31T00:00:00"/>
    <d v="2024-01-19T00:00:00"/>
    <n v="435534089"/>
    <x v="6"/>
    <n v="80"/>
    <n v="5444176.1124999998"/>
    <x v="0"/>
    <n v="5444176.1124999998"/>
  </r>
  <r>
    <s v="CN-0397-2023"/>
    <s v="Gedung"/>
    <s v="Jakarta"/>
    <s v="Perbaikan Gedung Pemerintah Jakarta"/>
    <d v="2023-11-01T00:00:00"/>
    <d v="2023-12-08T00:00:00"/>
    <n v="1107624052"/>
    <x v="1"/>
    <n v="37"/>
    <n v="29935785.189189188"/>
    <x v="0"/>
    <n v="29935785.189189188"/>
  </r>
  <r>
    <s v="CN-0398-2023"/>
    <s v="Jembatan"/>
    <s v="Makassar"/>
    <s v="Perbaikan Jembatan Makassar"/>
    <d v="2023-11-01T00:00:00"/>
    <d v="2024-05-22T00:00:00"/>
    <n v="4913634320"/>
    <x v="2"/>
    <n v="203"/>
    <n v="24205095.172413792"/>
    <x v="0"/>
    <n v="24205095.172413792"/>
  </r>
  <r>
    <s v="CN-0399-2023"/>
    <s v="Gedung"/>
    <s v="Tomohon"/>
    <s v="Perbaikan Gedung Pemerintah Tomohon"/>
    <d v="2023-11-01T00:00:00"/>
    <d v="2024-10-02T00:00:00"/>
    <n v="2100848894"/>
    <x v="0"/>
    <n v="336"/>
    <n v="6252526.4702380951"/>
    <x v="0"/>
    <n v="6252526.4702380951"/>
  </r>
  <r>
    <s v="CN-0400-2023"/>
    <s v="Jalan Raya"/>
    <s v="Bandung"/>
    <s v="Perbaikan Jalan Raya Bandung"/>
    <d v="2023-11-04T00:00:00"/>
    <d v="2024-02-26T00:00:00"/>
    <n v="505388172"/>
    <x v="1"/>
    <n v="114"/>
    <n v="4433229.5789473681"/>
    <x v="0"/>
    <n v="4433229.5789473681"/>
  </r>
  <r>
    <s v="CN-0401-2023"/>
    <s v="Jalan Raya"/>
    <s v="Bau-Bau"/>
    <s v="Perbaikan Jalan Raya Bau-Bau"/>
    <d v="2023-11-04T00:00:00"/>
    <d v="2024-05-14T00:00:00"/>
    <n v="574563455"/>
    <x v="0"/>
    <n v="192"/>
    <n v="2992517.9947916665"/>
    <x v="0"/>
    <n v="2992517.9947916665"/>
  </r>
  <r>
    <s v="CN-0402-2023"/>
    <s v="Jalan Raya"/>
    <s v="Depok"/>
    <s v="Perbaikan Jalan Raya Depok"/>
    <d v="2023-11-04T00:00:00"/>
    <d v="2023-12-04T00:00:00"/>
    <n v="445199395"/>
    <x v="1"/>
    <n v="30"/>
    <n v="14839979.833333334"/>
    <x v="0"/>
    <n v="14839979.833333334"/>
  </r>
  <r>
    <s v="CN-0403-2023"/>
    <s v="Jalan Raya"/>
    <s v="Jakarta"/>
    <s v="Perbaikan Jalan Raya Jakarta"/>
    <d v="2023-11-05T00:00:00"/>
    <d v="2024-01-22T00:00:00"/>
    <n v="849005913"/>
    <x v="1"/>
    <n v="78"/>
    <n v="10884691.192307692"/>
    <x v="0"/>
    <n v="10884691.192307692"/>
  </r>
  <r>
    <s v="CN-0404-2023"/>
    <s v="Jembatan"/>
    <s v="Medan"/>
    <s v="Pembuatan Jembatan Medan"/>
    <d v="2023-11-06T00:00:00"/>
    <d v="2023-12-06T00:00:00"/>
    <n v="3098364960"/>
    <x v="3"/>
    <n v="30"/>
    <n v="103278832"/>
    <x v="0"/>
    <n v="103278832"/>
  </r>
  <r>
    <s v="CN-0405-2023"/>
    <s v="Flyover"/>
    <s v="Medan"/>
    <s v="Perbaikan Flyover Medan"/>
    <d v="2023-11-07T00:00:00"/>
    <d v="2024-05-01T00:00:00"/>
    <n v="1607071599"/>
    <x v="0"/>
    <n v="176"/>
    <n v="9131088.6306818184"/>
    <x v="0"/>
    <n v="9131088.6306818184"/>
  </r>
  <r>
    <s v="CN-0406-2023"/>
    <s v="Jembatan"/>
    <s v="Bandung"/>
    <s v="Pembuatan Jembatan Bandung"/>
    <d v="2023-11-10T00:00:00"/>
    <d v="2024-03-10T00:00:00"/>
    <n v="2771182474"/>
    <x v="4"/>
    <n v="121"/>
    <n v="22902334.49586777"/>
    <x v="0"/>
    <n v="22902334.49586777"/>
  </r>
  <r>
    <s v="CN-0407-2023"/>
    <s v="Jalan Raya"/>
    <s v="Surabaya"/>
    <s v="Perbaikan Jalan Raya Surabaya"/>
    <d v="2023-11-10T00:00:00"/>
    <d v="2024-08-28T00:00:00"/>
    <n v="153884086"/>
    <x v="4"/>
    <n v="292"/>
    <n v="527000.29452054796"/>
    <x v="0"/>
    <n v="527000.29452054796"/>
  </r>
  <r>
    <s v="CN-0408-2023"/>
    <s v="Jalan Raya"/>
    <s v="Depok"/>
    <s v="Perbaikan Jalan Raya Depok"/>
    <d v="2023-11-10T00:00:00"/>
    <d v="2024-05-22T00:00:00"/>
    <n v="545725479"/>
    <x v="2"/>
    <n v="194"/>
    <n v="2813017.9329896909"/>
    <x v="0"/>
    <n v="2813017.9329896909"/>
  </r>
  <r>
    <s v="CN-0409-2023"/>
    <s v="Flyover"/>
    <s v="Jakarta"/>
    <s v="Pembuatan Flyover Jakarta"/>
    <d v="2023-11-10T00:00:00"/>
    <d v="2024-05-28T00:00:00"/>
    <n v="4659030076"/>
    <x v="2"/>
    <n v="200"/>
    <n v="23295150.379999999"/>
    <x v="0"/>
    <n v="23295150.379999999"/>
  </r>
  <r>
    <s v="CN-0410-2023"/>
    <s v="Jembatan"/>
    <s v="Depok"/>
    <s v="Perbaikan Jembatan Depok"/>
    <d v="2023-11-10T00:00:00"/>
    <d v="2024-06-23T00:00:00"/>
    <n v="2661560994"/>
    <x v="2"/>
    <n v="226"/>
    <n v="11776818.557522124"/>
    <x v="0"/>
    <n v="11776818.557522124"/>
  </r>
  <r>
    <s v="CN-0411-2023"/>
    <s v="Gedung"/>
    <s v="Depok"/>
    <s v="Perbaikan Gedung Pemerintah Depok"/>
    <d v="2023-11-10T00:00:00"/>
    <d v="2024-02-24T00:00:00"/>
    <n v="1652872648"/>
    <x v="4"/>
    <n v="106"/>
    <n v="15593138.188679244"/>
    <x v="0"/>
    <n v="15593138.188679244"/>
  </r>
  <r>
    <s v="CN-0412-2023"/>
    <s v="Jembatan"/>
    <s v="Depok"/>
    <s v="Perbaikan Jembatan Depok"/>
    <d v="2023-11-11T00:00:00"/>
    <d v="2024-08-01T00:00:00"/>
    <n v="7444707554"/>
    <x v="3"/>
    <n v="264"/>
    <n v="28199649.825757574"/>
    <x v="0"/>
    <n v="28199649.825757574"/>
  </r>
  <r>
    <s v="CN-0413-2023"/>
    <s v="Drainase"/>
    <s v="Surabaya"/>
    <s v="Perbaikan Drainase Surabaya"/>
    <d v="2023-11-11T00:00:00"/>
    <d v="2024-01-20T00:00:00"/>
    <n v="308009410"/>
    <x v="5"/>
    <n v="70"/>
    <n v="4400134.4285714282"/>
    <x v="0"/>
    <n v="4400134.4285714282"/>
  </r>
  <r>
    <s v="CN-0414-2023"/>
    <s v="Jembatan"/>
    <s v="Surabaya"/>
    <s v="Pembuatan Jembatan Surabaya"/>
    <d v="2023-11-12T00:00:00"/>
    <d v="2024-05-27T00:00:00"/>
    <n v="2851933896"/>
    <x v="4"/>
    <n v="197"/>
    <n v="14476821.807106599"/>
    <x v="0"/>
    <n v="14476821.807106599"/>
  </r>
  <r>
    <s v="CN-0415-2023"/>
    <s v="Jembatan"/>
    <s v="Medan"/>
    <s v="Pembuatan Jembatan Medan"/>
    <d v="2023-11-12T00:00:00"/>
    <d v="2024-06-21T00:00:00"/>
    <n v="5932217911"/>
    <x v="1"/>
    <n v="222"/>
    <n v="26721702.301801801"/>
    <x v="0"/>
    <n v="26721702.301801801"/>
  </r>
  <r>
    <s v="CN-0416-2023"/>
    <s v="Jalan Raya"/>
    <s v="Surabaya"/>
    <s v="Perbaikan Jalan Raya Surabaya"/>
    <d v="2023-11-12T00:00:00"/>
    <d v="2024-02-23T00:00:00"/>
    <n v="394459258"/>
    <x v="3"/>
    <n v="103"/>
    <n v="3829701.5339805824"/>
    <x v="0"/>
    <n v="3829701.5339805824"/>
  </r>
  <r>
    <s v="CN-0417-2023"/>
    <s v="Flyover"/>
    <s v="Jakarta"/>
    <s v="Perbaikan Flyover Jakarta"/>
    <d v="2023-11-12T00:00:00"/>
    <d v="2024-01-14T00:00:00"/>
    <n v="3343026784"/>
    <x v="0"/>
    <n v="63"/>
    <n v="53063917.206349209"/>
    <x v="0"/>
    <n v="53063917.206349209"/>
  </r>
  <r>
    <s v="CN-0418-2023"/>
    <s v="Flyover"/>
    <s v="Bau-Bau"/>
    <s v="Pembuatan Flyover Bau-Bau"/>
    <d v="2023-11-13T00:00:00"/>
    <d v="2024-08-31T00:00:00"/>
    <n v="4651361592"/>
    <x v="7"/>
    <n v="292"/>
    <n v="15929320.520547945"/>
    <x v="0"/>
    <n v="15929320.520547945"/>
  </r>
  <r>
    <s v="CN-0419-2023"/>
    <s v="Drainase"/>
    <s v="Depok"/>
    <s v="Perbaikan Drainase Depok"/>
    <d v="2023-11-15T00:00:00"/>
    <d v="2024-10-20T00:00:00"/>
    <n v="287244799"/>
    <x v="7"/>
    <n v="340"/>
    <n v="844837.64411764708"/>
    <x v="0"/>
    <n v="844837.64411764708"/>
  </r>
  <r>
    <s v="CN-0420-2023"/>
    <s v="Jembatan"/>
    <s v="Bau-Bau"/>
    <s v="Perbaikan Jembatan Bau-Bau"/>
    <d v="2023-11-15T00:00:00"/>
    <d v="2024-08-28T00:00:00"/>
    <n v="1941923313"/>
    <x v="2"/>
    <n v="287"/>
    <n v="6766283.3205574909"/>
    <x v="0"/>
    <n v="6766283.3205574909"/>
  </r>
  <r>
    <s v="CN-0421-2023"/>
    <s v="Jembatan"/>
    <s v="Surabaya"/>
    <s v="Pembuatan Jembatan Surabaya"/>
    <d v="2023-11-15T00:00:00"/>
    <d v="2024-02-11T00:00:00"/>
    <n v="1897092669"/>
    <x v="2"/>
    <n v="88"/>
    <n v="21557871.238636363"/>
    <x v="0"/>
    <n v="21557871.238636363"/>
  </r>
  <r>
    <s v="CN-0422-2023"/>
    <s v="Flyover"/>
    <s v="Jakarta"/>
    <s v="Pembuatan Flyover Jakarta"/>
    <d v="2023-11-15T00:00:00"/>
    <d v="2024-02-26T00:00:00"/>
    <n v="2304818789"/>
    <x v="2"/>
    <n v="103"/>
    <n v="22376881.446601942"/>
    <x v="0"/>
    <n v="22376881.446601942"/>
  </r>
  <r>
    <s v="CN-0423-2023"/>
    <s v="Jalan Raya"/>
    <s v="Surabaya"/>
    <s v="Perbaikan Jalan Raya Surabaya"/>
    <d v="2023-11-16T00:00:00"/>
    <d v="2024-04-07T00:00:00"/>
    <n v="642644763"/>
    <x v="4"/>
    <n v="143"/>
    <n v="4494019.3216783218"/>
    <x v="0"/>
    <n v="4494019.3216783218"/>
  </r>
  <r>
    <s v="CN-0424-2023"/>
    <s v="Jembatan"/>
    <s v="Makassar"/>
    <s v="Perbaikan Jembatan Makassar"/>
    <d v="2023-11-16T00:00:00"/>
    <d v="2024-02-21T00:00:00"/>
    <n v="5716503787"/>
    <x v="6"/>
    <n v="97"/>
    <n v="58933028.731958762"/>
    <x v="0"/>
    <n v="58933028.731958762"/>
  </r>
  <r>
    <s v="CN-0425-2023"/>
    <s v="Drainase"/>
    <s v="Surabaya"/>
    <s v="Perbaikan Drainase Surabaya"/>
    <d v="2023-11-17T00:00:00"/>
    <d v="2024-02-06T00:00:00"/>
    <n v="537845909"/>
    <x v="4"/>
    <n v="81"/>
    <n v="6640072.9506172836"/>
    <x v="0"/>
    <n v="6640072.9506172836"/>
  </r>
  <r>
    <s v="CN-0426-2023"/>
    <s v="Jalan Raya"/>
    <s v="Depok"/>
    <s v="Perbaikan Jalan Raya Depok"/>
    <d v="2023-11-17T00:00:00"/>
    <d v="2024-07-26T00:00:00"/>
    <n v="800732653"/>
    <x v="7"/>
    <n v="252"/>
    <n v="3177510.527777778"/>
    <x v="0"/>
    <n v="3177510.527777778"/>
  </r>
  <r>
    <s v="CN-0427-2023"/>
    <s v="Jembatan"/>
    <s v="Surabaya"/>
    <s v="Pembuatan Jembatan Surabaya"/>
    <d v="2023-11-18T00:00:00"/>
    <d v="2024-11-09T00:00:00"/>
    <n v="676299944"/>
    <x v="4"/>
    <n v="357"/>
    <n v="1894397.6022408963"/>
    <x v="0"/>
    <n v="1894397.6022408963"/>
  </r>
  <r>
    <s v="CN-0428-2023"/>
    <s v="Jembatan"/>
    <s v="Jakarta"/>
    <s v="Pembuatan Jembatan Jakarta"/>
    <d v="2023-11-18T00:00:00"/>
    <d v="2024-07-08T00:00:00"/>
    <n v="5621717823"/>
    <x v="0"/>
    <n v="233"/>
    <n v="24127544.304721031"/>
    <x v="0"/>
    <n v="24127544.304721031"/>
  </r>
  <r>
    <s v="CN-0429-2023"/>
    <s v="Gedung"/>
    <s v="Surabaya"/>
    <s v="Perbaikan Gedung Pemerintah Surabaya"/>
    <d v="2023-11-18T00:00:00"/>
    <d v="2024-04-30T00:00:00"/>
    <n v="1652704535"/>
    <x v="1"/>
    <n v="164"/>
    <n v="10077466.676829269"/>
    <x v="0"/>
    <n v="10077466.676829269"/>
  </r>
  <r>
    <s v="CN-0430-2023"/>
    <s v="Jembatan"/>
    <s v="Tomohon"/>
    <s v="Perbaikan Jembatan Tomohon"/>
    <d v="2023-11-19T00:00:00"/>
    <d v="2024-10-25T00:00:00"/>
    <n v="2696276120"/>
    <x v="5"/>
    <n v="341"/>
    <n v="7906968.0938416421"/>
    <x v="0"/>
    <n v="7906968.0938416421"/>
  </r>
  <r>
    <s v="CN-0431-2023"/>
    <s v="Drainase"/>
    <s v="Surabaya"/>
    <s v="Perbaikan Drainase Surabaya"/>
    <d v="2023-11-19T00:00:00"/>
    <d v="2024-08-08T00:00:00"/>
    <n v="344399927"/>
    <x v="0"/>
    <n v="263"/>
    <n v="1309505.4258555132"/>
    <x v="0"/>
    <n v="1309505.4258555132"/>
  </r>
  <r>
    <s v="CN-0432-2023"/>
    <s v="Drainase"/>
    <s v="Depok"/>
    <s v="Perbaikan Drainase Depok"/>
    <d v="2023-11-19T00:00:00"/>
    <d v="2024-07-05T00:00:00"/>
    <n v="624334418"/>
    <x v="4"/>
    <n v="229"/>
    <n v="2726351.1703056768"/>
    <x v="0"/>
    <n v="2726351.1703056768"/>
  </r>
  <r>
    <s v="CN-0433-2023"/>
    <s v="Jembatan"/>
    <s v="Bandung"/>
    <s v="Perbaikan Jembatan Bandung"/>
    <d v="2023-11-22T00:00:00"/>
    <d v="2024-06-24T00:00:00"/>
    <n v="7036506058"/>
    <x v="4"/>
    <n v="215"/>
    <n v="32727935.153488372"/>
    <x v="0"/>
    <n v="32727935.153488372"/>
  </r>
  <r>
    <s v="CN-0434-2023"/>
    <s v="Gedung"/>
    <s v="Surabaya"/>
    <s v="Perbaikan Gedung Pemerintah Surabaya"/>
    <d v="2023-11-23T00:00:00"/>
    <d v="2024-08-08T00:00:00"/>
    <n v="4458001292"/>
    <x v="2"/>
    <n v="259"/>
    <n v="17212360.2007722"/>
    <x v="0"/>
    <n v="17212360.2007722"/>
  </r>
  <r>
    <s v="CN-0435-2023"/>
    <s v="Jembatan"/>
    <s v="Makassar"/>
    <s v="Perbaikan Jembatan Makassar"/>
    <d v="2023-11-24T00:00:00"/>
    <d v="2024-02-09T00:00:00"/>
    <n v="6553637483"/>
    <x v="2"/>
    <n v="77"/>
    <n v="85112175.103896111"/>
    <x v="0"/>
    <n v="85112175.103896111"/>
  </r>
  <r>
    <s v="CN-0436-2023"/>
    <s v="Jembatan"/>
    <s v="Depok"/>
    <s v="Perbaikan Jembatan Depok"/>
    <d v="2023-11-24T00:00:00"/>
    <d v="2024-09-12T00:00:00"/>
    <n v="5694242987"/>
    <x v="3"/>
    <n v="293"/>
    <n v="19434276.406143345"/>
    <x v="0"/>
    <n v="19434276.406143345"/>
  </r>
  <r>
    <s v="CN-0437-2023"/>
    <s v="Jembatan"/>
    <s v="Makassar"/>
    <s v="Perbaikan Jembatan Makassar"/>
    <d v="2023-11-25T00:00:00"/>
    <d v="2024-06-18T00:00:00"/>
    <n v="2266697296"/>
    <x v="2"/>
    <n v="206"/>
    <n v="11003384.932038834"/>
    <x v="0"/>
    <n v="11003384.932038834"/>
  </r>
  <r>
    <s v="CN-0438-2023"/>
    <s v="Drainase"/>
    <s v="Tomohon"/>
    <s v="Perbaikan Drainase Tomohon"/>
    <d v="2023-11-28T00:00:00"/>
    <d v="2024-07-24T00:00:00"/>
    <n v="449824902"/>
    <x v="4"/>
    <n v="239"/>
    <n v="1882112.5606694561"/>
    <x v="0"/>
    <n v="1882112.5606694561"/>
  </r>
  <r>
    <s v="CN-0439-2023"/>
    <s v="Jalan Raya"/>
    <s v="Bandung"/>
    <s v="Perbaikan Jalan Raya Bandung"/>
    <d v="2023-11-29T00:00:00"/>
    <d v="2024-10-14T00:00:00"/>
    <n v="687256096"/>
    <x v="5"/>
    <n v="320"/>
    <n v="2147675.2999999998"/>
    <x v="0"/>
    <n v="2147675.2999999998"/>
  </r>
  <r>
    <s v="CN-0440-2023"/>
    <s v="Jalan Raya"/>
    <s v="Depok"/>
    <s v="Perbaikan Jalan Raya Depok"/>
    <d v="2023-11-29T00:00:00"/>
    <d v="2024-09-07T00:00:00"/>
    <n v="529398283"/>
    <x v="6"/>
    <n v="283"/>
    <n v="1870665.3109540637"/>
    <x v="0"/>
    <n v="1870665.3109540637"/>
  </r>
  <r>
    <s v="CN-0441-2023"/>
    <s v="Gedung"/>
    <s v="Surabaya"/>
    <s v="Perbaikan Gedung Pemerintah Surabaya"/>
    <d v="2023-11-29T00:00:00"/>
    <d v="2024-06-14T00:00:00"/>
    <n v="4710182773"/>
    <x v="3"/>
    <n v="198"/>
    <n v="23788801.883838385"/>
    <x v="0"/>
    <n v="23788801.883838385"/>
  </r>
  <r>
    <s v="CN-0442-2023"/>
    <s v="Jalan Raya"/>
    <s v="Medan"/>
    <s v="Perbaikan Jalan Raya Medan"/>
    <d v="2023-11-30T00:00:00"/>
    <d v="2024-03-25T00:00:00"/>
    <n v="744960204"/>
    <x v="1"/>
    <n v="116"/>
    <n v="6422070.7241379311"/>
    <x v="0"/>
    <n v="6422070.7241379311"/>
  </r>
  <r>
    <s v="CN-0443-2023"/>
    <s v="Gedung"/>
    <s v="Surabaya"/>
    <s v="Perbaikan Gedung Pemerintah Surabaya"/>
    <d v="2023-11-30T00:00:00"/>
    <d v="2024-04-02T00:00:00"/>
    <n v="3580995628"/>
    <x v="2"/>
    <n v="124"/>
    <n v="28878997"/>
    <x v="0"/>
    <n v="28878997"/>
  </r>
  <r>
    <s v="CN-0444-2023"/>
    <s v="Flyover"/>
    <s v="Jakarta"/>
    <s v="Pembuatan Flyover Jakarta"/>
    <d v="2023-12-01T00:00:00"/>
    <d v="2024-07-19T00:00:00"/>
    <n v="3574507730"/>
    <x v="6"/>
    <n v="231"/>
    <n v="15474059.437229438"/>
    <x v="0"/>
    <n v="15474059.437229438"/>
  </r>
  <r>
    <s v="CN-0445-2023"/>
    <s v="Flyover"/>
    <s v="Depok"/>
    <s v="Pembuatan Flyover Depok"/>
    <d v="2023-12-01T00:00:00"/>
    <d v="2024-08-21T00:00:00"/>
    <n v="2640159197"/>
    <x v="4"/>
    <n v="264"/>
    <n v="10000603.018939395"/>
    <x v="0"/>
    <n v="10000603.018939395"/>
  </r>
  <r>
    <s v="CN-0446-2023"/>
    <s v="Jembatan"/>
    <s v="Jakarta"/>
    <s v="Perbaikan Jembatan Jakarta"/>
    <d v="2023-12-02T00:00:00"/>
    <d v="2024-07-03T00:00:00"/>
    <n v="857010798"/>
    <x v="3"/>
    <n v="214"/>
    <n v="4004723.3551401868"/>
    <x v="0"/>
    <n v="4004723.3551401868"/>
  </r>
  <r>
    <s v="CN-0447-2023"/>
    <s v="Flyover"/>
    <s v="Makassar"/>
    <s v="Pembuatan Flyover Makassar"/>
    <d v="2023-12-02T00:00:00"/>
    <d v="2024-11-24T00:00:00"/>
    <n v="3902836313"/>
    <x v="3"/>
    <n v="358"/>
    <n v="10901777.410614526"/>
    <x v="0"/>
    <n v="10901777.410614526"/>
  </r>
  <r>
    <s v="CN-0448-2023"/>
    <s v="Jalan Raya"/>
    <s v="Makassar"/>
    <s v="Perbaikan Jalan Raya Makassar"/>
    <d v="2023-12-03T00:00:00"/>
    <d v="2024-05-01T00:00:00"/>
    <n v="313061138"/>
    <x v="5"/>
    <n v="150"/>
    <n v="2087074.2533333334"/>
    <x v="0"/>
    <n v="2087074.2533333334"/>
  </r>
  <r>
    <s v="CN-0449-2023"/>
    <s v="Flyover"/>
    <s v="Jakarta"/>
    <s v="Pembuatan Flyover Jakarta"/>
    <d v="2023-12-03T00:00:00"/>
    <d v="2024-06-30T00:00:00"/>
    <n v="3704994376"/>
    <x v="4"/>
    <n v="210"/>
    <n v="17642830.361904763"/>
    <x v="0"/>
    <n v="17642830.361904763"/>
  </r>
  <r>
    <s v="CN-0450-2023"/>
    <s v="Jembatan"/>
    <s v="Bandung"/>
    <s v="Pembuatan Jembatan Bandung"/>
    <d v="2023-12-03T00:00:00"/>
    <d v="2024-01-15T00:00:00"/>
    <n v="6935528254"/>
    <x v="1"/>
    <n v="43"/>
    <n v="161291354.74418604"/>
    <x v="0"/>
    <n v="161291354.74418604"/>
  </r>
  <r>
    <s v="CN-0451-2023"/>
    <s v="Gedung"/>
    <s v="Makassar"/>
    <s v="Perbaikan Gedung Pemerintah Makassar"/>
    <d v="2023-12-05T00:00:00"/>
    <d v="2024-09-27T00:00:00"/>
    <n v="1827330534"/>
    <x v="7"/>
    <n v="297"/>
    <n v="6152628.0606060605"/>
    <x v="0"/>
    <n v="6152628.0606060605"/>
  </r>
  <r>
    <s v="CN-0452-2023"/>
    <s v="Jalan Raya"/>
    <s v="Surabaya"/>
    <s v="Perbaikan Jalan Raya Surabaya"/>
    <d v="2023-12-06T00:00:00"/>
    <d v="2024-05-13T00:00:00"/>
    <n v="643095755"/>
    <x v="6"/>
    <n v="159"/>
    <n v="4044627.389937107"/>
    <x v="0"/>
    <n v="4044627.389937107"/>
  </r>
  <r>
    <s v="CN-0453-2023"/>
    <s v="Jalan Raya"/>
    <s v="Makassar"/>
    <s v="Perbaikan Jalan Raya Makassar"/>
    <d v="2023-12-08T00:00:00"/>
    <d v="2024-07-03T00:00:00"/>
    <n v="195287277"/>
    <x v="6"/>
    <n v="208"/>
    <n v="938881.13942307688"/>
    <x v="0"/>
    <n v="938881.13942307688"/>
  </r>
  <r>
    <s v="CN-0454-2023"/>
    <s v="Gedung"/>
    <s v="Tomohon"/>
    <s v="Perbaikan Gedung Pemerintah Tomohon"/>
    <d v="2023-12-08T00:00:00"/>
    <d v="2024-05-01T00:00:00"/>
    <n v="6786324237"/>
    <x v="3"/>
    <n v="145"/>
    <n v="46802236.117241383"/>
    <x v="0"/>
    <n v="46802236.117241383"/>
  </r>
  <r>
    <s v="CN-0455-2023"/>
    <s v="Drainase"/>
    <s v="Bandung"/>
    <s v="Perbaikan Drainase Bandung"/>
    <d v="2023-12-09T00:00:00"/>
    <d v="2024-10-29T00:00:00"/>
    <n v="499105719"/>
    <x v="1"/>
    <n v="325"/>
    <n v="1535709.9046153845"/>
    <x v="0"/>
    <n v="1535709.9046153845"/>
  </r>
  <r>
    <s v="CN-0456-2023"/>
    <s v="Drainase"/>
    <s v="Tomohon"/>
    <s v="Perbaikan Drainase Tomohon"/>
    <d v="2023-12-11T00:00:00"/>
    <d v="2024-01-20T00:00:00"/>
    <n v="461111964"/>
    <x v="1"/>
    <n v="40"/>
    <n v="11527799.1"/>
    <x v="0"/>
    <n v="11527799.1"/>
  </r>
  <r>
    <s v="CN-0457-2023"/>
    <s v="Flyover"/>
    <s v="Tomohon"/>
    <s v="Perbaikan Flyover Tomohon"/>
    <d v="2023-12-12T00:00:00"/>
    <d v="2024-07-08T00:00:00"/>
    <n v="3310535255"/>
    <x v="0"/>
    <n v="209"/>
    <n v="15839881.602870813"/>
    <x v="0"/>
    <n v="15839881.602870813"/>
  </r>
  <r>
    <s v="CN-0458-2023"/>
    <s v="Gedung"/>
    <s v="Makassar"/>
    <s v="Perbaikan Gedung Pemerintah Makassar"/>
    <d v="2023-12-12T00:00:00"/>
    <d v="2024-09-18T00:00:00"/>
    <n v="1639451183"/>
    <x v="4"/>
    <n v="281"/>
    <n v="5834345.8469750891"/>
    <x v="0"/>
    <n v="5834345.8469750891"/>
  </r>
  <r>
    <s v="CN-0459-2023"/>
    <s v="Gedung"/>
    <s v="Makassar"/>
    <s v="Perbaikan Gedung Pemerintah Makassar"/>
    <d v="2023-12-13T00:00:00"/>
    <d v="2024-10-25T00:00:00"/>
    <n v="2042593058"/>
    <x v="0"/>
    <n v="317"/>
    <n v="6443511.2239747634"/>
    <x v="0"/>
    <n v="6443511.2239747634"/>
  </r>
  <r>
    <s v="CN-0460-2023"/>
    <s v="Flyover"/>
    <s v="Surabaya"/>
    <s v="Pembuatan Flyover Surabaya"/>
    <d v="2023-12-13T00:00:00"/>
    <d v="2024-04-12T00:00:00"/>
    <n v="2438226800"/>
    <x v="4"/>
    <n v="121"/>
    <n v="20150634.7107438"/>
    <x v="0"/>
    <n v="20150634.7107438"/>
  </r>
  <r>
    <s v="CN-0461-2023"/>
    <s v="Drainase"/>
    <s v="Jakarta"/>
    <s v="Perbaikan Drainase Jakarta"/>
    <d v="2023-12-13T00:00:00"/>
    <d v="2024-08-20T00:00:00"/>
    <n v="740887892"/>
    <x v="2"/>
    <n v="251"/>
    <n v="2951744.5896414341"/>
    <x v="0"/>
    <n v="2951744.5896414341"/>
  </r>
  <r>
    <s v="CN-0462-2023"/>
    <s v="Flyover"/>
    <s v="Depok"/>
    <s v="Pembuatan Flyover Depok"/>
    <d v="2023-12-18T00:00:00"/>
    <d v="2024-12-08T00:00:00"/>
    <n v="3502390822"/>
    <x v="2"/>
    <n v="356"/>
    <n v="9838176.4662921354"/>
    <x v="0"/>
    <n v="9838176.4662921354"/>
  </r>
  <r>
    <s v="CN-0463-2023"/>
    <s v="Drainase"/>
    <s v="Surabaya"/>
    <s v="Perbaikan Drainase Surabaya"/>
    <d v="2023-12-21T00:00:00"/>
    <d v="2024-06-24T00:00:00"/>
    <n v="633299430"/>
    <x v="3"/>
    <n v="186"/>
    <n v="3404835.6451612902"/>
    <x v="0"/>
    <n v="3404835.6451612902"/>
  </r>
  <r>
    <s v="CN-0464-2023"/>
    <s v="Drainase"/>
    <s v="Depok"/>
    <s v="Perbaikan Drainase Depok"/>
    <d v="2023-12-22T00:00:00"/>
    <d v="2024-10-30T00:00:00"/>
    <n v="518578528"/>
    <x v="3"/>
    <n v="313"/>
    <n v="1656800.4089456869"/>
    <x v="0"/>
    <n v="1656800.4089456869"/>
  </r>
  <r>
    <s v="CN-0465-2023"/>
    <s v="Flyover"/>
    <s v="Makassar"/>
    <s v="Pembuatan Flyover Makassar"/>
    <d v="2023-12-23T00:00:00"/>
    <d v="2024-10-23T00:00:00"/>
    <n v="2716743578"/>
    <x v="0"/>
    <n v="305"/>
    <n v="8907355.9934426229"/>
    <x v="0"/>
    <n v="8907355.9934426229"/>
  </r>
  <r>
    <s v="CN-0466-2023"/>
    <s v="Gedung"/>
    <s v="Bandung"/>
    <s v="Perbaikan Gedung Pemerintah Bandung"/>
    <d v="2023-12-24T00:00:00"/>
    <d v="2024-10-14T00:00:00"/>
    <n v="3558366170"/>
    <x v="6"/>
    <n v="295"/>
    <n v="12062258.203389831"/>
    <x v="0"/>
    <n v="12062258.203389831"/>
  </r>
  <r>
    <s v="CN-0467-2023"/>
    <s v="Flyover"/>
    <s v="Surabaya"/>
    <s v="Pembuatan Flyover Surabaya"/>
    <d v="2023-12-24T00:00:00"/>
    <d v="2024-06-30T00:00:00"/>
    <n v="3504700319"/>
    <x v="5"/>
    <n v="189"/>
    <n v="18543387.931216933"/>
    <x v="0"/>
    <n v="18543387.931216933"/>
  </r>
  <r>
    <s v="CN-0468-2023"/>
    <s v="Gedung"/>
    <s v="Bandung"/>
    <s v="Perbaikan Gedung Pemerintah Bandung"/>
    <d v="2023-12-24T00:00:00"/>
    <d v="2024-09-01T00:00:00"/>
    <n v="8473123375"/>
    <x v="0"/>
    <n v="252"/>
    <n v="33623505.456349209"/>
    <x v="0"/>
    <n v="33623505.456349209"/>
  </r>
  <r>
    <s v="CN-0469-2023"/>
    <s v="Jalan Raya"/>
    <s v="Surabaya"/>
    <s v="Perbaikan Jalan Raya Surabaya"/>
    <d v="2023-12-25T00:00:00"/>
    <d v="2024-01-27T00:00:00"/>
    <n v="407605972"/>
    <x v="2"/>
    <n v="33"/>
    <n v="12351696.121212121"/>
    <x v="0"/>
    <n v="12351696.121212121"/>
  </r>
  <r>
    <s v="CN-0470-2023"/>
    <s v="Flyover"/>
    <s v="Makassar"/>
    <s v="Perbaikan Flyover Makassar"/>
    <d v="2023-12-25T00:00:00"/>
    <d v="2024-10-02T00:00:00"/>
    <n v="3697961455"/>
    <x v="4"/>
    <n v="282"/>
    <n v="13113338.492907802"/>
    <x v="0"/>
    <n v="13113338.492907802"/>
  </r>
  <r>
    <s v="CN-0471-2023"/>
    <s v="Gedung"/>
    <s v="Medan"/>
    <s v="Perbaikan Gedung Pemerintah Medan"/>
    <d v="2023-12-26T00:00:00"/>
    <d v="2024-03-17T00:00:00"/>
    <n v="9185210892"/>
    <x v="3"/>
    <n v="82"/>
    <n v="112014766.97560975"/>
    <x v="0"/>
    <n v="112014766.97560975"/>
  </r>
  <r>
    <s v="CN-0472-2023"/>
    <s v="Drainase"/>
    <s v="Tomohon"/>
    <s v="Perbaikan Drainase Tomohon"/>
    <d v="2023-12-26T00:00:00"/>
    <d v="2024-10-05T00:00:00"/>
    <n v="577434070"/>
    <x v="4"/>
    <n v="284"/>
    <n v="2033218.5563380283"/>
    <x v="0"/>
    <n v="2033218.5563380283"/>
  </r>
  <r>
    <s v="CN-0473-2023"/>
    <s v="Gedung"/>
    <s v="Bau-Bau"/>
    <s v="Perbaikan Gedung Pemerintah Bau-Bau"/>
    <d v="2023-12-26T00:00:00"/>
    <d v="2024-04-28T00:00:00"/>
    <n v="9221677626"/>
    <x v="3"/>
    <n v="124"/>
    <n v="74368367.951612905"/>
    <x v="0"/>
    <n v="74368367.951612905"/>
  </r>
  <r>
    <s v="CN-0474-2023"/>
    <s v="Flyover"/>
    <s v="Bau-Bau"/>
    <s v="Pembuatan Flyover Bau-Bau"/>
    <d v="2023-12-27T00:00:00"/>
    <d v="2024-11-28T00:00:00"/>
    <n v="4616485762"/>
    <x v="1"/>
    <n v="337"/>
    <n v="13698770.807121662"/>
    <x v="0"/>
    <n v="13698770.807121662"/>
  </r>
  <r>
    <s v="CN-0475-2023"/>
    <s v="Gedung"/>
    <s v="Depok"/>
    <s v="Perbaikan Gedung Pemerintah Depok"/>
    <d v="2023-12-27T00:00:00"/>
    <d v="2024-02-21T00:00:00"/>
    <n v="4101514487"/>
    <x v="2"/>
    <n v="56"/>
    <n v="73241330.125"/>
    <x v="0"/>
    <n v="73241330.125"/>
  </r>
  <r>
    <s v="CN-0476-2023"/>
    <s v="Drainase"/>
    <s v="Jakarta"/>
    <s v="Perbaikan Drainase Jakarta"/>
    <d v="2023-12-29T00:00:00"/>
    <d v="2024-11-15T00:00:00"/>
    <n v="419613481"/>
    <x v="4"/>
    <n v="322"/>
    <n v="1303147.456521739"/>
    <x v="0"/>
    <n v="1303147.456521739"/>
  </r>
  <r>
    <s v="CN-0477-2023"/>
    <s v="Drainase"/>
    <s v="Bandung"/>
    <s v="Perbaikan Drainase Bandung"/>
    <d v="2023-12-29T00:00:00"/>
    <d v="2024-02-24T00:00:00"/>
    <n v="271658499"/>
    <x v="5"/>
    <n v="57"/>
    <n v="4765938.5789473681"/>
    <x v="0"/>
    <n v="4765938.5789473681"/>
  </r>
  <r>
    <s v="CN-0478-2023"/>
    <s v="Flyover"/>
    <s v="Makassar"/>
    <s v="Pembuatan Flyover Makassar"/>
    <d v="2023-12-30T00:00:00"/>
    <d v="2024-06-18T00:00:00"/>
    <n v="3282339654"/>
    <x v="6"/>
    <n v="171"/>
    <n v="19194968.736842107"/>
    <x v="0"/>
    <n v="19194968.736842107"/>
  </r>
  <r>
    <s v="CN-0479-2023"/>
    <s v="Gedung"/>
    <s v="Surabaya"/>
    <s v="Perbaikan Gedung Pemerintah Surabaya"/>
    <d v="2023-12-31T00:00:00"/>
    <d v="2024-09-28T00:00:00"/>
    <n v="2974669932"/>
    <x v="6"/>
    <n v="272"/>
    <n v="10936286.514705881"/>
    <x v="0"/>
    <n v="10936286.5147058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0C8A5-A42A-4EED-A144-32CDF3D6332A}" name="PivotTable32" cacheId="7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Tahun">
  <location ref="B5:C8" firstHeaderRow="1" firstDataRow="1" firstDataCol="1"/>
  <pivotFields count="12">
    <pivotField dataField="1" showAll="0"/>
    <pivotField showAll="0"/>
    <pivotField showAll="0"/>
    <pivotField showAll="0"/>
    <pivotField numFmtId="167" showAll="0"/>
    <pivotField numFmtId="167" showAll="0"/>
    <pivotField numFmtId="165" showAll="0"/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numFmtId="165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Jumlah Proyek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19C5E-6CDD-4461-8E7C-2148EBA110FE}" name="PivotTable15" cacheId="7" applyNumberFormats="0" applyBorderFormats="0" applyFontFormats="0" applyPatternFormats="0" applyAlignmentFormats="0" applyWidthHeightFormats="1" dataCaption="Values" grandTotalCaption="Total" updatedVersion="8" minRefreshableVersion="3" useAutoFormatting="1" rowGrandTotals="0" colGrandTotals="0" itemPrintTitles="1" createdVersion="8" indent="0" outline="1" outlineData="1" multipleFieldFilters="0" rowHeaderCaption="Kontraktor">
  <location ref="N13:O20" firstHeaderRow="1" firstDataRow="1" firstDataCol="1"/>
  <pivotFields count="12">
    <pivotField showAll="0"/>
    <pivotField showAll="0"/>
    <pivotField showAll="0"/>
    <pivotField showAll="0"/>
    <pivotField numFmtId="167" showAll="0"/>
    <pivotField numFmtId="167" showAll="0"/>
    <pivotField numFmtId="165" showAll="0"/>
    <pivotField axis="axisRow" showAll="0" sortType="ascending">
      <items count="9">
        <item x="1"/>
        <item x="5"/>
        <item x="6"/>
        <item x="7"/>
        <item x="4"/>
        <item x="0"/>
        <item x="3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dataField="1" numFmtId="165" showAll="0"/>
  </pivotFields>
  <rowFields count="1">
    <field x="7"/>
  </rowFields>
  <rowItems count="7">
    <i>
      <x v="5"/>
    </i>
    <i>
      <x v="3"/>
    </i>
    <i>
      <x v="1"/>
    </i>
    <i>
      <x v="2"/>
    </i>
    <i>
      <x/>
    </i>
    <i>
      <x v="6"/>
    </i>
    <i>
      <x v="4"/>
    </i>
  </rowItems>
  <colItems count="1">
    <i/>
  </colItems>
  <dataFields count="1">
    <dataField name="Efisiensi" fld="11" baseField="0" baseItem="0" numFmtId="165"/>
  </dataFields>
  <formats count="4">
    <format dxfId="15">
      <pivotArea collapsedLevelsAreSubtotals="1" fieldPosition="0">
        <references count="1">
          <reference field="7" count="1">
            <x v="5"/>
          </reference>
        </references>
      </pivotArea>
    </format>
    <format dxfId="14">
      <pivotArea dataOnly="0" labelOnly="1" fieldPosition="0">
        <references count="1">
          <reference field="7" count="1">
            <x v="5"/>
          </reference>
        </references>
      </pivotArea>
    </format>
    <format dxfId="13">
      <pivotArea collapsedLevelsAreSubtotals="1" fieldPosition="0">
        <references count="1">
          <reference field="7" count="1">
            <x v="4"/>
          </reference>
        </references>
      </pivotArea>
    </format>
    <format dxfId="12">
      <pivotArea dataOnly="0" labelOnly="1" fieldPosition="0">
        <references count="1">
          <reference field="7" count="1">
            <x v="4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81BCD-513C-41D3-9AF8-4DD4C926F030}" name="PivotTable9" cacheId="8" applyNumberFormats="0" applyBorderFormats="0" applyFontFormats="0" applyPatternFormats="0" applyAlignmentFormats="0" applyWidthHeightFormats="1" dataCaption="Values" grandTotalCaption="Total Anggaran" updatedVersion="8" minRefreshableVersion="3" useAutoFormatting="1" subtotalHiddenItems="1" itemPrintTitles="1" createdVersion="8" indent="0" outline="1" outlineData="1" multipleFieldFilters="0" rowHeaderCaption="Lokasi Proyek">
  <location ref="B10:C20" firstHeaderRow="1" firstDataRow="1" firstDataCol="1"/>
  <pivotFields count="2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7"/>
    </i>
    <i>
      <x v="8"/>
    </i>
    <i>
      <x v="6"/>
    </i>
    <i>
      <x v="4"/>
    </i>
    <i>
      <x v="5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Anggaran" fld="1" baseField="0" baseItem="6" numFmtId="168"/>
  </dataFields>
  <formats count="10">
    <format dxfId="25">
      <pivotArea outline="0" collapsedLevelsAreSubtotals="1" fieldPosition="0"/>
    </format>
    <format dxfId="24">
      <pivotArea collapsedLevelsAreSubtotals="1" fieldPosition="0">
        <references count="1">
          <reference field="0" count="1">
            <x v="6"/>
          </reference>
        </references>
      </pivotArea>
    </format>
    <format dxfId="23">
      <pivotArea collapsedLevelsAreSubtotals="1" fieldPosition="0">
        <references count="1">
          <reference field="0" count="1">
            <x v="1"/>
          </reference>
        </references>
      </pivotArea>
    </format>
    <format dxfId="22">
      <pivotArea dataOnly="0" labelOnly="1" fieldPosition="0">
        <references count="1">
          <reference field="0" count="1">
            <x v="1"/>
          </reference>
        </references>
      </pivotArea>
    </format>
    <format dxfId="21">
      <pivotArea collapsedLevelsAreSubtotals="1" fieldPosition="0">
        <references count="1">
          <reference field="0" count="1">
            <x v="8"/>
          </reference>
        </references>
      </pivotArea>
    </format>
    <format dxfId="20">
      <pivotArea dataOnly="0" labelOnly="1" fieldPosition="0">
        <references count="1">
          <reference field="0" count="1">
            <x v="8"/>
          </reference>
        </references>
      </pivotArea>
    </format>
    <format dxfId="19">
      <pivotArea collapsedLevelsAreSubtotals="1" fieldPosition="0">
        <references count="1">
          <reference field="0" count="1">
            <x v="6"/>
          </reference>
        </references>
      </pivotArea>
    </format>
    <format dxfId="18">
      <pivotArea dataOnly="0" labelOnly="1" fieldPosition="0">
        <references count="1">
          <reference field="0" count="1">
            <x v="6"/>
          </reference>
        </references>
      </pivotArea>
    </format>
    <format dxfId="17">
      <pivotArea collapsedLevelsAreSubtotals="1" fieldPosition="0">
        <references count="1">
          <reference field="0" count="1">
            <x v="7"/>
          </reference>
        </references>
      </pivotArea>
    </format>
    <format dxfId="16">
      <pivotArea dataOnly="0" labelOnly="1" fieldPosition="0">
        <references count="1">
          <reference field="0" count="1">
            <x v="7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Anggaran"/>
    <pivotHierarchy dragToData="1"/>
    <pivotHierarchy dragToData="1"/>
    <pivotHierarchy dragToData="1" caption="Anggaran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7C62C-46F8-4B07-A9FE-E175100E61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Anggaran" fld="0" baseField="0" baseItem="0" numFmtId="168"/>
  </dataFields>
  <formats count="4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Anggaran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B9AFA-7493-4E9F-9F80-353173A5B1E1}" name="PivotTable5" cacheId="4" applyNumberFormats="0" applyBorderFormats="0" applyFontFormats="0" applyPatternFormats="0" applyAlignmentFormats="0" applyWidthHeightFormats="1" dataCaption="Values" grandTotalCaption="Kinerja Keseluruhan" updatedVersion="8" minRefreshableVersion="3" useAutoFormatting="1" subtotalHiddenItems="1" itemPrintTitles="1" createdVersion="8" indent="0" outline="1" outlineData="1" multipleFieldFilters="0" rowHeaderCaption="Jenis Proyek">
  <location ref="E10:F16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Kinerja Waktu (Hari)" fld="0" subtotal="average" baseField="0" baseItem="0" numFmtId="169"/>
  </dataFields>
  <formats count="21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collapsedLevelsAreSubtotals="1" fieldPosition="0">
        <references count="1">
          <reference field="1" count="1">
            <x v="1"/>
          </reference>
        </references>
      </pivotArea>
    </format>
    <format dxfId="37">
      <pivotArea dataOnly="0" labelOnly="1" fieldPosition="0">
        <references count="1">
          <reference field="1" count="1">
            <x v="1"/>
          </reference>
        </references>
      </pivotArea>
    </format>
    <format dxfId="36">
      <pivotArea collapsedLevelsAreSubtotals="1" fieldPosition="0">
        <references count="1">
          <reference field="1" count="1">
            <x v="0"/>
          </reference>
        </references>
      </pivotArea>
    </format>
    <format dxfId="35">
      <pivotArea dataOnly="0" labelOnly="1" fieldPosition="0">
        <references count="1">
          <reference field="1" count="1">
            <x v="0"/>
          </reference>
        </references>
      </pivotArea>
    </format>
    <format dxfId="34">
      <pivotArea collapsedLevelsAreSubtotals="1" fieldPosition="0">
        <references count="1">
          <reference field="1" count="1">
            <x v="1"/>
          </reference>
        </references>
      </pivotArea>
    </format>
    <format dxfId="33">
      <pivotArea dataOnly="0" labelOnly="1" fieldPosition="0">
        <references count="1">
          <reference field="1" count="1">
            <x v="1"/>
          </reference>
        </references>
      </pivotArea>
    </format>
    <format dxfId="32">
      <pivotArea collapsedLevelsAreSubtotals="1" fieldPosition="0">
        <references count="1">
          <reference field="1" count="1">
            <x v="0"/>
          </reference>
        </references>
      </pivotArea>
    </format>
    <format dxfId="31">
      <pivotArea dataOnly="0" labelOnly="1" fieldPosition="0">
        <references count="1">
          <reference field="1" count="1">
            <x v="0"/>
          </reference>
        </references>
      </pivotArea>
    </format>
    <format dxfId="30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Kinerja Waktu (Hari)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7F953-6B54-4790-B197-32C03B86FA19}" name="PivotTable7" cacheId="5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outline="1" outlineData="1" multipleFieldFilters="0" rowHeaderCaption="Kontraktor">
  <location ref="K2:L11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4"/>
    </i>
    <i>
      <x/>
    </i>
    <i>
      <x v="6"/>
    </i>
    <i>
      <x v="2"/>
    </i>
    <i>
      <x v="7"/>
    </i>
    <i>
      <x v="1"/>
    </i>
    <i>
      <x v="3"/>
    </i>
    <i>
      <x v="5"/>
    </i>
    <i t="grand">
      <x/>
    </i>
  </rowItems>
  <colItems count="1">
    <i/>
  </colItems>
  <dataFields count="1">
    <dataField name="Jumlah" fld="1" subtotal="count" baseField="0" baseItem="0"/>
  </dataFields>
  <formats count="4">
    <format dxfId="54">
      <pivotArea collapsedLevelsAreSubtotals="1" fieldPosition="0">
        <references count="1">
          <reference field="0" count="1">
            <x v="5"/>
          </reference>
        </references>
      </pivotArea>
    </format>
    <format dxfId="53">
      <pivotArea dataOnly="0" labelOnly="1" fieldPosition="0">
        <references count="1">
          <reference field="0" count="1">
            <x v="5"/>
          </reference>
        </references>
      </pivotArea>
    </format>
    <format dxfId="52">
      <pivotArea collapsedLevelsAreSubtotals="1" fieldPosition="0">
        <references count="1">
          <reference field="0" count="1">
            <x v="4"/>
          </reference>
        </references>
      </pivotArea>
    </format>
    <format dxfId="51">
      <pivotArea dataOnly="0" labelOnly="1" fieldPosition="0">
        <references count="1">
          <reference field="0" count="1">
            <x v="4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Jumlah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C497A-2BEE-413B-97E6-A7751ECA93F7}" name="PivotTable10" cacheId="6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Kontraktor">
  <location ref="N2:O11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5"/>
    </i>
    <i>
      <x v="2"/>
    </i>
    <i>
      <x v="3"/>
    </i>
    <i>
      <x/>
    </i>
    <i>
      <x v="1"/>
    </i>
    <i>
      <x v="7"/>
    </i>
    <i>
      <x v="4"/>
    </i>
    <i>
      <x v="6"/>
    </i>
    <i t="grand">
      <x/>
    </i>
  </rowItems>
  <colItems count="1">
    <i/>
  </colItems>
  <dataFields count="1">
    <dataField name="Total Anggaran" fld="1" baseField="0" baseItem="0" numFmtId="168"/>
  </dataFields>
  <formats count="5">
    <format dxfId="59">
      <pivotArea outline="0" collapsedLevelsAreSubtotals="1" fieldPosition="0"/>
    </format>
    <format dxfId="58">
      <pivotArea collapsedLevelsAreSubtotals="1" fieldPosition="0">
        <references count="1">
          <reference field="0" count="1">
            <x v="5"/>
          </reference>
        </references>
      </pivotArea>
    </format>
    <format dxfId="57">
      <pivotArea dataOnly="0" labelOnly="1" fieldPosition="0">
        <references count="1">
          <reference field="0" count="1">
            <x v="5"/>
          </reference>
        </references>
      </pivotArea>
    </format>
    <format dxfId="56">
      <pivotArea collapsedLevelsAreSubtotals="1" fieldPosition="0">
        <references count="1">
          <reference field="0" count="1">
            <x v="6"/>
          </reference>
        </references>
      </pivotArea>
    </format>
    <format dxfId="55">
      <pivotArea dataOnly="0" labelOnly="1" fieldPosition="0">
        <references count="1">
          <reference field="0" count="1">
            <x v="6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Anggaran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13E4F-A5EC-4D54-91E2-BF446AFB931C}" name="PivotTable4" cacheId="0" applyNumberFormats="0" applyBorderFormats="0" applyFontFormats="0" applyPatternFormats="0" applyAlignmentFormats="0" applyWidthHeightFormats="1" dataCaption="Values" grandTotalCaption="Total Rata-rata" updatedVersion="8" minRefreshableVersion="3" useAutoFormatting="1" subtotalHiddenItems="1" itemPrintTitles="1" createdVersion="8" indent="0" outline="1" outlineData="1" multipleFieldFilters="0" rowHeaderCaption="Jenis Proyek">
  <location ref="H2:I8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Rata-rata Anggaran per Hari" fld="0" subtotal="average" baseField="0" baseItem="0" numFmtId="168"/>
  </dataFields>
  <formats count="8">
    <format dxfId="67">
      <pivotArea outline="0" collapsedLevelsAreSubtotals="1" fieldPosition="0"/>
    </format>
    <format dxfId="66">
      <pivotArea collapsedLevelsAreSubtotals="1" fieldPosition="0">
        <references count="1">
          <reference field="1" count="1">
            <x v="3"/>
          </reference>
        </references>
      </pivotArea>
    </format>
    <format dxfId="65">
      <pivotArea collapsedLevelsAreSubtotals="1" fieldPosition="0">
        <references count="1">
          <reference field="1" count="1">
            <x v="1"/>
          </reference>
        </references>
      </pivotArea>
    </format>
    <format dxfId="64">
      <pivotArea dataOnly="0" labelOnly="1" fieldPosition="0">
        <references count="1">
          <reference field="1" count="1">
            <x v="3"/>
          </reference>
        </references>
      </pivotArea>
    </format>
    <format dxfId="63">
      <pivotArea dataOnly="0" fieldPosition="0">
        <references count="1">
          <reference field="1" count="1">
            <x v="1"/>
          </reference>
        </references>
      </pivotArea>
    </format>
    <format dxfId="62">
      <pivotArea dataOnly="0" fieldPosition="0">
        <references count="1">
          <reference field="1" count="1">
            <x v="3"/>
          </reference>
        </references>
      </pivotArea>
    </format>
    <format dxfId="61">
      <pivotArea collapsedLevelsAreSubtotals="1" fieldPosition="0">
        <references count="1">
          <reference field="1" count="1">
            <x v="1"/>
          </reference>
        </references>
      </pivotArea>
    </format>
    <format dxfId="60">
      <pivotArea dataOnly="0" labelOnly="1" fieldPosition="0">
        <references count="1">
          <reference field="1" count="1">
            <x v="1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ata-rata Anggaran per Hari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D6105-EB19-469A-BA23-9BF2077BF2C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Proyek" fld="0" subtotal="count" baseField="0" baseItem="0"/>
  </dataFields>
  <formats count="3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Proyek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Rekap Proyek 2023-2024.xlsx!Table245"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129DD-94EE-4CC2-A78C-FD5137724E6A}" name="PivotTable6" cacheId="3" applyNumberFormats="0" applyBorderFormats="0" applyFontFormats="0" applyPatternFormats="0" applyAlignmentFormats="0" applyWidthHeightFormats="1" dataCaption="Values" grandTotalCaption="Total Rata-rata" updatedVersion="8" minRefreshableVersion="3" useAutoFormatting="1" subtotalHiddenItems="1" itemPrintTitles="1" createdVersion="8" indent="0" outline="1" outlineData="1" multipleFieldFilters="0" rowHeaderCaption="Jenis Proyek">
  <location ref="E2:F8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Rata-rata Anggaran per Proyek" fld="0" subtotal="average" baseField="0" baseItem="0" numFmtId="168"/>
  </dataFields>
  <formats count="10">
    <format dxfId="80">
      <pivotArea outline="0" collapsedLevelsAreSubtotals="1" fieldPosition="0"/>
    </format>
    <format dxfId="79">
      <pivotArea type="all" dataOnly="0" outline="0" fieldPosition="0"/>
    </format>
    <format dxfId="78">
      <pivotArea collapsedLevelsAreSubtotals="1" fieldPosition="0">
        <references count="1">
          <reference field="1" count="1">
            <x v="2"/>
          </reference>
        </references>
      </pivotArea>
    </format>
    <format dxfId="77">
      <pivotArea collapsedLevelsAreSubtotals="1" fieldPosition="0">
        <references count="1">
          <reference field="1" count="1">
            <x v="0"/>
          </reference>
        </references>
      </pivotArea>
    </format>
    <format dxfId="76">
      <pivotArea collapsedLevelsAreSubtotals="1" fieldPosition="0">
        <references count="1">
          <reference field="1" count="1">
            <x v="0"/>
          </reference>
        </references>
      </pivotArea>
    </format>
    <format dxfId="75">
      <pivotArea dataOnly="0" labelOnly="1" fieldPosition="0">
        <references count="1">
          <reference field="1" count="1">
            <x v="0"/>
          </reference>
        </references>
      </pivotArea>
    </format>
    <format dxfId="74">
      <pivotArea collapsedLevelsAreSubtotals="1" fieldPosition="0">
        <references count="1">
          <reference field="1" count="1">
            <x v="2"/>
          </reference>
        </references>
      </pivotArea>
    </format>
    <format dxfId="73">
      <pivotArea dataOnly="0" labelOnly="1" fieldPosition="0">
        <references count="1">
          <reference field="1" count="1">
            <x v="2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Rata-rata Anggaran per Proyek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40888-E0BB-4567-863D-CA9F8737469D}" name="Table2" displayName="Table2" ref="A1:H500" totalsRowShown="0" headerRowDxfId="100" dataDxfId="99">
  <autoFilter ref="A1:H500" xr:uid="{DCF40888-E0BB-4567-863D-CA9F8737469D}"/>
  <tableColumns count="8">
    <tableColumn id="1" xr3:uid="{13CD8917-E3AF-41C5-8BAF-2725660D7AC3}" name="ID_Proyek" dataDxfId="98"/>
    <tableColumn id="2" xr3:uid="{3E031A50-45B9-4653-8237-41ECD184EB59}" name="Jenis_Proyek" dataDxfId="97"/>
    <tableColumn id="3" xr3:uid="{9B56285E-5BFF-43CF-A7A1-3E7D76DB1AD6}" name="Lokasi" dataDxfId="96"/>
    <tableColumn id="4" xr3:uid="{D8952AC5-18CC-4C7E-B5BB-0BA4B9B082D6}" name="Nama_Proyek" dataDxfId="95"/>
    <tableColumn id="5" xr3:uid="{892BAF56-8D60-4FDE-BC65-A3B0BBBFC03F}" name="Tanggal_Mulai" dataDxfId="94"/>
    <tableColumn id="6" xr3:uid="{37792E84-C713-4D97-B20E-C86805FC6BBA}" name="Tanggal_Selesai" dataDxfId="93"/>
    <tableColumn id="7" xr3:uid="{E04E0555-1204-4F33-8086-E97A861D78EE}" name="Anggaran" dataDxfId="92"/>
    <tableColumn id="8" xr3:uid="{7E66871F-9BF9-429A-AC9A-0A5DF43DFF52}" name="Kontraktor" dataDxfId="91">
      <calculatedColumnFormula>TRIM('Raw Dataset'!H2)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71AC91-31C8-4258-A792-463E9BBAF516}" name="Table24" displayName="Table24" ref="A1:H500" totalsRowShown="0" headerRowDxfId="90" dataDxfId="89">
  <autoFilter ref="A1:H500" xr:uid="{DCF40888-E0BB-4567-863D-CA9F8737469D}"/>
  <tableColumns count="8">
    <tableColumn id="1" xr3:uid="{85C23754-BED5-486A-A50F-3FA4327BC8C2}" name="ID_Proyek" dataDxfId="88"/>
    <tableColumn id="2" xr3:uid="{FBD0D2B2-6620-49E8-AF9C-7DA76C79F835}" name="Jenis_Proyek" dataDxfId="87">
      <calculatedColumnFormula>IF(Table2[[#This Row],[Jenis_Proyek]]="", "Tidak Diketahui", Table2[[#This Row],[Jenis_Proyek]])</calculatedColumnFormula>
    </tableColumn>
    <tableColumn id="3" xr3:uid="{9B419DDA-8533-4304-8960-F7030B5E268C}" name="Lokasi" dataDxfId="86">
      <calculatedColumnFormula>IF(Table2[[#This Row],[Lokasi]]="", "Tidak Diketahui", Table2[[#This Row],[Lokasi]])</calculatedColumnFormula>
    </tableColumn>
    <tableColumn id="4" xr3:uid="{C1208789-4A81-475A-BEC5-608687C14227}" name="Nama_Proyek" dataDxfId="85">
      <calculatedColumnFormula>IF(Table2[[#This Row],[Nama_Proyek]]="", "Tidak Diketahui", Table2[[#This Row],[Nama_Proyek]])</calculatedColumnFormula>
    </tableColumn>
    <tableColumn id="5" xr3:uid="{C82F7210-E80E-4D21-90CF-8785FB92AE3E}" name="Tanggal_Mulai" dataDxfId="84"/>
    <tableColumn id="6" xr3:uid="{EF49F14E-9203-485A-B330-53C1BF347EB3}" name="Tanggal_Selesai" dataDxfId="83"/>
    <tableColumn id="7" xr3:uid="{FC3AA197-9FD1-4309-8004-75662E122963}" name="Anggaran" dataDxfId="82"/>
    <tableColumn id="8" xr3:uid="{DFF5D213-5F73-43F3-9AD9-A48C91B0311A}" name="Kontraktor" dataDxfId="81">
      <calculatedColumnFormula>IF(Table2[[#This Row],[Kontraktor]]="", "Tidak Diketahui",Table2[[#This Row],[Kontraktor]])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1AF033-269B-4CE8-87E4-AB84F98652CF}" name="Table245" displayName="Table245" ref="A1:K500" totalsRowShown="0" headerRowDxfId="113" dataDxfId="112">
  <autoFilter ref="A1:K500" xr:uid="{DCF40888-E0BB-4567-863D-CA9F8737469D}"/>
  <tableColumns count="11">
    <tableColumn id="1" xr3:uid="{EC83545D-C408-4C23-A242-840FCE0B6DF7}" name="ID_Proyek" dataDxfId="111"/>
    <tableColumn id="2" xr3:uid="{D92FA316-795D-4D31-BDCF-9FD3099E7089}" name="Jenis_Proyek" dataDxfId="110">
      <calculatedColumnFormula>IF(Table2[[#This Row],[Jenis_Proyek]]="", "Tidak Diketahui", Table2[[#This Row],[Jenis_Proyek]])</calculatedColumnFormula>
    </tableColumn>
    <tableColumn id="3" xr3:uid="{E1F93095-01E2-430B-AE94-CF7D5DFB6AA0}" name="Lokasi" dataDxfId="109">
      <calculatedColumnFormula>IF(Table2[[#This Row],[Lokasi]]="", "Tidak Diketahui", Table2[[#This Row],[Lokasi]])</calculatedColumnFormula>
    </tableColumn>
    <tableColumn id="4" xr3:uid="{501D3CFC-AFF0-432A-A352-208633ECDF17}" name="Nama_Proyek" dataDxfId="108">
      <calculatedColumnFormula>IF(Table2[[#This Row],[Nama_Proyek]]="", "Tidak Diketahui", Table2[[#This Row],[Nama_Proyek]])</calculatedColumnFormula>
    </tableColumn>
    <tableColumn id="5" xr3:uid="{C9612190-2DCE-4C1B-98C3-013F07FD336A}" name="Tanggal_Mulai" dataDxfId="107"/>
    <tableColumn id="6" xr3:uid="{C885D987-FAC9-49FF-B242-A446A65BDF87}" name="Tanggal_Selesai" dataDxfId="106"/>
    <tableColumn id="7" xr3:uid="{F8A4A178-77CD-486C-AEB0-5639C4139425}" name="Anggaran" dataDxfId="105"/>
    <tableColumn id="8" xr3:uid="{43E5270B-0021-4E63-919E-E3AB5EF300DD}" name="Kontraktor" dataDxfId="104">
      <calculatedColumnFormula>IF(Table2[[#This Row],[Kontraktor]]="", "Tidak Diketahui",Table2[[#This Row],[Kontraktor]])</calculatedColumnFormula>
    </tableColumn>
    <tableColumn id="10" xr3:uid="{E456BEDC-24FE-4C9F-A829-64A48198D055}" name="Durasi_Proyek" dataDxfId="103">
      <calculatedColumnFormula>Table245[[#This Row],[Tanggal_Selesai]]-Table245[[#This Row],[Tanggal_Mulai]]</calculatedColumnFormula>
    </tableColumn>
    <tableColumn id="11" xr3:uid="{7040FB7E-39AF-41A1-AD12-FCDFB7A3D4D7}" name="Efisiensi Kontraktor" dataDxfId="102">
      <calculatedColumnFormula>Table245[[#This Row],[Anggaran]]/Table245[[#This Row],[Durasi_Proyek]]</calculatedColumnFormula>
    </tableColumn>
    <tableColumn id="12" xr3:uid="{B58628A2-3678-4EEA-9F2C-0DCEF6C36164}" name="Tahun_Mulai" dataDxfId="101">
      <calculatedColumnFormula>YEAR(Table245[[#This Row],[Tanggal_Mulai]])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53125" defaultRowHeight="15" customHeight="1" x14ac:dyDescent="0.35"/>
  <cols>
    <col min="1" max="1" width="13.453125" customWidth="1"/>
    <col min="2" max="2" width="15.26953125" customWidth="1"/>
    <col min="3" max="3" width="9.453125" customWidth="1"/>
    <col min="4" max="4" width="39.453125" customWidth="1"/>
    <col min="5" max="5" width="16.453125" customWidth="1"/>
    <col min="6" max="6" width="16.54296875" customWidth="1"/>
    <col min="7" max="7" width="17.54296875" customWidth="1"/>
    <col min="8" max="8" width="16.54296875" customWidth="1"/>
    <col min="9" max="9" width="12.26953125" customWidth="1"/>
    <col min="10" max="10" width="32.81640625" customWidth="1"/>
    <col min="11" max="11" width="16.26953125" customWidth="1"/>
    <col min="12" max="26" width="11.54296875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>
        <v>31.76</v>
      </c>
      <c r="F2" s="3">
        <v>45064</v>
      </c>
      <c r="G2" s="3">
        <v>45199</v>
      </c>
      <c r="H2" s="2">
        <v>135</v>
      </c>
      <c r="I2" s="2">
        <v>4887210098</v>
      </c>
      <c r="J2" s="2" t="s">
        <v>15</v>
      </c>
      <c r="K2" s="2" t="s">
        <v>16</v>
      </c>
    </row>
    <row r="3" spans="1:11" ht="14.25" customHeight="1" x14ac:dyDescent="0.35">
      <c r="A3" s="2" t="s">
        <v>17</v>
      </c>
      <c r="B3" s="2" t="s">
        <v>18</v>
      </c>
      <c r="C3" s="2" t="s">
        <v>19</v>
      </c>
      <c r="D3" s="2" t="s">
        <v>20</v>
      </c>
      <c r="F3" s="3">
        <v>45118</v>
      </c>
      <c r="G3" s="3">
        <v>45288</v>
      </c>
      <c r="H3" s="2">
        <v>170</v>
      </c>
      <c r="I3" s="2">
        <v>2534374084</v>
      </c>
      <c r="J3" s="2" t="s">
        <v>21</v>
      </c>
      <c r="K3" s="2" t="s">
        <v>22</v>
      </c>
    </row>
    <row r="4" spans="1:11" ht="14.25" customHeight="1" x14ac:dyDescent="0.35">
      <c r="A4" s="2" t="s">
        <v>23</v>
      </c>
      <c r="B4" s="2" t="s">
        <v>12</v>
      </c>
      <c r="C4" s="2" t="s">
        <v>24</v>
      </c>
      <c r="D4" s="2" t="s">
        <v>25</v>
      </c>
      <c r="E4" s="2">
        <v>46.32</v>
      </c>
      <c r="F4" s="3">
        <v>45017</v>
      </c>
      <c r="G4" s="3">
        <v>45162</v>
      </c>
      <c r="H4" s="2">
        <v>145</v>
      </c>
      <c r="I4" s="2">
        <v>718301152</v>
      </c>
      <c r="J4" s="2" t="s">
        <v>26</v>
      </c>
      <c r="K4" s="2" t="s">
        <v>22</v>
      </c>
    </row>
    <row r="5" spans="1:11" ht="14.25" customHeight="1" x14ac:dyDescent="0.35">
      <c r="A5" s="2" t="s">
        <v>27</v>
      </c>
      <c r="B5" s="2" t="s">
        <v>12</v>
      </c>
      <c r="C5" s="2" t="s">
        <v>19</v>
      </c>
      <c r="D5" s="2" t="s">
        <v>28</v>
      </c>
      <c r="E5" s="2">
        <v>20.81</v>
      </c>
      <c r="F5" s="3">
        <v>45263</v>
      </c>
      <c r="G5" s="3">
        <v>45413</v>
      </c>
      <c r="H5" s="2">
        <v>150</v>
      </c>
      <c r="I5" s="2">
        <v>1402997498</v>
      </c>
      <c r="J5" s="2" t="s">
        <v>21</v>
      </c>
      <c r="K5" s="2" t="s">
        <v>16</v>
      </c>
    </row>
    <row r="6" spans="1:11" ht="14.25" customHeight="1" x14ac:dyDescent="0.35">
      <c r="A6" s="2" t="s">
        <v>29</v>
      </c>
      <c r="B6" s="2" t="s">
        <v>30</v>
      </c>
      <c r="C6" s="2" t="s">
        <v>31</v>
      </c>
      <c r="D6" s="2" t="s">
        <v>32</v>
      </c>
      <c r="F6" s="3">
        <v>45063</v>
      </c>
      <c r="G6" s="3">
        <v>45233</v>
      </c>
      <c r="H6" s="2">
        <v>170</v>
      </c>
      <c r="I6" s="2">
        <v>973230661</v>
      </c>
      <c r="J6" s="2" t="s">
        <v>33</v>
      </c>
      <c r="K6" s="2" t="s">
        <v>22</v>
      </c>
    </row>
    <row r="7" spans="1:11" ht="14.25" customHeight="1" x14ac:dyDescent="0.35">
      <c r="A7" s="2" t="s">
        <v>34</v>
      </c>
      <c r="B7" s="2" t="s">
        <v>35</v>
      </c>
      <c r="C7" s="2" t="s">
        <v>36</v>
      </c>
      <c r="D7" s="2" t="s">
        <v>37</v>
      </c>
      <c r="E7" s="2">
        <v>1.34</v>
      </c>
      <c r="F7" s="3">
        <v>44927</v>
      </c>
      <c r="G7" s="3">
        <v>44994</v>
      </c>
      <c r="H7" s="2">
        <v>67</v>
      </c>
      <c r="I7" s="2">
        <v>567100601</v>
      </c>
      <c r="J7" s="2" t="s">
        <v>15</v>
      </c>
      <c r="K7" s="2" t="s">
        <v>22</v>
      </c>
    </row>
    <row r="8" spans="1:11" ht="14.25" customHeight="1" x14ac:dyDescent="0.35">
      <c r="A8" s="2" t="s">
        <v>38</v>
      </c>
      <c r="B8" s="2" t="s">
        <v>30</v>
      </c>
      <c r="C8" s="2" t="s">
        <v>39</v>
      </c>
      <c r="D8" s="2" t="s">
        <v>40</v>
      </c>
      <c r="F8" s="3">
        <v>45035</v>
      </c>
      <c r="G8" s="3">
        <v>45339</v>
      </c>
      <c r="H8" s="2">
        <v>304</v>
      </c>
      <c r="I8" s="2">
        <v>4695148263</v>
      </c>
      <c r="K8" s="2" t="s">
        <v>22</v>
      </c>
    </row>
    <row r="9" spans="1:11" ht="14.25" customHeight="1" x14ac:dyDescent="0.35">
      <c r="A9" s="2" t="s">
        <v>41</v>
      </c>
      <c r="B9" s="2" t="s">
        <v>30</v>
      </c>
      <c r="C9" s="2" t="s">
        <v>42</v>
      </c>
      <c r="D9" s="2" t="s">
        <v>43</v>
      </c>
      <c r="F9" s="3">
        <v>44989</v>
      </c>
      <c r="G9" s="3">
        <v>45301</v>
      </c>
      <c r="H9" s="2">
        <v>312</v>
      </c>
      <c r="I9" s="2">
        <v>1359388722</v>
      </c>
      <c r="J9" s="2" t="s">
        <v>44</v>
      </c>
      <c r="K9" s="2" t="s">
        <v>22</v>
      </c>
    </row>
    <row r="10" spans="1:11" ht="14.25" customHeight="1" x14ac:dyDescent="0.35">
      <c r="A10" s="2" t="s">
        <v>45</v>
      </c>
      <c r="B10" s="2" t="s">
        <v>12</v>
      </c>
      <c r="C10" s="2" t="s">
        <v>36</v>
      </c>
      <c r="D10" s="2" t="s">
        <v>46</v>
      </c>
      <c r="E10" s="2">
        <v>37.14</v>
      </c>
      <c r="F10" s="3">
        <v>44948</v>
      </c>
      <c r="G10" s="3">
        <v>45054</v>
      </c>
      <c r="H10" s="2">
        <v>106</v>
      </c>
      <c r="I10" s="2">
        <v>4866835678</v>
      </c>
      <c r="J10" s="2" t="s">
        <v>26</v>
      </c>
      <c r="K10" s="2" t="s">
        <v>22</v>
      </c>
    </row>
    <row r="11" spans="1:11" ht="14.25" customHeight="1" x14ac:dyDescent="0.35">
      <c r="A11" s="2" t="s">
        <v>47</v>
      </c>
      <c r="B11" s="2" t="s">
        <v>35</v>
      </c>
      <c r="C11" s="2" t="s">
        <v>48</v>
      </c>
      <c r="D11" s="2" t="s">
        <v>49</v>
      </c>
      <c r="E11" s="2">
        <v>1.17</v>
      </c>
      <c r="F11" s="3">
        <v>45036</v>
      </c>
      <c r="G11" s="3">
        <v>45119</v>
      </c>
      <c r="H11" s="2">
        <v>83</v>
      </c>
      <c r="I11" s="2">
        <v>2094613916</v>
      </c>
      <c r="J11" s="2" t="s">
        <v>50</v>
      </c>
      <c r="K11" s="2" t="s">
        <v>16</v>
      </c>
    </row>
    <row r="12" spans="1:11" ht="14.25" customHeight="1" x14ac:dyDescent="0.35">
      <c r="A12" s="2" t="s">
        <v>51</v>
      </c>
      <c r="B12" s="2" t="s">
        <v>12</v>
      </c>
      <c r="C12" s="2" t="s">
        <v>24</v>
      </c>
      <c r="D12" s="2" t="s">
        <v>25</v>
      </c>
      <c r="E12" s="2">
        <v>24.95</v>
      </c>
      <c r="F12" s="3">
        <v>45226</v>
      </c>
      <c r="G12" s="3">
        <v>45403</v>
      </c>
      <c r="H12" s="2">
        <v>177</v>
      </c>
      <c r="I12" s="2">
        <v>4695488551</v>
      </c>
      <c r="J12" s="2" t="s">
        <v>21</v>
      </c>
      <c r="K12" s="2" t="s">
        <v>22</v>
      </c>
    </row>
    <row r="13" spans="1:11" ht="14.25" customHeight="1" x14ac:dyDescent="0.35">
      <c r="A13" s="2" t="s">
        <v>52</v>
      </c>
      <c r="B13" s="2" t="s">
        <v>18</v>
      </c>
      <c r="C13" s="2" t="s">
        <v>39</v>
      </c>
      <c r="D13" s="2" t="s">
        <v>53</v>
      </c>
      <c r="F13" s="3">
        <v>45320</v>
      </c>
      <c r="G13" s="3">
        <v>45161</v>
      </c>
      <c r="H13" s="2">
        <v>-159</v>
      </c>
      <c r="I13" s="2">
        <v>1108345388</v>
      </c>
      <c r="J13" s="2" t="s">
        <v>44</v>
      </c>
      <c r="K13" s="2" t="s">
        <v>16</v>
      </c>
    </row>
    <row r="14" spans="1:11" ht="14.25" customHeight="1" x14ac:dyDescent="0.35">
      <c r="A14" s="2" t="s">
        <v>54</v>
      </c>
      <c r="B14" s="2" t="s">
        <v>35</v>
      </c>
      <c r="C14" s="2" t="s">
        <v>36</v>
      </c>
      <c r="D14" s="2" t="s">
        <v>37</v>
      </c>
      <c r="E14" s="2">
        <v>3.51</v>
      </c>
      <c r="F14" s="3">
        <v>45338</v>
      </c>
      <c r="G14" s="3">
        <v>45128</v>
      </c>
      <c r="H14" s="2">
        <v>-210</v>
      </c>
      <c r="I14" s="2">
        <v>4343883992</v>
      </c>
      <c r="J14" s="2" t="s">
        <v>21</v>
      </c>
      <c r="K14" s="2" t="s">
        <v>16</v>
      </c>
    </row>
    <row r="15" spans="1:11" ht="14.25" customHeight="1" x14ac:dyDescent="0.35">
      <c r="A15" s="2" t="s">
        <v>55</v>
      </c>
      <c r="B15" s="2" t="s">
        <v>30</v>
      </c>
      <c r="C15" s="2" t="s">
        <v>13</v>
      </c>
      <c r="D15" s="2" t="s">
        <v>56</v>
      </c>
      <c r="F15" s="3">
        <v>45249</v>
      </c>
      <c r="G15" s="3">
        <v>45590</v>
      </c>
      <c r="H15" s="2">
        <v>341</v>
      </c>
      <c r="I15" s="2">
        <v>3933046847</v>
      </c>
      <c r="J15" s="2" t="s">
        <v>21</v>
      </c>
      <c r="K15" s="2" t="s">
        <v>22</v>
      </c>
    </row>
    <row r="16" spans="1:11" ht="14.25" customHeight="1" x14ac:dyDescent="0.35">
      <c r="A16" s="2" t="s">
        <v>57</v>
      </c>
      <c r="B16" s="2" t="s">
        <v>30</v>
      </c>
      <c r="C16" s="2" t="s">
        <v>19</v>
      </c>
      <c r="D16" s="2" t="s">
        <v>58</v>
      </c>
      <c r="F16" s="3">
        <v>45179</v>
      </c>
      <c r="G16" s="3">
        <v>45400</v>
      </c>
      <c r="H16" s="2">
        <v>221</v>
      </c>
      <c r="I16" s="2">
        <v>3381767421</v>
      </c>
      <c r="J16" s="2" t="s">
        <v>44</v>
      </c>
      <c r="K16" s="2" t="s">
        <v>22</v>
      </c>
    </row>
    <row r="17" spans="1:11" ht="14.25" customHeight="1" x14ac:dyDescent="0.35">
      <c r="A17" s="2" t="s">
        <v>59</v>
      </c>
      <c r="B17" s="2" t="s">
        <v>60</v>
      </c>
      <c r="C17" s="2" t="s">
        <v>36</v>
      </c>
      <c r="D17" s="2" t="s">
        <v>61</v>
      </c>
      <c r="F17" s="3">
        <v>45128</v>
      </c>
      <c r="G17" s="3">
        <v>45204</v>
      </c>
      <c r="H17" s="2">
        <v>76</v>
      </c>
      <c r="I17" s="2">
        <v>4180846335</v>
      </c>
      <c r="J17" s="2" t="s">
        <v>33</v>
      </c>
      <c r="K17" s="2" t="s">
        <v>16</v>
      </c>
    </row>
    <row r="18" spans="1:11" ht="14.25" customHeight="1" x14ac:dyDescent="0.35">
      <c r="A18" s="2" t="s">
        <v>62</v>
      </c>
      <c r="B18" s="2" t="s">
        <v>12</v>
      </c>
      <c r="C18" s="2" t="s">
        <v>42</v>
      </c>
      <c r="D18" s="2" t="s">
        <v>63</v>
      </c>
      <c r="E18" s="2">
        <v>35.31</v>
      </c>
      <c r="F18" s="3">
        <v>44938</v>
      </c>
      <c r="G18" s="3">
        <v>44985</v>
      </c>
      <c r="H18" s="2">
        <v>47</v>
      </c>
      <c r="I18" s="2">
        <v>2760864114</v>
      </c>
      <c r="K18" s="2" t="s">
        <v>16</v>
      </c>
    </row>
    <row r="19" spans="1:11" ht="14.25" customHeight="1" x14ac:dyDescent="0.35">
      <c r="A19" s="2" t="s">
        <v>64</v>
      </c>
      <c r="B19" s="2" t="s">
        <v>12</v>
      </c>
      <c r="C19" s="2" t="s">
        <v>24</v>
      </c>
      <c r="D19" s="2" t="s">
        <v>25</v>
      </c>
      <c r="E19" s="2">
        <v>13.12</v>
      </c>
      <c r="F19" s="3">
        <v>44969</v>
      </c>
      <c r="G19" s="3">
        <v>45123</v>
      </c>
      <c r="H19" s="2">
        <v>154</v>
      </c>
      <c r="I19" s="2">
        <v>2176989260</v>
      </c>
      <c r="J19" s="2" t="s">
        <v>33</v>
      </c>
      <c r="K19" s="2" t="s">
        <v>16</v>
      </c>
    </row>
    <row r="20" spans="1:11" ht="14.25" customHeight="1" x14ac:dyDescent="0.35">
      <c r="A20" s="2" t="s">
        <v>65</v>
      </c>
      <c r="B20" s="2" t="s">
        <v>60</v>
      </c>
      <c r="C20" s="2" t="s">
        <v>48</v>
      </c>
      <c r="D20" s="2" t="s">
        <v>66</v>
      </c>
      <c r="F20" s="3">
        <v>44967</v>
      </c>
      <c r="G20" s="3">
        <v>45260</v>
      </c>
      <c r="H20" s="2">
        <v>293</v>
      </c>
      <c r="I20" s="2">
        <v>4508289840</v>
      </c>
      <c r="J20" s="2" t="s">
        <v>67</v>
      </c>
      <c r="K20" s="2" t="s">
        <v>22</v>
      </c>
    </row>
    <row r="21" spans="1:11" ht="14.25" customHeight="1" x14ac:dyDescent="0.35">
      <c r="A21" s="2" t="s">
        <v>68</v>
      </c>
      <c r="B21" s="2" t="s">
        <v>35</v>
      </c>
      <c r="C21" s="2" t="s">
        <v>42</v>
      </c>
      <c r="D21" s="2" t="s">
        <v>69</v>
      </c>
      <c r="E21" s="2">
        <v>3.69</v>
      </c>
      <c r="F21" s="3">
        <v>44936</v>
      </c>
      <c r="G21" s="3">
        <v>45295</v>
      </c>
      <c r="H21" s="2">
        <v>359</v>
      </c>
      <c r="I21" s="2">
        <v>811513657</v>
      </c>
      <c r="J21" s="2" t="s">
        <v>21</v>
      </c>
      <c r="K21" s="2" t="s">
        <v>16</v>
      </c>
    </row>
    <row r="22" spans="1:11" ht="14.25" customHeight="1" x14ac:dyDescent="0.35">
      <c r="A22" s="2" t="s">
        <v>70</v>
      </c>
      <c r="B22" s="2" t="s">
        <v>18</v>
      </c>
      <c r="C22" s="2" t="s">
        <v>36</v>
      </c>
      <c r="D22" s="2" t="s">
        <v>71</v>
      </c>
      <c r="F22" s="3">
        <v>45129</v>
      </c>
      <c r="G22" s="3">
        <v>45264</v>
      </c>
      <c r="H22" s="2">
        <v>135</v>
      </c>
      <c r="I22" s="2">
        <v>832981859</v>
      </c>
      <c r="J22" s="2" t="s">
        <v>44</v>
      </c>
      <c r="K22" s="2" t="s">
        <v>22</v>
      </c>
    </row>
    <row r="23" spans="1:11" ht="14.25" customHeight="1" x14ac:dyDescent="0.35">
      <c r="A23" s="2" t="s">
        <v>72</v>
      </c>
      <c r="B23" s="2" t="s">
        <v>18</v>
      </c>
      <c r="C23" s="2" t="s">
        <v>39</v>
      </c>
      <c r="D23" s="2" t="s">
        <v>53</v>
      </c>
      <c r="F23" s="3">
        <v>45074</v>
      </c>
      <c r="G23" s="3">
        <v>45326</v>
      </c>
      <c r="H23" s="2">
        <v>252</v>
      </c>
      <c r="I23" s="2">
        <v>3757105268</v>
      </c>
      <c r="K23" s="2" t="s">
        <v>16</v>
      </c>
    </row>
    <row r="24" spans="1:11" ht="14.25" customHeight="1" x14ac:dyDescent="0.35">
      <c r="A24" s="2" t="s">
        <v>73</v>
      </c>
      <c r="B24" s="2" t="s">
        <v>18</v>
      </c>
      <c r="C24" s="2" t="s">
        <v>31</v>
      </c>
      <c r="D24" s="2" t="s">
        <v>74</v>
      </c>
      <c r="F24" s="3">
        <v>45128</v>
      </c>
      <c r="G24" s="3">
        <v>45275</v>
      </c>
      <c r="H24" s="2">
        <v>147</v>
      </c>
      <c r="I24" s="2">
        <v>4790525232</v>
      </c>
      <c r="J24" s="2" t="s">
        <v>44</v>
      </c>
      <c r="K24" s="2" t="s">
        <v>16</v>
      </c>
    </row>
    <row r="25" spans="1:11" ht="14.25" customHeight="1" x14ac:dyDescent="0.35">
      <c r="A25" s="2" t="s">
        <v>75</v>
      </c>
      <c r="B25" s="2" t="s">
        <v>35</v>
      </c>
      <c r="C25" s="2" t="s">
        <v>42</v>
      </c>
      <c r="D25" s="2" t="s">
        <v>69</v>
      </c>
      <c r="E25" s="2">
        <v>1.7</v>
      </c>
      <c r="F25" s="3">
        <v>45041</v>
      </c>
      <c r="G25" s="3">
        <v>45102</v>
      </c>
      <c r="H25" s="2">
        <v>61</v>
      </c>
      <c r="I25" s="2">
        <v>1383396199</v>
      </c>
      <c r="J25" s="2" t="s">
        <v>67</v>
      </c>
      <c r="K25" s="2" t="s">
        <v>16</v>
      </c>
    </row>
    <row r="26" spans="1:11" ht="14.25" customHeight="1" x14ac:dyDescent="0.35">
      <c r="A26" s="2" t="s">
        <v>76</v>
      </c>
      <c r="B26" s="2" t="s">
        <v>30</v>
      </c>
      <c r="C26" s="2" t="s">
        <v>42</v>
      </c>
      <c r="D26" s="2" t="s">
        <v>43</v>
      </c>
      <c r="F26" s="3">
        <v>44974</v>
      </c>
      <c r="G26" s="3">
        <v>45082</v>
      </c>
      <c r="H26" s="2">
        <v>108</v>
      </c>
      <c r="I26" s="2">
        <v>2462450365</v>
      </c>
      <c r="J26" s="2" t="s">
        <v>26</v>
      </c>
      <c r="K26" s="2" t="s">
        <v>16</v>
      </c>
    </row>
    <row r="27" spans="1:11" ht="14.25" customHeight="1" x14ac:dyDescent="0.35">
      <c r="A27" s="2" t="s">
        <v>77</v>
      </c>
      <c r="B27" s="2" t="s">
        <v>35</v>
      </c>
      <c r="C27" s="2" t="s">
        <v>13</v>
      </c>
      <c r="D27" s="2" t="s">
        <v>78</v>
      </c>
      <c r="E27" s="2">
        <v>1.83</v>
      </c>
      <c r="F27" s="3">
        <v>45271</v>
      </c>
      <c r="G27" s="3">
        <v>45311</v>
      </c>
      <c r="H27" s="2">
        <v>40</v>
      </c>
      <c r="I27" s="2">
        <v>1414817147</v>
      </c>
      <c r="J27" s="2" t="s">
        <v>44</v>
      </c>
      <c r="K27" s="2" t="s">
        <v>16</v>
      </c>
    </row>
    <row r="28" spans="1:11" ht="14.25" customHeight="1" x14ac:dyDescent="0.35">
      <c r="A28" s="2" t="s">
        <v>79</v>
      </c>
      <c r="B28" s="2" t="s">
        <v>60</v>
      </c>
      <c r="C28" s="2" t="s">
        <v>24</v>
      </c>
      <c r="D28" s="2" t="s">
        <v>80</v>
      </c>
      <c r="F28" s="3">
        <v>45160</v>
      </c>
      <c r="G28" s="3">
        <v>45415</v>
      </c>
      <c r="H28" s="2">
        <v>255</v>
      </c>
      <c r="I28" s="2">
        <v>4665481372</v>
      </c>
      <c r="K28" s="2" t="s">
        <v>22</v>
      </c>
    </row>
    <row r="29" spans="1:11" ht="14.25" customHeight="1" x14ac:dyDescent="0.35">
      <c r="A29" s="2" t="s">
        <v>81</v>
      </c>
      <c r="B29" s="2" t="s">
        <v>30</v>
      </c>
      <c r="C29" s="2" t="s">
        <v>39</v>
      </c>
      <c r="D29" s="2" t="s">
        <v>40</v>
      </c>
      <c r="F29" s="3">
        <v>44945</v>
      </c>
      <c r="G29" s="3">
        <v>45037</v>
      </c>
      <c r="H29" s="2">
        <v>92</v>
      </c>
      <c r="I29" s="2">
        <v>3016693972</v>
      </c>
      <c r="J29" s="2" t="s">
        <v>26</v>
      </c>
      <c r="K29" s="2" t="s">
        <v>16</v>
      </c>
    </row>
    <row r="30" spans="1:11" ht="14.25" customHeight="1" x14ac:dyDescent="0.35">
      <c r="A30" s="2" t="s">
        <v>82</v>
      </c>
      <c r="B30" s="2" t="s">
        <v>12</v>
      </c>
      <c r="C30" s="2" t="s">
        <v>31</v>
      </c>
      <c r="D30" s="2" t="s">
        <v>83</v>
      </c>
      <c r="E30" s="2">
        <v>40.5</v>
      </c>
      <c r="F30" s="3">
        <v>45033</v>
      </c>
      <c r="G30" s="3">
        <v>45370</v>
      </c>
      <c r="H30" s="2">
        <v>337</v>
      </c>
      <c r="I30" s="2">
        <v>2187758490</v>
      </c>
      <c r="J30" s="2" t="s">
        <v>44</v>
      </c>
      <c r="K30" s="2" t="s">
        <v>22</v>
      </c>
    </row>
    <row r="31" spans="1:11" ht="14.25" customHeight="1" x14ac:dyDescent="0.35">
      <c r="A31" s="2" t="s">
        <v>84</v>
      </c>
      <c r="B31" s="2" t="s">
        <v>30</v>
      </c>
      <c r="C31" s="2" t="s">
        <v>24</v>
      </c>
      <c r="D31" s="2" t="s">
        <v>85</v>
      </c>
      <c r="F31" s="3">
        <v>45241</v>
      </c>
      <c r="G31" s="3">
        <v>45505</v>
      </c>
      <c r="H31" s="2">
        <v>264</v>
      </c>
      <c r="I31" s="2">
        <v>1240232201</v>
      </c>
      <c r="J31" s="2" t="s">
        <v>26</v>
      </c>
      <c r="K31" s="2" t="s">
        <v>16</v>
      </c>
    </row>
    <row r="32" spans="1:11" ht="14.25" customHeight="1" x14ac:dyDescent="0.35">
      <c r="A32" s="2" t="s">
        <v>86</v>
      </c>
      <c r="B32" s="2" t="s">
        <v>60</v>
      </c>
      <c r="C32" s="2" t="s">
        <v>19</v>
      </c>
      <c r="D32" s="2" t="s">
        <v>87</v>
      </c>
      <c r="F32" s="3">
        <v>45118</v>
      </c>
      <c r="G32" s="3">
        <v>45256</v>
      </c>
      <c r="H32" s="2">
        <v>138</v>
      </c>
      <c r="I32" s="2">
        <v>4866732289</v>
      </c>
      <c r="J32" s="2" t="s">
        <v>33</v>
      </c>
      <c r="K32" s="2" t="s">
        <v>22</v>
      </c>
    </row>
    <row r="33" spans="1:11" ht="14.25" customHeight="1" x14ac:dyDescent="0.35">
      <c r="A33" s="2" t="s">
        <v>88</v>
      </c>
      <c r="B33" s="2" t="s">
        <v>30</v>
      </c>
      <c r="C33" s="2" t="s">
        <v>31</v>
      </c>
      <c r="D33" s="2" t="s">
        <v>32</v>
      </c>
      <c r="F33" s="3">
        <v>44943</v>
      </c>
      <c r="G33" s="3">
        <v>45027</v>
      </c>
      <c r="H33" s="2">
        <v>84</v>
      </c>
      <c r="I33" s="2">
        <v>2228528699</v>
      </c>
      <c r="J33" s="2" t="s">
        <v>44</v>
      </c>
      <c r="K33" s="2" t="s">
        <v>16</v>
      </c>
    </row>
    <row r="34" spans="1:11" ht="14.25" customHeight="1" x14ac:dyDescent="0.35">
      <c r="A34" s="2" t="s">
        <v>89</v>
      </c>
      <c r="B34" s="2" t="s">
        <v>35</v>
      </c>
      <c r="C34" s="2" t="s">
        <v>36</v>
      </c>
      <c r="D34" s="2" t="s">
        <v>37</v>
      </c>
      <c r="E34" s="2">
        <v>1.89</v>
      </c>
      <c r="F34" s="3">
        <v>45036</v>
      </c>
      <c r="G34" s="3">
        <v>45313</v>
      </c>
      <c r="H34" s="2">
        <v>277</v>
      </c>
      <c r="I34" s="2">
        <v>2685215729</v>
      </c>
      <c r="K34" s="2" t="s">
        <v>16</v>
      </c>
    </row>
    <row r="35" spans="1:11" ht="14.25" customHeight="1" x14ac:dyDescent="0.35">
      <c r="A35" s="2" t="s">
        <v>90</v>
      </c>
      <c r="B35" s="2" t="s">
        <v>35</v>
      </c>
      <c r="C35" s="2" t="s">
        <v>31</v>
      </c>
      <c r="D35" s="2" t="s">
        <v>91</v>
      </c>
      <c r="E35" s="2">
        <v>1.49</v>
      </c>
      <c r="F35" s="3">
        <v>45076</v>
      </c>
      <c r="G35" s="3">
        <v>45355</v>
      </c>
      <c r="H35" s="2">
        <v>279</v>
      </c>
      <c r="I35" s="2">
        <v>1491624045</v>
      </c>
      <c r="J35" s="2" t="s">
        <v>26</v>
      </c>
      <c r="K35" s="2" t="s">
        <v>22</v>
      </c>
    </row>
    <row r="36" spans="1:11" ht="14.25" customHeight="1" x14ac:dyDescent="0.35">
      <c r="A36" s="2" t="s">
        <v>92</v>
      </c>
      <c r="B36" s="2" t="s">
        <v>30</v>
      </c>
      <c r="C36" s="2" t="s">
        <v>36</v>
      </c>
      <c r="D36" s="2" t="s">
        <v>93</v>
      </c>
      <c r="F36" s="3">
        <v>45240</v>
      </c>
      <c r="G36" s="3">
        <v>44995</v>
      </c>
      <c r="H36" s="2">
        <v>-245</v>
      </c>
      <c r="I36" s="2">
        <v>2006686424</v>
      </c>
      <c r="J36" s="2" t="s">
        <v>50</v>
      </c>
      <c r="K36" s="2" t="s">
        <v>16</v>
      </c>
    </row>
    <row r="37" spans="1:11" ht="14.25" customHeight="1" x14ac:dyDescent="0.35">
      <c r="A37" s="2" t="s">
        <v>94</v>
      </c>
      <c r="B37" s="2" t="s">
        <v>18</v>
      </c>
      <c r="C37" s="2" t="s">
        <v>24</v>
      </c>
      <c r="D37" s="2" t="s">
        <v>95</v>
      </c>
      <c r="F37" s="3">
        <v>45208</v>
      </c>
      <c r="G37" s="3">
        <v>45388</v>
      </c>
      <c r="H37" s="2">
        <v>180</v>
      </c>
      <c r="I37" s="2">
        <v>3436590647</v>
      </c>
      <c r="J37" s="2" t="s">
        <v>21</v>
      </c>
      <c r="K37" s="2" t="s">
        <v>22</v>
      </c>
    </row>
    <row r="38" spans="1:11" ht="14.25" customHeight="1" x14ac:dyDescent="0.35">
      <c r="A38" s="2" t="s">
        <v>96</v>
      </c>
      <c r="B38" s="2" t="s">
        <v>35</v>
      </c>
      <c r="C38" s="2" t="s">
        <v>19</v>
      </c>
      <c r="D38" s="2" t="s">
        <v>97</v>
      </c>
      <c r="E38" s="2">
        <v>1.38</v>
      </c>
      <c r="F38" s="3">
        <v>45223</v>
      </c>
      <c r="G38" s="3">
        <v>45586</v>
      </c>
      <c r="H38" s="2">
        <v>363</v>
      </c>
      <c r="I38" s="2">
        <v>3888778874</v>
      </c>
      <c r="K38" s="2" t="s">
        <v>16</v>
      </c>
    </row>
    <row r="39" spans="1:11" ht="14.25" customHeight="1" x14ac:dyDescent="0.35">
      <c r="A39" s="2" t="s">
        <v>98</v>
      </c>
      <c r="B39" s="2" t="s">
        <v>18</v>
      </c>
      <c r="C39" s="2" t="s">
        <v>36</v>
      </c>
      <c r="D39" s="2" t="s">
        <v>71</v>
      </c>
      <c r="F39" s="3">
        <v>45072</v>
      </c>
      <c r="G39" s="3">
        <v>45108</v>
      </c>
      <c r="H39" s="2">
        <v>36</v>
      </c>
      <c r="I39" s="2">
        <v>1394109768</v>
      </c>
      <c r="J39" s="2" t="s">
        <v>67</v>
      </c>
      <c r="K39" s="2" t="s">
        <v>22</v>
      </c>
    </row>
    <row r="40" spans="1:11" ht="14.25" customHeight="1" x14ac:dyDescent="0.35">
      <c r="A40" s="2" t="s">
        <v>99</v>
      </c>
      <c r="B40" s="2" t="s">
        <v>35</v>
      </c>
      <c r="C40" s="2" t="s">
        <v>42</v>
      </c>
      <c r="D40" s="2" t="s">
        <v>69</v>
      </c>
      <c r="E40" s="2">
        <v>0.23</v>
      </c>
      <c r="F40" s="3">
        <v>44932</v>
      </c>
      <c r="G40" s="3">
        <v>45108</v>
      </c>
      <c r="H40" s="2">
        <v>176</v>
      </c>
      <c r="I40" s="2">
        <v>1785906562</v>
      </c>
      <c r="J40" s="2" t="s">
        <v>44</v>
      </c>
      <c r="K40" s="2" t="s">
        <v>16</v>
      </c>
    </row>
    <row r="41" spans="1:11" ht="14.25" customHeight="1" x14ac:dyDescent="0.35">
      <c r="A41" s="2" t="s">
        <v>100</v>
      </c>
      <c r="B41" s="2" t="s">
        <v>30</v>
      </c>
      <c r="C41" s="2" t="s">
        <v>48</v>
      </c>
      <c r="D41" s="2" t="s">
        <v>101</v>
      </c>
      <c r="F41" s="3">
        <v>45248</v>
      </c>
      <c r="G41" s="3">
        <v>45605</v>
      </c>
      <c r="H41" s="2">
        <v>357</v>
      </c>
      <c r="I41" s="2">
        <v>1397308023</v>
      </c>
      <c r="J41" s="2" t="s">
        <v>50</v>
      </c>
      <c r="K41" s="2" t="s">
        <v>22</v>
      </c>
    </row>
    <row r="42" spans="1:11" ht="14.25" customHeight="1" x14ac:dyDescent="0.35">
      <c r="A42" s="2" t="s">
        <v>102</v>
      </c>
      <c r="B42" s="2" t="s">
        <v>30</v>
      </c>
      <c r="C42" s="2" t="s">
        <v>36</v>
      </c>
      <c r="D42" s="2" t="s">
        <v>93</v>
      </c>
      <c r="F42" s="3">
        <v>45203</v>
      </c>
      <c r="G42" s="3">
        <v>45407</v>
      </c>
      <c r="H42" s="2">
        <v>204</v>
      </c>
      <c r="I42" s="2">
        <v>3049229310</v>
      </c>
      <c r="J42" s="2" t="s">
        <v>44</v>
      </c>
      <c r="K42" s="2" t="s">
        <v>22</v>
      </c>
    </row>
    <row r="43" spans="1:11" ht="14.25" customHeight="1" x14ac:dyDescent="0.35">
      <c r="A43" s="2" t="s">
        <v>103</v>
      </c>
      <c r="B43" s="2" t="s">
        <v>60</v>
      </c>
      <c r="C43" s="2" t="s">
        <v>36</v>
      </c>
      <c r="D43" s="2" t="s">
        <v>61</v>
      </c>
      <c r="F43" s="3">
        <v>44976</v>
      </c>
      <c r="G43" s="3">
        <v>45307</v>
      </c>
      <c r="H43" s="2">
        <v>331</v>
      </c>
      <c r="I43" s="2">
        <v>1256237673</v>
      </c>
      <c r="J43" s="2" t="s">
        <v>33</v>
      </c>
      <c r="K43" s="2" t="s">
        <v>22</v>
      </c>
    </row>
    <row r="44" spans="1:11" ht="14.25" customHeight="1" x14ac:dyDescent="0.35">
      <c r="A44" s="2" t="s">
        <v>104</v>
      </c>
      <c r="B44" s="2" t="s">
        <v>12</v>
      </c>
      <c r="C44" s="2" t="s">
        <v>36</v>
      </c>
      <c r="D44" s="2" t="s">
        <v>46</v>
      </c>
      <c r="E44" s="2">
        <v>34.53</v>
      </c>
      <c r="F44" s="3">
        <v>45052</v>
      </c>
      <c r="G44" s="3">
        <v>45087</v>
      </c>
      <c r="H44" s="2">
        <v>35</v>
      </c>
      <c r="I44" s="2">
        <v>4746340156</v>
      </c>
      <c r="J44" s="2" t="s">
        <v>33</v>
      </c>
      <c r="K44" s="2" t="s">
        <v>16</v>
      </c>
    </row>
    <row r="45" spans="1:11" ht="14.25" customHeight="1" x14ac:dyDescent="0.35">
      <c r="A45" s="2" t="s">
        <v>105</v>
      </c>
      <c r="B45" s="2" t="s">
        <v>18</v>
      </c>
      <c r="C45" s="2" t="s">
        <v>36</v>
      </c>
      <c r="D45" s="2" t="s">
        <v>71</v>
      </c>
      <c r="F45" s="3">
        <v>45140</v>
      </c>
      <c r="G45" s="3">
        <v>45090</v>
      </c>
      <c r="H45" s="2">
        <v>-50</v>
      </c>
      <c r="I45" s="2">
        <v>2769836383</v>
      </c>
      <c r="J45" s="2" t="s">
        <v>50</v>
      </c>
      <c r="K45" s="2" t="s">
        <v>22</v>
      </c>
    </row>
    <row r="46" spans="1:11" ht="14.25" customHeight="1" x14ac:dyDescent="0.35">
      <c r="A46" s="2" t="s">
        <v>106</v>
      </c>
      <c r="B46" s="2" t="s">
        <v>30</v>
      </c>
      <c r="C46" s="2" t="s">
        <v>13</v>
      </c>
      <c r="D46" s="2" t="s">
        <v>56</v>
      </c>
      <c r="F46" s="3">
        <v>45115</v>
      </c>
      <c r="G46" s="3">
        <v>45145</v>
      </c>
      <c r="H46" s="2">
        <v>30</v>
      </c>
      <c r="I46" s="2">
        <v>711812604</v>
      </c>
      <c r="J46" s="2" t="s">
        <v>33</v>
      </c>
      <c r="K46" s="2" t="s">
        <v>22</v>
      </c>
    </row>
    <row r="47" spans="1:11" ht="14.25" customHeight="1" x14ac:dyDescent="0.35">
      <c r="A47" s="2" t="s">
        <v>107</v>
      </c>
      <c r="B47" s="2" t="s">
        <v>30</v>
      </c>
      <c r="C47" s="2" t="s">
        <v>39</v>
      </c>
      <c r="D47" s="2" t="s">
        <v>40</v>
      </c>
      <c r="F47" s="3">
        <v>44941</v>
      </c>
      <c r="G47" s="3">
        <v>45188</v>
      </c>
      <c r="H47" s="2">
        <v>247</v>
      </c>
      <c r="I47" s="2">
        <v>4495132510</v>
      </c>
      <c r="J47" s="2" t="s">
        <v>50</v>
      </c>
      <c r="K47" s="2" t="s">
        <v>22</v>
      </c>
    </row>
    <row r="48" spans="1:11" ht="14.25" customHeight="1" x14ac:dyDescent="0.35">
      <c r="A48" s="2" t="s">
        <v>108</v>
      </c>
      <c r="B48" s="2" t="s">
        <v>30</v>
      </c>
      <c r="C48" s="2" t="s">
        <v>31</v>
      </c>
      <c r="D48" s="2" t="s">
        <v>32</v>
      </c>
      <c r="F48" s="3">
        <v>45391</v>
      </c>
      <c r="G48" s="3">
        <v>45047</v>
      </c>
      <c r="H48" s="2">
        <v>-344</v>
      </c>
      <c r="I48" s="2">
        <v>1385499186</v>
      </c>
      <c r="J48" s="2" t="s">
        <v>26</v>
      </c>
      <c r="K48" s="2" t="s">
        <v>22</v>
      </c>
    </row>
    <row r="49" spans="1:11" ht="14.25" customHeight="1" x14ac:dyDescent="0.35">
      <c r="A49" s="2" t="s">
        <v>109</v>
      </c>
      <c r="B49" s="2" t="s">
        <v>35</v>
      </c>
      <c r="C49" s="2" t="s">
        <v>48</v>
      </c>
      <c r="D49" s="2" t="s">
        <v>49</v>
      </c>
      <c r="E49" s="2">
        <v>3.76</v>
      </c>
      <c r="F49" s="3">
        <v>45319</v>
      </c>
      <c r="G49" s="3">
        <v>45257</v>
      </c>
      <c r="H49" s="2">
        <v>-62</v>
      </c>
      <c r="I49" s="2">
        <v>1341653823</v>
      </c>
      <c r="J49" s="2" t="s">
        <v>44</v>
      </c>
      <c r="K49" s="2" t="s">
        <v>16</v>
      </c>
    </row>
    <row r="50" spans="1:11" ht="14.25" customHeight="1" x14ac:dyDescent="0.35">
      <c r="A50" s="2" t="s">
        <v>110</v>
      </c>
      <c r="B50" s="2" t="s">
        <v>60</v>
      </c>
      <c r="C50" s="2" t="s">
        <v>31</v>
      </c>
      <c r="D50" s="2" t="s">
        <v>111</v>
      </c>
      <c r="F50" s="3">
        <v>45159</v>
      </c>
      <c r="G50" s="3">
        <v>45378</v>
      </c>
      <c r="H50" s="2">
        <v>219</v>
      </c>
      <c r="I50" s="2">
        <v>3047568779</v>
      </c>
      <c r="J50" s="2" t="s">
        <v>50</v>
      </c>
      <c r="K50" s="2" t="s">
        <v>22</v>
      </c>
    </row>
    <row r="51" spans="1:11" ht="14.25" customHeight="1" x14ac:dyDescent="0.35">
      <c r="A51" s="2" t="s">
        <v>112</v>
      </c>
      <c r="B51" s="2" t="s">
        <v>18</v>
      </c>
      <c r="C51" s="2" t="s">
        <v>24</v>
      </c>
      <c r="D51" s="2" t="s">
        <v>95</v>
      </c>
      <c r="F51" s="3">
        <v>45155</v>
      </c>
      <c r="G51" s="3">
        <v>45382</v>
      </c>
      <c r="H51" s="2">
        <v>227</v>
      </c>
      <c r="I51" s="2">
        <v>3138461999</v>
      </c>
      <c r="J51" s="2" t="s">
        <v>50</v>
      </c>
      <c r="K51" s="2" t="s">
        <v>22</v>
      </c>
    </row>
    <row r="52" spans="1:11" ht="14.25" customHeight="1" x14ac:dyDescent="0.35">
      <c r="A52" s="2" t="s">
        <v>113</v>
      </c>
      <c r="B52" s="2" t="s">
        <v>30</v>
      </c>
      <c r="C52" s="2" t="s">
        <v>42</v>
      </c>
      <c r="D52" s="2" t="s">
        <v>43</v>
      </c>
      <c r="F52" s="3">
        <v>44982</v>
      </c>
      <c r="G52" s="3">
        <v>45181</v>
      </c>
      <c r="H52" s="2">
        <v>199</v>
      </c>
      <c r="I52" s="2">
        <v>4864871386</v>
      </c>
      <c r="J52" s="2" t="s">
        <v>33</v>
      </c>
      <c r="K52" s="2" t="s">
        <v>22</v>
      </c>
    </row>
    <row r="53" spans="1:11" ht="14.25" customHeight="1" x14ac:dyDescent="0.35">
      <c r="A53" s="2" t="s">
        <v>114</v>
      </c>
      <c r="B53" s="2" t="s">
        <v>30</v>
      </c>
      <c r="C53" s="2" t="s">
        <v>48</v>
      </c>
      <c r="D53" s="2" t="s">
        <v>101</v>
      </c>
      <c r="F53" s="3">
        <v>45242</v>
      </c>
      <c r="G53" s="3">
        <v>45439</v>
      </c>
      <c r="H53" s="2">
        <v>197</v>
      </c>
      <c r="I53" s="2">
        <v>1651434882</v>
      </c>
      <c r="J53" s="2" t="s">
        <v>50</v>
      </c>
      <c r="K53" s="2" t="s">
        <v>16</v>
      </c>
    </row>
    <row r="54" spans="1:11" ht="14.25" customHeight="1" x14ac:dyDescent="0.35">
      <c r="A54" s="2" t="s">
        <v>115</v>
      </c>
      <c r="B54" s="2" t="s">
        <v>30</v>
      </c>
      <c r="C54" s="2" t="s">
        <v>36</v>
      </c>
      <c r="D54" s="2" t="s">
        <v>93</v>
      </c>
      <c r="F54" s="3">
        <v>45093</v>
      </c>
      <c r="G54" s="3">
        <v>45425</v>
      </c>
      <c r="H54" s="2">
        <v>332</v>
      </c>
      <c r="I54" s="2">
        <v>4096859172</v>
      </c>
      <c r="J54" s="2" t="s">
        <v>44</v>
      </c>
      <c r="K54" s="2" t="s">
        <v>16</v>
      </c>
    </row>
    <row r="55" spans="1:11" ht="14.25" customHeight="1" x14ac:dyDescent="0.35">
      <c r="A55" s="2" t="s">
        <v>116</v>
      </c>
      <c r="B55" s="2" t="s">
        <v>18</v>
      </c>
      <c r="C55" s="2" t="s">
        <v>31</v>
      </c>
      <c r="D55" s="2" t="s">
        <v>74</v>
      </c>
      <c r="F55" s="3">
        <v>45160</v>
      </c>
      <c r="G55" s="3">
        <v>45496</v>
      </c>
      <c r="H55" s="2">
        <v>336</v>
      </c>
      <c r="I55" s="2">
        <v>1121826743</v>
      </c>
      <c r="J55" s="2" t="s">
        <v>21</v>
      </c>
      <c r="K55" s="2" t="s">
        <v>22</v>
      </c>
    </row>
    <row r="56" spans="1:11" ht="14.25" customHeight="1" x14ac:dyDescent="0.35">
      <c r="A56" s="2" t="s">
        <v>117</v>
      </c>
      <c r="B56" s="2" t="s">
        <v>12</v>
      </c>
      <c r="C56" s="2" t="s">
        <v>19</v>
      </c>
      <c r="D56" s="2" t="s">
        <v>28</v>
      </c>
      <c r="E56" s="2">
        <v>33.4</v>
      </c>
      <c r="F56" s="3">
        <v>45069</v>
      </c>
      <c r="G56" s="3">
        <v>45337</v>
      </c>
      <c r="H56" s="2">
        <v>268</v>
      </c>
      <c r="I56" s="2">
        <v>1602168167</v>
      </c>
      <c r="J56" s="2" t="s">
        <v>44</v>
      </c>
      <c r="K56" s="2" t="s">
        <v>16</v>
      </c>
    </row>
    <row r="57" spans="1:11" ht="14.25" customHeight="1" x14ac:dyDescent="0.35">
      <c r="A57" s="2" t="s">
        <v>118</v>
      </c>
      <c r="B57" s="2" t="s">
        <v>12</v>
      </c>
      <c r="C57" s="2" t="s">
        <v>42</v>
      </c>
      <c r="D57" s="2" t="s">
        <v>63</v>
      </c>
      <c r="E57" s="2">
        <v>7.45</v>
      </c>
      <c r="F57" s="3">
        <v>45013</v>
      </c>
      <c r="G57" s="3">
        <v>45161</v>
      </c>
      <c r="H57" s="2">
        <v>148</v>
      </c>
      <c r="I57" s="2">
        <v>4380765608</v>
      </c>
      <c r="J57" s="2" t="s">
        <v>44</v>
      </c>
      <c r="K57" s="2" t="s">
        <v>22</v>
      </c>
    </row>
    <row r="58" spans="1:11" ht="14.25" customHeight="1" x14ac:dyDescent="0.35">
      <c r="A58" s="2" t="s">
        <v>119</v>
      </c>
      <c r="B58" s="2" t="s">
        <v>35</v>
      </c>
      <c r="C58" s="2" t="s">
        <v>13</v>
      </c>
      <c r="D58" s="2" t="s">
        <v>78</v>
      </c>
      <c r="E58" s="2">
        <v>2.68</v>
      </c>
      <c r="F58" s="3">
        <v>44929</v>
      </c>
      <c r="G58" s="3">
        <v>45230</v>
      </c>
      <c r="H58" s="2">
        <v>301</v>
      </c>
      <c r="I58" s="2">
        <v>3280347896</v>
      </c>
      <c r="K58" s="2" t="s">
        <v>22</v>
      </c>
    </row>
    <row r="59" spans="1:11" ht="14.25" customHeight="1" x14ac:dyDescent="0.35">
      <c r="A59" s="2" t="s">
        <v>120</v>
      </c>
      <c r="B59" s="2" t="s">
        <v>18</v>
      </c>
      <c r="C59" s="2" t="s">
        <v>48</v>
      </c>
      <c r="D59" s="2" t="s">
        <v>121</v>
      </c>
      <c r="F59" s="3">
        <v>45163</v>
      </c>
      <c r="G59" s="3">
        <v>45219</v>
      </c>
      <c r="H59" s="2">
        <v>56</v>
      </c>
      <c r="I59" s="2">
        <v>1780704212</v>
      </c>
      <c r="J59" s="2" t="s">
        <v>67</v>
      </c>
      <c r="K59" s="2" t="s">
        <v>16</v>
      </c>
    </row>
    <row r="60" spans="1:11" ht="14.25" customHeight="1" x14ac:dyDescent="0.35">
      <c r="A60" s="2" t="s">
        <v>122</v>
      </c>
      <c r="B60" s="2" t="s">
        <v>30</v>
      </c>
      <c r="C60" s="2" t="s">
        <v>19</v>
      </c>
      <c r="D60" s="2" t="s">
        <v>58</v>
      </c>
      <c r="F60" s="3">
        <v>45168</v>
      </c>
      <c r="G60" s="3">
        <v>45511</v>
      </c>
      <c r="H60" s="2">
        <v>343</v>
      </c>
      <c r="I60" s="2">
        <v>3440084778</v>
      </c>
      <c r="J60" s="2" t="s">
        <v>21</v>
      </c>
      <c r="K60" s="2" t="s">
        <v>22</v>
      </c>
    </row>
    <row r="61" spans="1:11" ht="14.25" customHeight="1" x14ac:dyDescent="0.35">
      <c r="A61" s="2" t="s">
        <v>123</v>
      </c>
      <c r="B61" s="2" t="s">
        <v>12</v>
      </c>
      <c r="C61" s="2" t="s">
        <v>36</v>
      </c>
      <c r="D61" s="2" t="s">
        <v>46</v>
      </c>
      <c r="E61" s="2">
        <v>8.9499999999999993</v>
      </c>
      <c r="F61" s="3">
        <v>45033</v>
      </c>
      <c r="G61" s="3">
        <v>45291</v>
      </c>
      <c r="H61" s="2">
        <v>258</v>
      </c>
      <c r="I61" s="2">
        <v>4763618682</v>
      </c>
      <c r="J61" s="2" t="s">
        <v>67</v>
      </c>
      <c r="K61" s="2" t="s">
        <v>16</v>
      </c>
    </row>
    <row r="62" spans="1:11" ht="14.25" customHeight="1" x14ac:dyDescent="0.35">
      <c r="A62" s="2" t="s">
        <v>124</v>
      </c>
      <c r="B62" s="2" t="s">
        <v>18</v>
      </c>
      <c r="C62" s="2" t="s">
        <v>48</v>
      </c>
      <c r="D62" s="2" t="s">
        <v>121</v>
      </c>
      <c r="F62" s="3">
        <v>45017</v>
      </c>
      <c r="G62" s="3">
        <v>45209</v>
      </c>
      <c r="H62" s="2">
        <v>192</v>
      </c>
      <c r="I62" s="2">
        <v>2565754523</v>
      </c>
      <c r="J62" s="2" t="s">
        <v>33</v>
      </c>
      <c r="K62" s="2" t="s">
        <v>22</v>
      </c>
    </row>
    <row r="63" spans="1:11" ht="14.25" customHeight="1" x14ac:dyDescent="0.35">
      <c r="A63" s="2" t="s">
        <v>125</v>
      </c>
      <c r="B63" s="2" t="s">
        <v>35</v>
      </c>
      <c r="C63" s="2" t="s">
        <v>13</v>
      </c>
      <c r="D63" s="2" t="s">
        <v>78</v>
      </c>
      <c r="E63" s="2">
        <v>1.42</v>
      </c>
      <c r="F63" s="3">
        <v>44954</v>
      </c>
      <c r="G63" s="3">
        <v>45186</v>
      </c>
      <c r="H63" s="2">
        <v>232</v>
      </c>
      <c r="I63" s="2">
        <v>1607202535</v>
      </c>
      <c r="K63" s="2" t="s">
        <v>16</v>
      </c>
    </row>
    <row r="64" spans="1:11" ht="14.25" customHeight="1" x14ac:dyDescent="0.35">
      <c r="A64" s="2" t="s">
        <v>126</v>
      </c>
      <c r="B64" s="2" t="s">
        <v>35</v>
      </c>
      <c r="C64" s="2" t="s">
        <v>36</v>
      </c>
      <c r="D64" s="2" t="s">
        <v>37</v>
      </c>
      <c r="E64" s="2">
        <v>0.11</v>
      </c>
      <c r="F64" s="3">
        <v>45091</v>
      </c>
      <c r="G64" s="3">
        <v>45414</v>
      </c>
      <c r="H64" s="2">
        <v>323</v>
      </c>
      <c r="I64" s="2">
        <v>2892947623</v>
      </c>
      <c r="J64" s="2" t="s">
        <v>67</v>
      </c>
      <c r="K64" s="2" t="s">
        <v>22</v>
      </c>
    </row>
    <row r="65" spans="1:11" ht="14.25" customHeight="1" x14ac:dyDescent="0.35">
      <c r="A65" s="2" t="s">
        <v>127</v>
      </c>
      <c r="B65" s="2" t="s">
        <v>12</v>
      </c>
      <c r="C65" s="2" t="s">
        <v>31</v>
      </c>
      <c r="D65" s="2" t="s">
        <v>83</v>
      </c>
      <c r="E65" s="2">
        <v>36.79</v>
      </c>
      <c r="F65" s="3">
        <v>45058</v>
      </c>
      <c r="G65" s="3">
        <v>45145</v>
      </c>
      <c r="H65" s="2">
        <v>87</v>
      </c>
      <c r="I65" s="2">
        <v>3849838166</v>
      </c>
      <c r="J65" s="2" t="s">
        <v>50</v>
      </c>
      <c r="K65" s="2" t="s">
        <v>16</v>
      </c>
    </row>
    <row r="66" spans="1:11" ht="14.25" customHeight="1" x14ac:dyDescent="0.35">
      <c r="A66" s="2" t="s">
        <v>128</v>
      </c>
      <c r="B66" s="2" t="s">
        <v>60</v>
      </c>
      <c r="C66" s="2" t="s">
        <v>31</v>
      </c>
      <c r="D66" s="2" t="s">
        <v>111</v>
      </c>
      <c r="F66" s="3">
        <v>44954</v>
      </c>
      <c r="G66" s="3">
        <v>45220</v>
      </c>
      <c r="H66" s="2">
        <v>266</v>
      </c>
      <c r="I66" s="2">
        <v>1192980894</v>
      </c>
      <c r="J66" s="2" t="s">
        <v>44</v>
      </c>
      <c r="K66" s="2" t="s">
        <v>16</v>
      </c>
    </row>
    <row r="67" spans="1:11" ht="14.25" customHeight="1" x14ac:dyDescent="0.35">
      <c r="A67" s="2" t="s">
        <v>129</v>
      </c>
      <c r="B67" s="2" t="s">
        <v>60</v>
      </c>
      <c r="C67" s="2" t="s">
        <v>36</v>
      </c>
      <c r="D67" s="2" t="s">
        <v>61</v>
      </c>
      <c r="F67" s="3">
        <v>45175</v>
      </c>
      <c r="G67" s="3">
        <v>45316</v>
      </c>
      <c r="H67" s="2">
        <v>141</v>
      </c>
      <c r="I67" s="2">
        <v>4399923082</v>
      </c>
      <c r="K67" s="2" t="s">
        <v>22</v>
      </c>
    </row>
    <row r="68" spans="1:11" ht="14.25" customHeight="1" x14ac:dyDescent="0.35">
      <c r="A68" s="2" t="s">
        <v>130</v>
      </c>
      <c r="B68" s="2" t="s">
        <v>18</v>
      </c>
      <c r="C68" s="2" t="s">
        <v>19</v>
      </c>
      <c r="D68" s="2" t="s">
        <v>20</v>
      </c>
      <c r="F68" s="3">
        <v>45056</v>
      </c>
      <c r="G68" s="3">
        <v>45210</v>
      </c>
      <c r="H68" s="2">
        <v>154</v>
      </c>
      <c r="I68" s="2">
        <v>3401095591</v>
      </c>
      <c r="J68" s="2" t="s">
        <v>21</v>
      </c>
      <c r="K68" s="2" t="s">
        <v>22</v>
      </c>
    </row>
    <row r="69" spans="1:11" ht="14.25" customHeight="1" x14ac:dyDescent="0.35">
      <c r="A69" s="2" t="s">
        <v>131</v>
      </c>
      <c r="B69" s="2" t="s">
        <v>18</v>
      </c>
      <c r="C69" s="2" t="s">
        <v>36</v>
      </c>
      <c r="D69" s="2" t="s">
        <v>71</v>
      </c>
      <c r="F69" s="3">
        <v>45099</v>
      </c>
      <c r="G69" s="3">
        <v>45385</v>
      </c>
      <c r="H69" s="2">
        <v>286</v>
      </c>
      <c r="I69" s="2">
        <v>4927332744</v>
      </c>
      <c r="J69" s="2" t="s">
        <v>21</v>
      </c>
      <c r="K69" s="2" t="s">
        <v>22</v>
      </c>
    </row>
    <row r="70" spans="1:11" ht="14.25" customHeight="1" x14ac:dyDescent="0.35">
      <c r="A70" s="2" t="s">
        <v>132</v>
      </c>
      <c r="B70" s="2" t="s">
        <v>35</v>
      </c>
      <c r="C70" s="2" t="s">
        <v>24</v>
      </c>
      <c r="D70" s="2" t="s">
        <v>133</v>
      </c>
      <c r="E70" s="2">
        <v>4.01</v>
      </c>
      <c r="F70" s="3">
        <v>45229</v>
      </c>
      <c r="G70" s="3">
        <v>45334</v>
      </c>
      <c r="H70" s="2">
        <v>105</v>
      </c>
      <c r="I70" s="2">
        <v>1221429023</v>
      </c>
      <c r="J70" s="2" t="s">
        <v>33</v>
      </c>
      <c r="K70" s="2" t="s">
        <v>22</v>
      </c>
    </row>
    <row r="71" spans="1:11" ht="14.25" customHeight="1" x14ac:dyDescent="0.35">
      <c r="A71" s="2" t="s">
        <v>134</v>
      </c>
      <c r="B71" s="2" t="s">
        <v>18</v>
      </c>
      <c r="C71" s="2" t="s">
        <v>42</v>
      </c>
      <c r="D71" s="2" t="s">
        <v>135</v>
      </c>
      <c r="F71" s="3">
        <v>45038</v>
      </c>
      <c r="G71" s="3">
        <v>45308</v>
      </c>
      <c r="H71" s="2">
        <v>270</v>
      </c>
      <c r="I71" s="2">
        <v>1413476471</v>
      </c>
      <c r="J71" s="2" t="s">
        <v>21</v>
      </c>
      <c r="K71" s="2" t="s">
        <v>16</v>
      </c>
    </row>
    <row r="72" spans="1:11" ht="14.25" customHeight="1" x14ac:dyDescent="0.35">
      <c r="A72" s="2" t="s">
        <v>136</v>
      </c>
      <c r="B72" s="2" t="s">
        <v>35</v>
      </c>
      <c r="C72" s="2" t="s">
        <v>13</v>
      </c>
      <c r="D72" s="2" t="s">
        <v>78</v>
      </c>
      <c r="E72" s="2">
        <v>0.76</v>
      </c>
      <c r="F72" s="3">
        <v>45401</v>
      </c>
      <c r="G72" s="3">
        <v>45183</v>
      </c>
      <c r="H72" s="2">
        <v>-218</v>
      </c>
      <c r="I72" s="2">
        <v>4279256981</v>
      </c>
      <c r="J72" s="2" t="s">
        <v>67</v>
      </c>
      <c r="K72" s="2" t="s">
        <v>22</v>
      </c>
    </row>
    <row r="73" spans="1:11" ht="14.25" customHeight="1" x14ac:dyDescent="0.35">
      <c r="A73" s="2" t="s">
        <v>137</v>
      </c>
      <c r="B73" s="2" t="s">
        <v>30</v>
      </c>
      <c r="C73" s="2" t="s">
        <v>39</v>
      </c>
      <c r="D73" s="2" t="s">
        <v>40</v>
      </c>
      <c r="F73" s="3">
        <v>45128</v>
      </c>
      <c r="G73" s="3">
        <v>45188</v>
      </c>
      <c r="H73" s="2">
        <v>60</v>
      </c>
      <c r="I73" s="2">
        <v>2887033546</v>
      </c>
      <c r="J73" s="2" t="s">
        <v>67</v>
      </c>
      <c r="K73" s="2" t="s">
        <v>16</v>
      </c>
    </row>
    <row r="74" spans="1:11" ht="14.25" customHeight="1" x14ac:dyDescent="0.35">
      <c r="A74" s="2" t="s">
        <v>138</v>
      </c>
      <c r="B74" s="2" t="s">
        <v>30</v>
      </c>
      <c r="C74" s="2" t="s">
        <v>42</v>
      </c>
      <c r="D74" s="2" t="s">
        <v>43</v>
      </c>
      <c r="F74" s="3">
        <v>45135</v>
      </c>
      <c r="G74" s="3">
        <v>45168</v>
      </c>
      <c r="H74" s="2">
        <v>33</v>
      </c>
      <c r="I74" s="2">
        <v>1023010270</v>
      </c>
      <c r="J74" s="2" t="s">
        <v>50</v>
      </c>
      <c r="K74" s="2" t="s">
        <v>16</v>
      </c>
    </row>
    <row r="75" spans="1:11" ht="14.25" customHeight="1" x14ac:dyDescent="0.35">
      <c r="A75" s="2" t="s">
        <v>139</v>
      </c>
      <c r="B75" s="2" t="s">
        <v>12</v>
      </c>
      <c r="C75" s="2" t="s">
        <v>13</v>
      </c>
      <c r="D75" s="2" t="s">
        <v>14</v>
      </c>
      <c r="E75" s="2">
        <v>31.96</v>
      </c>
      <c r="F75" s="3">
        <v>45001</v>
      </c>
      <c r="G75" s="3">
        <v>45325</v>
      </c>
      <c r="H75" s="2">
        <v>324</v>
      </c>
      <c r="I75" s="2">
        <v>4213931920</v>
      </c>
      <c r="K75" s="2" t="s">
        <v>16</v>
      </c>
    </row>
    <row r="76" spans="1:11" ht="14.25" customHeight="1" x14ac:dyDescent="0.35">
      <c r="A76" s="2" t="s">
        <v>140</v>
      </c>
      <c r="B76" s="2" t="s">
        <v>30</v>
      </c>
      <c r="C76" s="2" t="s">
        <v>42</v>
      </c>
      <c r="D76" s="2" t="s">
        <v>43</v>
      </c>
      <c r="F76" s="3">
        <v>45006</v>
      </c>
      <c r="G76" s="3">
        <v>45234</v>
      </c>
      <c r="H76" s="2">
        <v>228</v>
      </c>
      <c r="I76" s="2">
        <v>4301541275</v>
      </c>
      <c r="K76" s="2" t="s">
        <v>22</v>
      </c>
    </row>
    <row r="77" spans="1:11" ht="14.25" customHeight="1" x14ac:dyDescent="0.35">
      <c r="A77" s="2" t="s">
        <v>141</v>
      </c>
      <c r="B77" s="2" t="s">
        <v>18</v>
      </c>
      <c r="C77" s="2" t="s">
        <v>48</v>
      </c>
      <c r="D77" s="2" t="s">
        <v>121</v>
      </c>
      <c r="F77" s="3">
        <v>45178</v>
      </c>
      <c r="G77" s="3">
        <v>45449</v>
      </c>
      <c r="H77" s="2">
        <v>271</v>
      </c>
      <c r="I77" s="2">
        <v>1885779455</v>
      </c>
      <c r="J77" s="2" t="s">
        <v>50</v>
      </c>
      <c r="K77" s="2" t="s">
        <v>16</v>
      </c>
    </row>
    <row r="78" spans="1:11" ht="14.25" customHeight="1" x14ac:dyDescent="0.35">
      <c r="A78" s="2" t="s">
        <v>142</v>
      </c>
      <c r="B78" s="2" t="s">
        <v>18</v>
      </c>
      <c r="C78" s="2" t="s">
        <v>13</v>
      </c>
      <c r="D78" s="2" t="s">
        <v>143</v>
      </c>
      <c r="F78" s="3">
        <v>44987</v>
      </c>
      <c r="G78" s="3">
        <v>45234</v>
      </c>
      <c r="H78" s="2">
        <v>247</v>
      </c>
      <c r="I78" s="2">
        <v>4564418343</v>
      </c>
      <c r="J78" s="2" t="s">
        <v>67</v>
      </c>
      <c r="K78" s="2" t="s">
        <v>22</v>
      </c>
    </row>
    <row r="79" spans="1:11" ht="14.25" customHeight="1" x14ac:dyDescent="0.35">
      <c r="A79" s="2" t="s">
        <v>144</v>
      </c>
      <c r="B79" s="2" t="s">
        <v>35</v>
      </c>
      <c r="C79" s="2" t="s">
        <v>39</v>
      </c>
      <c r="D79" s="2" t="s">
        <v>145</v>
      </c>
      <c r="E79" s="2">
        <v>1.86</v>
      </c>
      <c r="F79" s="3">
        <v>45289</v>
      </c>
      <c r="G79" s="3">
        <v>45611</v>
      </c>
      <c r="H79" s="2">
        <v>322</v>
      </c>
      <c r="I79" s="2">
        <v>3758131763</v>
      </c>
      <c r="J79" s="2" t="s">
        <v>50</v>
      </c>
      <c r="K79" s="2" t="s">
        <v>22</v>
      </c>
    </row>
    <row r="80" spans="1:11" ht="14.25" customHeight="1" x14ac:dyDescent="0.35">
      <c r="A80" s="2" t="s">
        <v>146</v>
      </c>
      <c r="B80" s="2" t="s">
        <v>12</v>
      </c>
      <c r="C80" s="2" t="s">
        <v>13</v>
      </c>
      <c r="D80" s="2" t="s">
        <v>14</v>
      </c>
      <c r="E80" s="2">
        <v>35.51</v>
      </c>
      <c r="F80" s="3">
        <v>45131</v>
      </c>
      <c r="G80" s="3">
        <v>45228</v>
      </c>
      <c r="H80" s="2">
        <v>97</v>
      </c>
      <c r="I80" s="2">
        <v>4474982856</v>
      </c>
      <c r="J80" s="2" t="s">
        <v>33</v>
      </c>
      <c r="K80" s="2" t="s">
        <v>22</v>
      </c>
    </row>
    <row r="81" spans="1:11" ht="14.25" customHeight="1" x14ac:dyDescent="0.35">
      <c r="A81" s="2" t="s">
        <v>147</v>
      </c>
      <c r="B81" s="2" t="s">
        <v>35</v>
      </c>
      <c r="C81" s="2" t="s">
        <v>24</v>
      </c>
      <c r="D81" s="2" t="s">
        <v>133</v>
      </c>
      <c r="E81" s="2">
        <v>1.89</v>
      </c>
      <c r="F81" s="3">
        <v>45101</v>
      </c>
      <c r="G81" s="3">
        <v>45138</v>
      </c>
      <c r="H81" s="2">
        <v>37</v>
      </c>
      <c r="I81" s="2">
        <v>2000124543</v>
      </c>
      <c r="J81" s="2" t="s">
        <v>26</v>
      </c>
      <c r="K81" s="2" t="s">
        <v>22</v>
      </c>
    </row>
    <row r="82" spans="1:11" ht="14.25" customHeight="1" x14ac:dyDescent="0.35">
      <c r="A82" s="2" t="s">
        <v>148</v>
      </c>
      <c r="B82" s="2" t="s">
        <v>30</v>
      </c>
      <c r="C82" s="2" t="s">
        <v>48</v>
      </c>
      <c r="D82" s="2" t="s">
        <v>101</v>
      </c>
      <c r="F82" s="3">
        <v>45045</v>
      </c>
      <c r="G82" s="3">
        <v>45394</v>
      </c>
      <c r="H82" s="2">
        <v>349</v>
      </c>
      <c r="I82" s="2">
        <v>4983131305</v>
      </c>
      <c r="K82" s="2" t="s">
        <v>22</v>
      </c>
    </row>
    <row r="83" spans="1:11" ht="14.25" customHeight="1" x14ac:dyDescent="0.35">
      <c r="A83" s="2" t="s">
        <v>149</v>
      </c>
      <c r="B83" s="2" t="s">
        <v>30</v>
      </c>
      <c r="C83" s="2" t="s">
        <v>19</v>
      </c>
      <c r="D83" s="2" t="s">
        <v>58</v>
      </c>
      <c r="F83" s="3">
        <v>45173</v>
      </c>
      <c r="G83" s="3">
        <v>45340</v>
      </c>
      <c r="H83" s="2">
        <v>167</v>
      </c>
      <c r="I83" s="2">
        <v>1078411782</v>
      </c>
      <c r="J83" s="2" t="s">
        <v>26</v>
      </c>
      <c r="K83" s="2" t="s">
        <v>22</v>
      </c>
    </row>
    <row r="84" spans="1:11" ht="14.25" customHeight="1" x14ac:dyDescent="0.35">
      <c r="A84" s="2" t="s">
        <v>150</v>
      </c>
      <c r="B84" s="2" t="s">
        <v>60</v>
      </c>
      <c r="C84" s="2" t="s">
        <v>48</v>
      </c>
      <c r="D84" s="2" t="s">
        <v>66</v>
      </c>
      <c r="F84" s="3">
        <v>44965</v>
      </c>
      <c r="G84" s="3">
        <v>45267</v>
      </c>
      <c r="H84" s="2">
        <v>302</v>
      </c>
      <c r="I84" s="2">
        <v>625182097</v>
      </c>
      <c r="J84" s="2" t="s">
        <v>50</v>
      </c>
      <c r="K84" s="2" t="s">
        <v>22</v>
      </c>
    </row>
    <row r="85" spans="1:11" ht="14.25" customHeight="1" x14ac:dyDescent="0.35">
      <c r="A85" s="2" t="s">
        <v>151</v>
      </c>
      <c r="B85" s="2" t="s">
        <v>18</v>
      </c>
      <c r="C85" s="2" t="s">
        <v>48</v>
      </c>
      <c r="D85" s="2" t="s">
        <v>121</v>
      </c>
      <c r="F85" s="3">
        <v>45074</v>
      </c>
      <c r="G85" s="3">
        <v>45243</v>
      </c>
      <c r="H85" s="2">
        <v>169</v>
      </c>
      <c r="I85" s="2">
        <v>556869064</v>
      </c>
      <c r="K85" s="2" t="s">
        <v>16</v>
      </c>
    </row>
    <row r="86" spans="1:11" ht="14.25" customHeight="1" x14ac:dyDescent="0.35">
      <c r="A86" s="2" t="s">
        <v>152</v>
      </c>
      <c r="B86" s="2" t="s">
        <v>18</v>
      </c>
      <c r="C86" s="2" t="s">
        <v>13</v>
      </c>
      <c r="D86" s="2" t="s">
        <v>143</v>
      </c>
      <c r="F86" s="3">
        <v>45210</v>
      </c>
      <c r="G86" s="3">
        <v>45557</v>
      </c>
      <c r="H86" s="2">
        <v>347</v>
      </c>
      <c r="I86" s="2">
        <v>1494318402</v>
      </c>
      <c r="J86" s="2" t="s">
        <v>15</v>
      </c>
      <c r="K86" s="2" t="s">
        <v>16</v>
      </c>
    </row>
    <row r="87" spans="1:11" ht="14.25" customHeight="1" x14ac:dyDescent="0.35">
      <c r="A87" s="2" t="s">
        <v>153</v>
      </c>
      <c r="B87" s="2" t="s">
        <v>60</v>
      </c>
      <c r="C87" s="2" t="s">
        <v>42</v>
      </c>
      <c r="D87" s="2" t="s">
        <v>154</v>
      </c>
      <c r="F87" s="3">
        <v>44929</v>
      </c>
      <c r="G87" s="3">
        <v>45261</v>
      </c>
      <c r="H87" s="2">
        <v>332</v>
      </c>
      <c r="I87" s="2">
        <v>3634688974</v>
      </c>
      <c r="J87" s="2" t="s">
        <v>50</v>
      </c>
      <c r="K87" s="2" t="s">
        <v>22</v>
      </c>
    </row>
    <row r="88" spans="1:11" ht="14.25" customHeight="1" x14ac:dyDescent="0.35">
      <c r="A88" s="2" t="s">
        <v>155</v>
      </c>
      <c r="B88" s="2" t="s">
        <v>35</v>
      </c>
      <c r="C88" s="2" t="s">
        <v>39</v>
      </c>
      <c r="D88" s="2" t="s">
        <v>145</v>
      </c>
      <c r="E88" s="2">
        <v>4.0199999999999996</v>
      </c>
      <c r="F88" s="3">
        <v>45217</v>
      </c>
      <c r="G88" s="3">
        <v>45469</v>
      </c>
      <c r="H88" s="2">
        <v>252</v>
      </c>
      <c r="I88" s="2">
        <v>645548295</v>
      </c>
      <c r="J88" s="2" t="s">
        <v>21</v>
      </c>
      <c r="K88" s="2" t="s">
        <v>22</v>
      </c>
    </row>
    <row r="89" spans="1:11" ht="14.25" customHeight="1" x14ac:dyDescent="0.35">
      <c r="A89" s="2" t="s">
        <v>156</v>
      </c>
      <c r="B89" s="2" t="s">
        <v>18</v>
      </c>
      <c r="C89" s="2" t="s">
        <v>36</v>
      </c>
      <c r="D89" s="2" t="s">
        <v>71</v>
      </c>
      <c r="F89" s="3">
        <v>45284</v>
      </c>
      <c r="G89" s="3">
        <v>45579</v>
      </c>
      <c r="H89" s="2">
        <v>295</v>
      </c>
      <c r="I89" s="2">
        <v>2147946804</v>
      </c>
      <c r="J89" s="2" t="s">
        <v>67</v>
      </c>
      <c r="K89" s="2" t="s">
        <v>22</v>
      </c>
    </row>
    <row r="90" spans="1:11" ht="14.25" customHeight="1" x14ac:dyDescent="0.35">
      <c r="A90" s="2" t="s">
        <v>157</v>
      </c>
      <c r="B90" s="2" t="s">
        <v>12</v>
      </c>
      <c r="C90" s="2" t="s">
        <v>42</v>
      </c>
      <c r="D90" s="2" t="s">
        <v>63</v>
      </c>
      <c r="E90" s="2">
        <v>49.42</v>
      </c>
      <c r="F90" s="3">
        <v>44989</v>
      </c>
      <c r="G90" s="3">
        <v>45120</v>
      </c>
      <c r="H90" s="2">
        <v>131</v>
      </c>
      <c r="I90" s="2">
        <v>2810346110</v>
      </c>
      <c r="J90" s="2" t="s">
        <v>33</v>
      </c>
      <c r="K90" s="2" t="s">
        <v>22</v>
      </c>
    </row>
    <row r="91" spans="1:11" ht="14.25" customHeight="1" x14ac:dyDescent="0.35">
      <c r="A91" s="2" t="s">
        <v>158</v>
      </c>
      <c r="B91" s="2" t="s">
        <v>35</v>
      </c>
      <c r="C91" s="2" t="s">
        <v>13</v>
      </c>
      <c r="D91" s="2" t="s">
        <v>78</v>
      </c>
      <c r="E91" s="2">
        <v>2.4700000000000002</v>
      </c>
      <c r="F91" s="3">
        <v>44991</v>
      </c>
      <c r="G91" s="3">
        <v>45062</v>
      </c>
      <c r="H91" s="2">
        <v>71</v>
      </c>
      <c r="I91" s="2">
        <v>4806907325</v>
      </c>
      <c r="J91" s="2" t="s">
        <v>15</v>
      </c>
      <c r="K91" s="2" t="s">
        <v>16</v>
      </c>
    </row>
    <row r="92" spans="1:11" ht="14.25" customHeight="1" x14ac:dyDescent="0.35">
      <c r="A92" s="2" t="s">
        <v>159</v>
      </c>
      <c r="B92" s="2" t="s">
        <v>12</v>
      </c>
      <c r="C92" s="2" t="s">
        <v>39</v>
      </c>
      <c r="D92" s="2" t="s">
        <v>160</v>
      </c>
      <c r="E92" s="2">
        <v>8.5399999999999991</v>
      </c>
      <c r="F92" s="3">
        <v>45116</v>
      </c>
      <c r="G92" s="3">
        <v>45158</v>
      </c>
      <c r="H92" s="2">
        <v>42</v>
      </c>
      <c r="I92" s="2">
        <v>969310998</v>
      </c>
      <c r="J92" s="2" t="s">
        <v>15</v>
      </c>
      <c r="K92" s="2" t="s">
        <v>16</v>
      </c>
    </row>
    <row r="93" spans="1:11" ht="14.25" customHeight="1" x14ac:dyDescent="0.35">
      <c r="A93" s="2" t="s">
        <v>161</v>
      </c>
      <c r="B93" s="2" t="s">
        <v>12</v>
      </c>
      <c r="C93" s="2" t="s">
        <v>42</v>
      </c>
      <c r="D93" s="2" t="s">
        <v>63</v>
      </c>
      <c r="E93" s="2">
        <v>11.05</v>
      </c>
      <c r="F93" s="3">
        <v>45230</v>
      </c>
      <c r="G93" s="3">
        <v>45529</v>
      </c>
      <c r="H93" s="2">
        <v>299</v>
      </c>
      <c r="I93" s="2">
        <v>1094585897</v>
      </c>
      <c r="J93" s="2" t="s">
        <v>50</v>
      </c>
      <c r="K93" s="2" t="s">
        <v>16</v>
      </c>
    </row>
    <row r="94" spans="1:11" ht="14.25" customHeight="1" x14ac:dyDescent="0.35">
      <c r="A94" s="2" t="s">
        <v>162</v>
      </c>
      <c r="B94" s="2" t="s">
        <v>18</v>
      </c>
      <c r="C94" s="2" t="s">
        <v>19</v>
      </c>
      <c r="D94" s="2" t="s">
        <v>20</v>
      </c>
      <c r="F94" s="3">
        <v>45273</v>
      </c>
      <c r="G94" s="3">
        <v>45590</v>
      </c>
      <c r="H94" s="2">
        <v>317</v>
      </c>
      <c r="I94" s="2">
        <v>3282889707</v>
      </c>
      <c r="J94" s="2" t="s">
        <v>15</v>
      </c>
      <c r="K94" s="2" t="s">
        <v>22</v>
      </c>
    </row>
    <row r="95" spans="1:11" ht="14.25" customHeight="1" x14ac:dyDescent="0.35">
      <c r="A95" s="2" t="s">
        <v>163</v>
      </c>
      <c r="B95" s="2" t="s">
        <v>60</v>
      </c>
      <c r="C95" s="2" t="s">
        <v>48</v>
      </c>
      <c r="D95" s="2" t="s">
        <v>66</v>
      </c>
      <c r="F95" s="3">
        <v>44958</v>
      </c>
      <c r="G95" s="3">
        <v>45158</v>
      </c>
      <c r="H95" s="2">
        <v>200</v>
      </c>
      <c r="I95" s="2">
        <v>1906722857</v>
      </c>
      <c r="J95" s="2" t="s">
        <v>67</v>
      </c>
      <c r="K95" s="2" t="s">
        <v>16</v>
      </c>
    </row>
    <row r="96" spans="1:11" ht="14.25" customHeight="1" x14ac:dyDescent="0.35">
      <c r="A96" s="2" t="s">
        <v>164</v>
      </c>
      <c r="B96" s="2" t="s">
        <v>12</v>
      </c>
      <c r="C96" s="2" t="s">
        <v>39</v>
      </c>
      <c r="D96" s="2" t="s">
        <v>160</v>
      </c>
      <c r="E96" s="2">
        <v>45.25</v>
      </c>
      <c r="F96" s="3">
        <v>45151</v>
      </c>
      <c r="G96" s="3">
        <v>45311</v>
      </c>
      <c r="H96" s="2">
        <v>160</v>
      </c>
      <c r="I96" s="2">
        <v>2701415476</v>
      </c>
      <c r="J96" s="2" t="s">
        <v>15</v>
      </c>
      <c r="K96" s="2" t="s">
        <v>22</v>
      </c>
    </row>
    <row r="97" spans="1:11" ht="14.25" customHeight="1" x14ac:dyDescent="0.35">
      <c r="A97" s="2" t="s">
        <v>165</v>
      </c>
      <c r="B97" s="2" t="s">
        <v>30</v>
      </c>
      <c r="C97" s="2" t="s">
        <v>42</v>
      </c>
      <c r="D97" s="2" t="s">
        <v>43</v>
      </c>
      <c r="F97" s="3">
        <v>45185</v>
      </c>
      <c r="G97" s="3">
        <v>45273</v>
      </c>
      <c r="H97" s="2">
        <v>88</v>
      </c>
      <c r="I97" s="2">
        <v>4056181117</v>
      </c>
      <c r="J97" s="2" t="s">
        <v>21</v>
      </c>
      <c r="K97" s="2" t="s">
        <v>16</v>
      </c>
    </row>
    <row r="98" spans="1:11" ht="14.25" customHeight="1" x14ac:dyDescent="0.35">
      <c r="A98" s="2" t="s">
        <v>166</v>
      </c>
      <c r="B98" s="2" t="s">
        <v>18</v>
      </c>
      <c r="C98" s="2" t="s">
        <v>39</v>
      </c>
      <c r="D98" s="2" t="s">
        <v>53</v>
      </c>
      <c r="F98" s="3">
        <v>44977</v>
      </c>
      <c r="G98" s="3">
        <v>45285</v>
      </c>
      <c r="H98" s="2">
        <v>308</v>
      </c>
      <c r="I98" s="2">
        <v>568908906</v>
      </c>
      <c r="K98" s="2" t="s">
        <v>16</v>
      </c>
    </row>
    <row r="99" spans="1:11" ht="14.25" customHeight="1" x14ac:dyDescent="0.35">
      <c r="A99" s="2" t="s">
        <v>167</v>
      </c>
      <c r="B99" s="2" t="s">
        <v>12</v>
      </c>
      <c r="C99" s="2" t="s">
        <v>42</v>
      </c>
      <c r="D99" s="2" t="s">
        <v>63</v>
      </c>
      <c r="E99" s="2">
        <v>37.11</v>
      </c>
      <c r="F99" s="3">
        <v>45228</v>
      </c>
      <c r="G99" s="3">
        <v>45583</v>
      </c>
      <c r="H99" s="2">
        <v>355</v>
      </c>
      <c r="I99" s="2">
        <v>2286692982</v>
      </c>
      <c r="K99" s="2" t="s">
        <v>22</v>
      </c>
    </row>
    <row r="100" spans="1:11" ht="14.25" customHeight="1" x14ac:dyDescent="0.35">
      <c r="A100" s="2" t="s">
        <v>168</v>
      </c>
      <c r="B100" s="2" t="s">
        <v>18</v>
      </c>
      <c r="C100" s="2" t="s">
        <v>39</v>
      </c>
      <c r="D100" s="2" t="s">
        <v>53</v>
      </c>
      <c r="F100" s="3">
        <v>45231</v>
      </c>
      <c r="G100" s="3">
        <v>45268</v>
      </c>
      <c r="H100" s="2">
        <v>37</v>
      </c>
      <c r="I100" s="2">
        <v>3532372552</v>
      </c>
      <c r="J100" s="2" t="s">
        <v>44</v>
      </c>
      <c r="K100" s="2" t="s">
        <v>16</v>
      </c>
    </row>
    <row r="101" spans="1:11" ht="14.25" customHeight="1" x14ac:dyDescent="0.35">
      <c r="A101" s="2" t="s">
        <v>169</v>
      </c>
      <c r="B101" s="2" t="s">
        <v>18</v>
      </c>
      <c r="C101" s="2" t="s">
        <v>36</v>
      </c>
      <c r="D101" s="2" t="s">
        <v>71</v>
      </c>
      <c r="F101" s="3">
        <v>45157</v>
      </c>
      <c r="G101" s="3">
        <v>45222</v>
      </c>
      <c r="H101" s="2">
        <v>65</v>
      </c>
      <c r="I101" s="2">
        <v>3592608325</v>
      </c>
      <c r="J101" s="2" t="s">
        <v>21</v>
      </c>
      <c r="K101" s="2" t="s">
        <v>16</v>
      </c>
    </row>
    <row r="102" spans="1:11" ht="14.25" customHeight="1" x14ac:dyDescent="0.35">
      <c r="A102" s="2" t="s">
        <v>170</v>
      </c>
      <c r="B102" s="2" t="s">
        <v>12</v>
      </c>
      <c r="C102" s="2" t="s">
        <v>48</v>
      </c>
      <c r="D102" s="2" t="s">
        <v>171</v>
      </c>
      <c r="E102" s="2">
        <v>44.34</v>
      </c>
      <c r="F102" s="3">
        <v>45240</v>
      </c>
      <c r="G102" s="3">
        <v>45532</v>
      </c>
      <c r="H102" s="2">
        <v>292</v>
      </c>
      <c r="I102" s="2">
        <v>4568529873</v>
      </c>
      <c r="J102" s="2" t="s">
        <v>50</v>
      </c>
      <c r="K102" s="2" t="s">
        <v>22</v>
      </c>
    </row>
    <row r="103" spans="1:11" ht="14.25" customHeight="1" x14ac:dyDescent="0.35">
      <c r="A103" s="2" t="s">
        <v>172</v>
      </c>
      <c r="B103" s="2" t="s">
        <v>30</v>
      </c>
      <c r="C103" s="2" t="s">
        <v>19</v>
      </c>
      <c r="D103" s="2" t="s">
        <v>58</v>
      </c>
      <c r="F103" s="3">
        <v>45133</v>
      </c>
      <c r="G103" s="3">
        <v>45384</v>
      </c>
      <c r="H103" s="2">
        <v>251</v>
      </c>
      <c r="I103" s="2">
        <v>4603719415</v>
      </c>
      <c r="J103" s="2" t="s">
        <v>21</v>
      </c>
      <c r="K103" s="2" t="s">
        <v>16</v>
      </c>
    </row>
    <row r="104" spans="1:11" ht="14.25" customHeight="1" x14ac:dyDescent="0.35">
      <c r="A104" s="2" t="s">
        <v>173</v>
      </c>
      <c r="B104" s="2" t="s">
        <v>60</v>
      </c>
      <c r="C104" s="2" t="s">
        <v>36</v>
      </c>
      <c r="D104" s="2" t="s">
        <v>61</v>
      </c>
      <c r="F104" s="3">
        <v>45053</v>
      </c>
      <c r="G104" s="3">
        <v>45321</v>
      </c>
      <c r="H104" s="2">
        <v>268</v>
      </c>
      <c r="I104" s="2">
        <v>1690539624</v>
      </c>
      <c r="J104" s="2" t="s">
        <v>67</v>
      </c>
      <c r="K104" s="2" t="s">
        <v>22</v>
      </c>
    </row>
    <row r="105" spans="1:11" ht="14.25" customHeight="1" x14ac:dyDescent="0.35">
      <c r="A105" s="2" t="s">
        <v>174</v>
      </c>
      <c r="B105" s="2" t="s">
        <v>30</v>
      </c>
      <c r="C105" s="2" t="s">
        <v>39</v>
      </c>
      <c r="D105" s="2" t="s">
        <v>40</v>
      </c>
      <c r="F105" s="3">
        <v>44984</v>
      </c>
      <c r="G105" s="3">
        <v>45324</v>
      </c>
      <c r="H105" s="2">
        <v>340</v>
      </c>
      <c r="I105" s="2">
        <v>4933637789</v>
      </c>
      <c r="J105" s="2" t="s">
        <v>15</v>
      </c>
      <c r="K105" s="2" t="s">
        <v>22</v>
      </c>
    </row>
    <row r="106" spans="1:11" ht="14.25" customHeight="1" x14ac:dyDescent="0.35">
      <c r="A106" s="2" t="s">
        <v>175</v>
      </c>
      <c r="B106" s="2" t="s">
        <v>30</v>
      </c>
      <c r="C106" s="2" t="s">
        <v>19</v>
      </c>
      <c r="D106" s="2" t="s">
        <v>58</v>
      </c>
      <c r="F106" s="3">
        <v>45254</v>
      </c>
      <c r="G106" s="3">
        <v>45331</v>
      </c>
      <c r="H106" s="2">
        <v>77</v>
      </c>
      <c r="I106" s="2">
        <v>804923801</v>
      </c>
      <c r="J106" s="2" t="s">
        <v>50</v>
      </c>
      <c r="K106" s="2" t="s">
        <v>22</v>
      </c>
    </row>
    <row r="107" spans="1:11" ht="14.25" customHeight="1" x14ac:dyDescent="0.35">
      <c r="A107" s="2" t="s">
        <v>176</v>
      </c>
      <c r="B107" s="2" t="s">
        <v>12</v>
      </c>
      <c r="C107" s="2" t="s">
        <v>31</v>
      </c>
      <c r="D107" s="2" t="s">
        <v>83</v>
      </c>
      <c r="E107" s="2">
        <v>45.67</v>
      </c>
      <c r="F107" s="3">
        <v>45488</v>
      </c>
      <c r="G107" s="3">
        <v>45129</v>
      </c>
      <c r="H107" s="2">
        <v>-359</v>
      </c>
      <c r="I107" s="2">
        <v>2842211621</v>
      </c>
      <c r="J107" s="2" t="s">
        <v>26</v>
      </c>
      <c r="K107" s="2" t="s">
        <v>16</v>
      </c>
    </row>
    <row r="108" spans="1:11" ht="14.25" customHeight="1" x14ac:dyDescent="0.35">
      <c r="A108" s="2" t="s">
        <v>177</v>
      </c>
      <c r="B108" s="2" t="s">
        <v>60</v>
      </c>
      <c r="C108" s="2" t="s">
        <v>48</v>
      </c>
      <c r="D108" s="2" t="s">
        <v>66</v>
      </c>
      <c r="F108" s="3">
        <v>45273</v>
      </c>
      <c r="G108" s="3">
        <v>45394</v>
      </c>
      <c r="H108" s="2">
        <v>121</v>
      </c>
      <c r="I108" s="2">
        <v>4479038318</v>
      </c>
      <c r="J108" s="2" t="s">
        <v>50</v>
      </c>
      <c r="K108" s="2" t="s">
        <v>16</v>
      </c>
    </row>
    <row r="109" spans="1:11" ht="14.25" customHeight="1" x14ac:dyDescent="0.35">
      <c r="A109" s="2" t="s">
        <v>178</v>
      </c>
      <c r="B109" s="2" t="s">
        <v>12</v>
      </c>
      <c r="C109" s="2" t="s">
        <v>36</v>
      </c>
      <c r="D109" s="2" t="s">
        <v>46</v>
      </c>
      <c r="E109" s="2">
        <v>26.48</v>
      </c>
      <c r="F109" s="3">
        <v>44928</v>
      </c>
      <c r="G109" s="3">
        <v>45239</v>
      </c>
      <c r="H109" s="2">
        <v>311</v>
      </c>
      <c r="I109" s="2">
        <v>1404448480</v>
      </c>
      <c r="K109" s="2" t="s">
        <v>22</v>
      </c>
    </row>
    <row r="110" spans="1:11" ht="14.25" customHeight="1" x14ac:dyDescent="0.35">
      <c r="A110" s="2" t="s">
        <v>179</v>
      </c>
      <c r="B110" s="2" t="s">
        <v>18</v>
      </c>
      <c r="C110" s="2" t="s">
        <v>19</v>
      </c>
      <c r="D110" s="2" t="s">
        <v>20</v>
      </c>
      <c r="F110" s="3">
        <v>45018</v>
      </c>
      <c r="G110" s="3">
        <v>45255</v>
      </c>
      <c r="H110" s="2">
        <v>237</v>
      </c>
      <c r="I110" s="2">
        <v>3151235563</v>
      </c>
      <c r="J110" s="2" t="s">
        <v>26</v>
      </c>
      <c r="K110" s="2" t="s">
        <v>16</v>
      </c>
    </row>
    <row r="111" spans="1:11" ht="14.25" customHeight="1" x14ac:dyDescent="0.35">
      <c r="A111" s="2" t="s">
        <v>180</v>
      </c>
      <c r="B111" s="2" t="s">
        <v>12</v>
      </c>
      <c r="C111" s="2" t="s">
        <v>36</v>
      </c>
      <c r="D111" s="2" t="s">
        <v>46</v>
      </c>
      <c r="E111" s="2">
        <v>8.01</v>
      </c>
      <c r="F111" s="3">
        <v>45207</v>
      </c>
      <c r="G111" s="3">
        <v>45141</v>
      </c>
      <c r="H111" s="2">
        <v>-66</v>
      </c>
      <c r="I111" s="2">
        <v>1125707439</v>
      </c>
      <c r="J111" s="2" t="s">
        <v>15</v>
      </c>
      <c r="K111" s="2" t="s">
        <v>22</v>
      </c>
    </row>
    <row r="112" spans="1:11" ht="14.25" customHeight="1" x14ac:dyDescent="0.35">
      <c r="A112" s="2" t="s">
        <v>181</v>
      </c>
      <c r="B112" s="2" t="s">
        <v>60</v>
      </c>
      <c r="C112" s="2" t="s">
        <v>13</v>
      </c>
      <c r="D112" s="2" t="s">
        <v>182</v>
      </c>
      <c r="F112" s="3">
        <v>45164</v>
      </c>
      <c r="G112" s="3">
        <v>45456</v>
      </c>
      <c r="H112" s="2">
        <v>292</v>
      </c>
      <c r="I112" s="2">
        <v>4697675187</v>
      </c>
      <c r="J112" s="2" t="s">
        <v>33</v>
      </c>
      <c r="K112" s="2" t="s">
        <v>22</v>
      </c>
    </row>
    <row r="113" spans="1:11" ht="14.25" customHeight="1" x14ac:dyDescent="0.35">
      <c r="A113" s="2" t="s">
        <v>183</v>
      </c>
      <c r="B113" s="2" t="s">
        <v>12</v>
      </c>
      <c r="C113" s="2" t="s">
        <v>42</v>
      </c>
      <c r="D113" s="2" t="s">
        <v>63</v>
      </c>
      <c r="E113" s="2">
        <v>37.39</v>
      </c>
      <c r="F113" s="3">
        <v>45130</v>
      </c>
      <c r="G113" s="3">
        <v>45445</v>
      </c>
      <c r="H113" s="2">
        <v>315</v>
      </c>
      <c r="I113" s="2">
        <v>1815574487</v>
      </c>
      <c r="J113" s="2" t="s">
        <v>26</v>
      </c>
      <c r="K113" s="2" t="s">
        <v>22</v>
      </c>
    </row>
    <row r="114" spans="1:11" ht="14.25" customHeight="1" x14ac:dyDescent="0.35">
      <c r="A114" s="2" t="s">
        <v>184</v>
      </c>
      <c r="B114" s="2" t="s">
        <v>60</v>
      </c>
      <c r="C114" s="2" t="s">
        <v>39</v>
      </c>
      <c r="D114" s="2" t="s">
        <v>185</v>
      </c>
      <c r="F114" s="3">
        <v>45263</v>
      </c>
      <c r="G114" s="3">
        <v>45473</v>
      </c>
      <c r="H114" s="2">
        <v>210</v>
      </c>
      <c r="I114" s="2">
        <v>1708090440</v>
      </c>
      <c r="J114" s="2" t="s">
        <v>50</v>
      </c>
      <c r="K114" s="2" t="s">
        <v>22</v>
      </c>
    </row>
    <row r="115" spans="1:11" ht="14.25" customHeight="1" x14ac:dyDescent="0.35">
      <c r="A115" s="2" t="s">
        <v>186</v>
      </c>
      <c r="B115" s="2" t="s">
        <v>18</v>
      </c>
      <c r="C115" s="2" t="s">
        <v>48</v>
      </c>
      <c r="D115" s="2" t="s">
        <v>121</v>
      </c>
      <c r="F115" s="3">
        <v>45205</v>
      </c>
      <c r="G115" s="3">
        <v>45463</v>
      </c>
      <c r="H115" s="2">
        <v>258</v>
      </c>
      <c r="I115" s="2">
        <v>2006907099</v>
      </c>
      <c r="K115" s="2" t="s">
        <v>22</v>
      </c>
    </row>
    <row r="116" spans="1:11" ht="14.25" customHeight="1" x14ac:dyDescent="0.35">
      <c r="A116" s="2" t="s">
        <v>187</v>
      </c>
      <c r="B116" s="2" t="s">
        <v>12</v>
      </c>
      <c r="C116" s="2" t="s">
        <v>42</v>
      </c>
      <c r="D116" s="2" t="s">
        <v>63</v>
      </c>
      <c r="E116" s="2">
        <v>17.239999999999998</v>
      </c>
      <c r="F116" s="3">
        <v>45018</v>
      </c>
      <c r="G116" s="3">
        <v>45084</v>
      </c>
      <c r="H116" s="2">
        <v>66</v>
      </c>
      <c r="I116" s="2">
        <v>1472198499</v>
      </c>
      <c r="J116" s="2" t="s">
        <v>44</v>
      </c>
      <c r="K116" s="2" t="s">
        <v>16</v>
      </c>
    </row>
    <row r="117" spans="1:11" ht="14.25" customHeight="1" x14ac:dyDescent="0.35">
      <c r="A117" s="2" t="s">
        <v>188</v>
      </c>
      <c r="B117" s="2" t="s">
        <v>12</v>
      </c>
      <c r="C117" s="2" t="s">
        <v>36</v>
      </c>
      <c r="D117" s="2" t="s">
        <v>46</v>
      </c>
      <c r="E117" s="2">
        <v>19.7</v>
      </c>
      <c r="F117" s="3">
        <v>45234</v>
      </c>
      <c r="G117" s="3">
        <v>45348</v>
      </c>
      <c r="H117" s="2">
        <v>114</v>
      </c>
      <c r="I117" s="2">
        <v>1008266758</v>
      </c>
      <c r="J117" s="2" t="s">
        <v>44</v>
      </c>
      <c r="K117" s="2" t="s">
        <v>22</v>
      </c>
    </row>
    <row r="118" spans="1:11" ht="14.25" customHeight="1" x14ac:dyDescent="0.35">
      <c r="A118" s="2" t="s">
        <v>189</v>
      </c>
      <c r="B118" s="2" t="s">
        <v>30</v>
      </c>
      <c r="C118" s="2" t="s">
        <v>31</v>
      </c>
      <c r="D118" s="2" t="s">
        <v>32</v>
      </c>
      <c r="F118" s="3">
        <v>45181</v>
      </c>
      <c r="G118" s="3">
        <v>45455</v>
      </c>
      <c r="H118" s="2">
        <v>274</v>
      </c>
      <c r="I118" s="2">
        <v>4402089801</v>
      </c>
      <c r="J118" s="2" t="s">
        <v>44</v>
      </c>
      <c r="K118" s="2" t="s">
        <v>16</v>
      </c>
    </row>
    <row r="119" spans="1:11" ht="14.25" customHeight="1" x14ac:dyDescent="0.35">
      <c r="A119" s="2" t="s">
        <v>190</v>
      </c>
      <c r="B119" s="2" t="s">
        <v>30</v>
      </c>
      <c r="C119" s="2" t="s">
        <v>24</v>
      </c>
      <c r="D119" s="2" t="s">
        <v>85</v>
      </c>
      <c r="F119" s="3">
        <v>45183</v>
      </c>
      <c r="G119" s="3">
        <v>45255</v>
      </c>
      <c r="H119" s="2">
        <v>72</v>
      </c>
      <c r="I119" s="2">
        <v>3762549335</v>
      </c>
      <c r="J119" s="2" t="s">
        <v>44</v>
      </c>
      <c r="K119" s="2" t="s">
        <v>22</v>
      </c>
    </row>
    <row r="120" spans="1:11" ht="14.25" customHeight="1" x14ac:dyDescent="0.35">
      <c r="A120" s="2" t="s">
        <v>191</v>
      </c>
      <c r="B120" s="2" t="s">
        <v>35</v>
      </c>
      <c r="C120" s="2" t="s">
        <v>48</v>
      </c>
      <c r="D120" s="2" t="s">
        <v>49</v>
      </c>
      <c r="E120" s="2">
        <v>1.99</v>
      </c>
      <c r="F120" s="3">
        <v>45281</v>
      </c>
      <c r="G120" s="3">
        <v>45467</v>
      </c>
      <c r="H120" s="2">
        <v>186</v>
      </c>
      <c r="I120" s="2">
        <v>4711374932</v>
      </c>
      <c r="J120" s="2" t="s">
        <v>26</v>
      </c>
      <c r="K120" s="2" t="s">
        <v>16</v>
      </c>
    </row>
    <row r="121" spans="1:11" ht="14.25" customHeight="1" x14ac:dyDescent="0.35">
      <c r="A121" s="2" t="s">
        <v>192</v>
      </c>
      <c r="B121" s="2" t="s">
        <v>35</v>
      </c>
      <c r="C121" s="2" t="s">
        <v>39</v>
      </c>
      <c r="D121" s="2" t="s">
        <v>145</v>
      </c>
      <c r="E121" s="2">
        <v>1.72</v>
      </c>
      <c r="F121" s="3">
        <v>44972</v>
      </c>
      <c r="G121" s="3">
        <v>45130</v>
      </c>
      <c r="H121" s="2">
        <v>158</v>
      </c>
      <c r="I121" s="2">
        <v>4652427573</v>
      </c>
      <c r="J121" s="2" t="s">
        <v>26</v>
      </c>
      <c r="K121" s="2" t="s">
        <v>16</v>
      </c>
    </row>
    <row r="122" spans="1:11" ht="14.25" customHeight="1" x14ac:dyDescent="0.35">
      <c r="A122" s="2" t="s">
        <v>193</v>
      </c>
      <c r="B122" s="2" t="s">
        <v>30</v>
      </c>
      <c r="C122" s="2" t="s">
        <v>31</v>
      </c>
      <c r="D122" s="2" t="s">
        <v>32</v>
      </c>
      <c r="F122" s="3">
        <v>44975</v>
      </c>
      <c r="G122" s="3">
        <v>45193</v>
      </c>
      <c r="H122" s="2">
        <v>218</v>
      </c>
      <c r="I122" s="2">
        <v>993847179</v>
      </c>
      <c r="J122" s="2" t="s">
        <v>33</v>
      </c>
      <c r="K122" s="2" t="s">
        <v>16</v>
      </c>
    </row>
    <row r="123" spans="1:11" ht="14.25" customHeight="1" x14ac:dyDescent="0.35">
      <c r="A123" s="2" t="s">
        <v>194</v>
      </c>
      <c r="B123" s="2" t="s">
        <v>30</v>
      </c>
      <c r="C123" s="2" t="s">
        <v>39</v>
      </c>
      <c r="D123" s="2" t="s">
        <v>40</v>
      </c>
      <c r="F123" s="3">
        <v>45163</v>
      </c>
      <c r="G123" s="3">
        <v>45258</v>
      </c>
      <c r="H123" s="2">
        <v>95</v>
      </c>
      <c r="I123" s="2">
        <v>1979486923</v>
      </c>
      <c r="J123" s="2" t="s">
        <v>67</v>
      </c>
      <c r="K123" s="2" t="s">
        <v>16</v>
      </c>
    </row>
    <row r="124" spans="1:11" ht="14.25" customHeight="1" x14ac:dyDescent="0.35">
      <c r="A124" s="2" t="s">
        <v>195</v>
      </c>
      <c r="B124" s="2" t="s">
        <v>35</v>
      </c>
      <c r="C124" s="2" t="s">
        <v>24</v>
      </c>
      <c r="D124" s="2" t="s">
        <v>133</v>
      </c>
      <c r="E124" s="2">
        <v>0.57999999999999996</v>
      </c>
      <c r="F124" s="3">
        <v>45114</v>
      </c>
      <c r="G124" s="3">
        <v>45156</v>
      </c>
      <c r="H124" s="2">
        <v>42</v>
      </c>
      <c r="I124" s="2">
        <v>3800627952</v>
      </c>
      <c r="J124" s="2" t="s">
        <v>21</v>
      </c>
      <c r="K124" s="2" t="s">
        <v>16</v>
      </c>
    </row>
    <row r="125" spans="1:11" ht="14.25" customHeight="1" x14ac:dyDescent="0.35">
      <c r="A125" s="2" t="s">
        <v>196</v>
      </c>
      <c r="B125" s="2" t="s">
        <v>35</v>
      </c>
      <c r="C125" s="2" t="s">
        <v>13</v>
      </c>
      <c r="D125" s="2" t="s">
        <v>78</v>
      </c>
      <c r="E125" s="2">
        <v>2.95</v>
      </c>
      <c r="F125" s="3">
        <v>45124</v>
      </c>
      <c r="G125" s="3">
        <v>45421</v>
      </c>
      <c r="H125" s="2">
        <v>297</v>
      </c>
      <c r="I125" s="2">
        <v>1170916234</v>
      </c>
      <c r="K125" s="2" t="s">
        <v>16</v>
      </c>
    </row>
    <row r="126" spans="1:11" ht="14.25" customHeight="1" x14ac:dyDescent="0.35">
      <c r="A126" s="2" t="s">
        <v>197</v>
      </c>
      <c r="B126" s="2" t="s">
        <v>30</v>
      </c>
      <c r="C126" s="2" t="s">
        <v>42</v>
      </c>
      <c r="D126" s="2" t="s">
        <v>43</v>
      </c>
      <c r="F126" s="3">
        <v>45236</v>
      </c>
      <c r="G126" s="3">
        <v>45266</v>
      </c>
      <c r="H126" s="2">
        <v>30</v>
      </c>
      <c r="I126" s="2">
        <v>3667493152</v>
      </c>
      <c r="J126" s="2" t="s">
        <v>26</v>
      </c>
      <c r="K126" s="2" t="s">
        <v>22</v>
      </c>
    </row>
    <row r="127" spans="1:11" ht="14.25" customHeight="1" x14ac:dyDescent="0.35">
      <c r="A127" s="2" t="s">
        <v>198</v>
      </c>
      <c r="B127" s="2" t="s">
        <v>12</v>
      </c>
      <c r="C127" s="2" t="s">
        <v>36</v>
      </c>
      <c r="D127" s="2" t="s">
        <v>46</v>
      </c>
      <c r="E127" s="2">
        <v>39.03</v>
      </c>
      <c r="F127" s="3">
        <v>45259</v>
      </c>
      <c r="G127" s="3">
        <v>45579</v>
      </c>
      <c r="H127" s="2">
        <v>320</v>
      </c>
      <c r="I127" s="2">
        <v>956074771</v>
      </c>
      <c r="J127" s="2" t="s">
        <v>21</v>
      </c>
      <c r="K127" s="2" t="s">
        <v>16</v>
      </c>
    </row>
    <row r="128" spans="1:11" ht="14.25" customHeight="1" x14ac:dyDescent="0.35">
      <c r="A128" s="2" t="s">
        <v>199</v>
      </c>
      <c r="B128" s="2" t="s">
        <v>12</v>
      </c>
      <c r="C128" s="2" t="s">
        <v>19</v>
      </c>
      <c r="D128" s="2" t="s">
        <v>28</v>
      </c>
      <c r="E128" s="2">
        <v>28.27</v>
      </c>
      <c r="F128" s="3">
        <v>45111</v>
      </c>
      <c r="G128" s="3">
        <v>45180</v>
      </c>
      <c r="H128" s="2">
        <v>69</v>
      </c>
      <c r="I128" s="2">
        <v>3276058346</v>
      </c>
      <c r="J128" s="2" t="s">
        <v>67</v>
      </c>
      <c r="K128" s="2" t="s">
        <v>16</v>
      </c>
    </row>
    <row r="129" spans="1:11" ht="14.25" customHeight="1" x14ac:dyDescent="0.35">
      <c r="A129" s="2" t="s">
        <v>200</v>
      </c>
      <c r="B129" s="2" t="s">
        <v>30</v>
      </c>
      <c r="C129" s="2" t="s">
        <v>31</v>
      </c>
      <c r="D129" s="2" t="s">
        <v>32</v>
      </c>
      <c r="F129" s="3">
        <v>44951</v>
      </c>
      <c r="G129" s="3">
        <v>45187</v>
      </c>
      <c r="H129" s="2">
        <v>236</v>
      </c>
      <c r="I129" s="2">
        <v>4007277593</v>
      </c>
      <c r="J129" s="2" t="s">
        <v>21</v>
      </c>
      <c r="K129" s="2" t="s">
        <v>22</v>
      </c>
    </row>
    <row r="130" spans="1:11" ht="14.25" customHeight="1" x14ac:dyDescent="0.35">
      <c r="A130" s="2" t="s">
        <v>201</v>
      </c>
      <c r="B130" s="2" t="s">
        <v>30</v>
      </c>
      <c r="C130" s="2" t="s">
        <v>42</v>
      </c>
      <c r="D130" s="2" t="s">
        <v>43</v>
      </c>
      <c r="F130" s="3">
        <v>45193</v>
      </c>
      <c r="G130" s="3">
        <v>45267</v>
      </c>
      <c r="H130" s="2">
        <v>74</v>
      </c>
      <c r="I130" s="2">
        <v>3104590012</v>
      </c>
      <c r="J130" s="2" t="s">
        <v>33</v>
      </c>
      <c r="K130" s="2" t="s">
        <v>22</v>
      </c>
    </row>
    <row r="131" spans="1:11" ht="14.25" customHeight="1" x14ac:dyDescent="0.35">
      <c r="A131" s="2" t="s">
        <v>202</v>
      </c>
      <c r="B131" s="2" t="s">
        <v>12</v>
      </c>
      <c r="C131" s="2" t="s">
        <v>48</v>
      </c>
      <c r="D131" s="2" t="s">
        <v>171</v>
      </c>
      <c r="E131" s="2">
        <v>17.350000000000001</v>
      </c>
      <c r="F131" s="3">
        <v>45201</v>
      </c>
      <c r="G131" s="3">
        <v>45418</v>
      </c>
      <c r="H131" s="2">
        <v>217</v>
      </c>
      <c r="I131" s="2">
        <v>2806581313</v>
      </c>
      <c r="J131" s="2" t="s">
        <v>67</v>
      </c>
      <c r="K131" s="2" t="s">
        <v>16</v>
      </c>
    </row>
    <row r="132" spans="1:11" ht="14.25" customHeight="1" x14ac:dyDescent="0.35">
      <c r="A132" s="2" t="s">
        <v>203</v>
      </c>
      <c r="B132" s="2" t="s">
        <v>35</v>
      </c>
      <c r="C132" s="2" t="s">
        <v>13</v>
      </c>
      <c r="D132" s="2" t="s">
        <v>78</v>
      </c>
      <c r="E132" s="2">
        <v>2.2799999999999998</v>
      </c>
      <c r="F132" s="3">
        <v>45035</v>
      </c>
      <c r="G132" s="3">
        <v>45297</v>
      </c>
      <c r="H132" s="2">
        <v>262</v>
      </c>
      <c r="I132" s="2">
        <v>1794416677</v>
      </c>
      <c r="J132" s="2" t="s">
        <v>15</v>
      </c>
      <c r="K132" s="2" t="s">
        <v>22</v>
      </c>
    </row>
    <row r="133" spans="1:11" ht="14.25" customHeight="1" x14ac:dyDescent="0.35">
      <c r="A133" s="2" t="s">
        <v>204</v>
      </c>
      <c r="B133" s="2" t="s">
        <v>60</v>
      </c>
      <c r="C133" s="2" t="s">
        <v>31</v>
      </c>
      <c r="D133" s="2" t="s">
        <v>111</v>
      </c>
      <c r="F133" s="3">
        <v>45048</v>
      </c>
      <c r="G133" s="3">
        <v>45358</v>
      </c>
      <c r="H133" s="2">
        <v>310</v>
      </c>
      <c r="I133" s="2">
        <v>627797648</v>
      </c>
      <c r="K133" s="2" t="s">
        <v>22</v>
      </c>
    </row>
    <row r="134" spans="1:11" ht="14.25" customHeight="1" x14ac:dyDescent="0.35">
      <c r="A134" s="2" t="s">
        <v>205</v>
      </c>
      <c r="B134" s="2" t="s">
        <v>18</v>
      </c>
      <c r="C134" s="2" t="s">
        <v>39</v>
      </c>
      <c r="D134" s="2" t="s">
        <v>53</v>
      </c>
      <c r="F134" s="3">
        <v>45194</v>
      </c>
      <c r="G134" s="3">
        <v>45394</v>
      </c>
      <c r="H134" s="2">
        <v>200</v>
      </c>
      <c r="I134" s="2">
        <v>1896325368</v>
      </c>
      <c r="J134" s="2" t="s">
        <v>50</v>
      </c>
      <c r="K134" s="2" t="s">
        <v>16</v>
      </c>
    </row>
    <row r="135" spans="1:11" ht="14.25" customHeight="1" x14ac:dyDescent="0.35">
      <c r="A135" s="2" t="s">
        <v>206</v>
      </c>
      <c r="B135" s="2" t="s">
        <v>30</v>
      </c>
      <c r="C135" s="2" t="s">
        <v>24</v>
      </c>
      <c r="D135" s="2" t="s">
        <v>85</v>
      </c>
      <c r="F135" s="3">
        <v>45131</v>
      </c>
      <c r="G135" s="3">
        <v>45411</v>
      </c>
      <c r="H135" s="2">
        <v>280</v>
      </c>
      <c r="I135" s="2">
        <v>2528395548</v>
      </c>
      <c r="J135" s="2" t="s">
        <v>33</v>
      </c>
      <c r="K135" s="2" t="s">
        <v>22</v>
      </c>
    </row>
    <row r="136" spans="1:11" ht="14.25" customHeight="1" x14ac:dyDescent="0.35">
      <c r="A136" s="2" t="s">
        <v>207</v>
      </c>
      <c r="B136" s="2" t="s">
        <v>35</v>
      </c>
      <c r="C136" s="2" t="s">
        <v>48</v>
      </c>
      <c r="D136" s="2" t="s">
        <v>49</v>
      </c>
      <c r="E136" s="2">
        <v>4.49</v>
      </c>
      <c r="F136" s="3">
        <v>45107</v>
      </c>
      <c r="G136" s="3">
        <v>45221</v>
      </c>
      <c r="H136" s="2">
        <v>114</v>
      </c>
      <c r="I136" s="2">
        <v>892739068</v>
      </c>
      <c r="J136" s="2" t="s">
        <v>50</v>
      </c>
      <c r="K136" s="2" t="s">
        <v>16</v>
      </c>
    </row>
    <row r="137" spans="1:11" ht="14.25" customHeight="1" x14ac:dyDescent="0.35">
      <c r="A137" s="2" t="s">
        <v>208</v>
      </c>
      <c r="B137" s="2" t="s">
        <v>30</v>
      </c>
      <c r="C137" s="2" t="s">
        <v>19</v>
      </c>
      <c r="D137" s="2" t="s">
        <v>58</v>
      </c>
      <c r="F137" s="3">
        <v>44963</v>
      </c>
      <c r="G137" s="3">
        <v>45048</v>
      </c>
      <c r="H137" s="2">
        <v>85</v>
      </c>
      <c r="I137" s="2">
        <v>2750589512</v>
      </c>
      <c r="J137" s="2" t="s">
        <v>50</v>
      </c>
      <c r="K137" s="2" t="s">
        <v>22</v>
      </c>
    </row>
    <row r="138" spans="1:11" ht="14.25" customHeight="1" x14ac:dyDescent="0.35">
      <c r="A138" s="2" t="s">
        <v>209</v>
      </c>
      <c r="B138" s="2" t="s">
        <v>60</v>
      </c>
      <c r="C138" s="2" t="s">
        <v>19</v>
      </c>
      <c r="D138" s="2" t="s">
        <v>87</v>
      </c>
      <c r="F138" s="3">
        <v>45081</v>
      </c>
      <c r="G138" s="3">
        <v>45393</v>
      </c>
      <c r="H138" s="2">
        <v>312</v>
      </c>
      <c r="I138" s="2">
        <v>4995996103</v>
      </c>
      <c r="J138" s="2" t="s">
        <v>67</v>
      </c>
      <c r="K138" s="2" t="s">
        <v>16</v>
      </c>
    </row>
    <row r="139" spans="1:11" ht="14.25" customHeight="1" x14ac:dyDescent="0.35">
      <c r="A139" s="2" t="s">
        <v>210</v>
      </c>
      <c r="B139" s="2" t="s">
        <v>30</v>
      </c>
      <c r="C139" s="2" t="s">
        <v>36</v>
      </c>
      <c r="D139" s="2" t="s">
        <v>93</v>
      </c>
      <c r="F139" s="3">
        <v>44992</v>
      </c>
      <c r="G139" s="3">
        <v>45322</v>
      </c>
      <c r="H139" s="2">
        <v>330</v>
      </c>
      <c r="I139" s="2">
        <v>1397284879</v>
      </c>
      <c r="K139" s="2" t="s">
        <v>16</v>
      </c>
    </row>
    <row r="140" spans="1:11" ht="14.25" customHeight="1" x14ac:dyDescent="0.35">
      <c r="A140" s="2" t="s">
        <v>211</v>
      </c>
      <c r="B140" s="2" t="s">
        <v>12</v>
      </c>
      <c r="C140" s="2" t="s">
        <v>39</v>
      </c>
      <c r="D140" s="2" t="s">
        <v>160</v>
      </c>
      <c r="E140" s="2">
        <v>46.46</v>
      </c>
      <c r="F140" s="3">
        <v>44930</v>
      </c>
      <c r="G140" s="3">
        <v>45182</v>
      </c>
      <c r="H140" s="2">
        <v>252</v>
      </c>
      <c r="I140" s="2">
        <v>4566052575</v>
      </c>
      <c r="J140" s="2" t="s">
        <v>67</v>
      </c>
      <c r="K140" s="2" t="s">
        <v>22</v>
      </c>
    </row>
    <row r="141" spans="1:11" ht="14.25" customHeight="1" x14ac:dyDescent="0.35">
      <c r="A141" s="2" t="s">
        <v>212</v>
      </c>
      <c r="B141" s="2" t="s">
        <v>35</v>
      </c>
      <c r="C141" s="2" t="s">
        <v>48</v>
      </c>
      <c r="D141" s="2" t="s">
        <v>49</v>
      </c>
      <c r="E141" s="2">
        <v>2.65</v>
      </c>
      <c r="F141" s="3">
        <v>45035</v>
      </c>
      <c r="G141" s="3">
        <v>45269</v>
      </c>
      <c r="H141" s="2">
        <v>234</v>
      </c>
      <c r="I141" s="2">
        <v>999409607</v>
      </c>
      <c r="J141" s="2" t="s">
        <v>26</v>
      </c>
      <c r="K141" s="2" t="s">
        <v>22</v>
      </c>
    </row>
    <row r="142" spans="1:11" ht="14.25" customHeight="1" x14ac:dyDescent="0.35">
      <c r="A142" s="2" t="s">
        <v>213</v>
      </c>
      <c r="B142" s="2" t="s">
        <v>18</v>
      </c>
      <c r="C142" s="2" t="s">
        <v>31</v>
      </c>
      <c r="D142" s="2" t="s">
        <v>74</v>
      </c>
      <c r="F142" s="3">
        <v>45038</v>
      </c>
      <c r="G142" s="3">
        <v>45333</v>
      </c>
      <c r="H142" s="2">
        <v>295</v>
      </c>
      <c r="I142" s="2">
        <v>3226986582</v>
      </c>
      <c r="J142" s="2" t="s">
        <v>21</v>
      </c>
      <c r="K142" s="2" t="s">
        <v>16</v>
      </c>
    </row>
    <row r="143" spans="1:11" ht="14.25" customHeight="1" x14ac:dyDescent="0.35">
      <c r="A143" s="2" t="s">
        <v>214</v>
      </c>
      <c r="B143" s="2" t="s">
        <v>30</v>
      </c>
      <c r="C143" s="2" t="s">
        <v>42</v>
      </c>
      <c r="D143" s="2" t="s">
        <v>43</v>
      </c>
      <c r="F143" s="3">
        <v>45102</v>
      </c>
      <c r="G143" s="3">
        <v>45324</v>
      </c>
      <c r="H143" s="2">
        <v>222</v>
      </c>
      <c r="I143" s="2">
        <v>1963757335</v>
      </c>
      <c r="J143" s="2" t="s">
        <v>21</v>
      </c>
      <c r="K143" s="2" t="s">
        <v>22</v>
      </c>
    </row>
    <row r="144" spans="1:11" ht="14.25" customHeight="1" x14ac:dyDescent="0.35">
      <c r="A144" s="2" t="s">
        <v>215</v>
      </c>
      <c r="B144" s="2" t="s">
        <v>12</v>
      </c>
      <c r="C144" s="2" t="s">
        <v>36</v>
      </c>
      <c r="D144" s="2" t="s">
        <v>46</v>
      </c>
      <c r="E144" s="2">
        <v>39.46</v>
      </c>
      <c r="F144" s="3">
        <v>45125</v>
      </c>
      <c r="G144" s="3">
        <v>45419</v>
      </c>
      <c r="H144" s="2">
        <v>294</v>
      </c>
      <c r="I144" s="2">
        <v>4375640747</v>
      </c>
      <c r="J144" s="2" t="s">
        <v>33</v>
      </c>
      <c r="K144" s="2" t="s">
        <v>22</v>
      </c>
    </row>
    <row r="145" spans="1:11" ht="14.25" customHeight="1" x14ac:dyDescent="0.35">
      <c r="A145" s="2" t="s">
        <v>216</v>
      </c>
      <c r="B145" s="2" t="s">
        <v>12</v>
      </c>
      <c r="C145" s="2" t="s">
        <v>48</v>
      </c>
      <c r="D145" s="2" t="s">
        <v>171</v>
      </c>
      <c r="E145" s="2">
        <v>39.5</v>
      </c>
      <c r="F145" s="3">
        <v>44985</v>
      </c>
      <c r="G145" s="3">
        <v>45186</v>
      </c>
      <c r="H145" s="2">
        <v>201</v>
      </c>
      <c r="I145" s="2">
        <v>1585579247</v>
      </c>
      <c r="J145" s="2" t="s">
        <v>44</v>
      </c>
      <c r="K145" s="2" t="s">
        <v>22</v>
      </c>
    </row>
    <row r="146" spans="1:11" ht="14.25" customHeight="1" x14ac:dyDescent="0.35">
      <c r="A146" s="2" t="s">
        <v>217</v>
      </c>
      <c r="B146" s="2" t="s">
        <v>18</v>
      </c>
      <c r="C146" s="2" t="s">
        <v>31</v>
      </c>
      <c r="D146" s="2" t="s">
        <v>74</v>
      </c>
      <c r="F146" s="3">
        <v>45136</v>
      </c>
      <c r="G146" s="3">
        <v>45177</v>
      </c>
      <c r="H146" s="2">
        <v>41</v>
      </c>
      <c r="I146" s="2">
        <v>1850611125</v>
      </c>
      <c r="J146" s="2" t="s">
        <v>50</v>
      </c>
      <c r="K146" s="2" t="s">
        <v>22</v>
      </c>
    </row>
    <row r="147" spans="1:11" ht="14.25" customHeight="1" x14ac:dyDescent="0.35">
      <c r="A147" s="2" t="s">
        <v>218</v>
      </c>
      <c r="B147" s="2" t="s">
        <v>60</v>
      </c>
      <c r="C147" s="2" t="s">
        <v>19</v>
      </c>
      <c r="D147" s="2" t="s">
        <v>87</v>
      </c>
      <c r="F147" s="3">
        <v>45082</v>
      </c>
      <c r="G147" s="3">
        <v>45410</v>
      </c>
      <c r="H147" s="2">
        <v>328</v>
      </c>
      <c r="I147" s="2">
        <v>1625156384</v>
      </c>
      <c r="J147" s="2" t="s">
        <v>21</v>
      </c>
      <c r="K147" s="2" t="s">
        <v>16</v>
      </c>
    </row>
    <row r="148" spans="1:11" ht="14.25" customHeight="1" x14ac:dyDescent="0.35">
      <c r="A148" s="2" t="s">
        <v>219</v>
      </c>
      <c r="B148" s="2" t="s">
        <v>35</v>
      </c>
      <c r="C148" s="2" t="s">
        <v>42</v>
      </c>
      <c r="D148" s="2" t="s">
        <v>69</v>
      </c>
      <c r="E148" s="2">
        <v>4.21</v>
      </c>
      <c r="F148" s="3">
        <v>45415</v>
      </c>
      <c r="G148" s="3">
        <v>45159</v>
      </c>
      <c r="H148" s="2">
        <v>-256</v>
      </c>
      <c r="I148" s="2">
        <v>3711289401</v>
      </c>
      <c r="J148" s="2" t="s">
        <v>26</v>
      </c>
      <c r="K148" s="2" t="s">
        <v>16</v>
      </c>
    </row>
    <row r="149" spans="1:11" ht="14.25" customHeight="1" x14ac:dyDescent="0.35">
      <c r="A149" s="2" t="s">
        <v>220</v>
      </c>
      <c r="B149" s="2" t="s">
        <v>30</v>
      </c>
      <c r="C149" s="2" t="s">
        <v>31</v>
      </c>
      <c r="D149" s="2" t="s">
        <v>32</v>
      </c>
      <c r="F149" s="3">
        <v>45191</v>
      </c>
      <c r="G149" s="3">
        <v>45375</v>
      </c>
      <c r="H149" s="2">
        <v>184</v>
      </c>
      <c r="I149" s="2">
        <v>547874456</v>
      </c>
      <c r="J149" s="2" t="s">
        <v>21</v>
      </c>
      <c r="K149" s="2" t="s">
        <v>22</v>
      </c>
    </row>
    <row r="150" spans="1:11" ht="14.25" customHeight="1" x14ac:dyDescent="0.35">
      <c r="A150" s="2" t="s">
        <v>221</v>
      </c>
      <c r="B150" s="2" t="s">
        <v>12</v>
      </c>
      <c r="C150" s="2" t="s">
        <v>36</v>
      </c>
      <c r="D150" s="2" t="s">
        <v>46</v>
      </c>
      <c r="E150" s="2">
        <v>47.33</v>
      </c>
      <c r="F150" s="3">
        <v>45130</v>
      </c>
      <c r="G150" s="3">
        <v>45407</v>
      </c>
      <c r="H150" s="2">
        <v>277</v>
      </c>
      <c r="I150" s="2">
        <v>2418194939</v>
      </c>
      <c r="J150" s="2" t="s">
        <v>15</v>
      </c>
      <c r="K150" s="2" t="s">
        <v>22</v>
      </c>
    </row>
    <row r="151" spans="1:11" ht="14.25" customHeight="1" x14ac:dyDescent="0.35">
      <c r="A151" s="2" t="s">
        <v>222</v>
      </c>
      <c r="B151" s="2" t="s">
        <v>18</v>
      </c>
      <c r="C151" s="2" t="s">
        <v>24</v>
      </c>
      <c r="D151" s="2" t="s">
        <v>95</v>
      </c>
      <c r="F151" s="3">
        <v>45196</v>
      </c>
      <c r="G151" s="3">
        <v>45429</v>
      </c>
      <c r="H151" s="2">
        <v>233</v>
      </c>
      <c r="I151" s="2">
        <v>2482904630</v>
      </c>
      <c r="J151" s="2" t="s">
        <v>44</v>
      </c>
      <c r="K151" s="2" t="s">
        <v>16</v>
      </c>
    </row>
    <row r="152" spans="1:11" ht="14.25" customHeight="1" x14ac:dyDescent="0.35">
      <c r="A152" s="2" t="s">
        <v>223</v>
      </c>
      <c r="B152" s="2" t="s">
        <v>60</v>
      </c>
      <c r="C152" s="2" t="s">
        <v>24</v>
      </c>
      <c r="D152" s="2" t="s">
        <v>80</v>
      </c>
      <c r="F152" s="3">
        <v>45202</v>
      </c>
      <c r="G152" s="3">
        <v>45487</v>
      </c>
      <c r="H152" s="2">
        <v>285</v>
      </c>
      <c r="I152" s="2">
        <v>3421181479</v>
      </c>
      <c r="J152" s="2" t="s">
        <v>44</v>
      </c>
      <c r="K152" s="2" t="s">
        <v>16</v>
      </c>
    </row>
    <row r="153" spans="1:11" ht="14.25" customHeight="1" x14ac:dyDescent="0.35">
      <c r="A153" s="2" t="s">
        <v>224</v>
      </c>
      <c r="B153" s="2" t="s">
        <v>30</v>
      </c>
      <c r="C153" s="2" t="s">
        <v>36</v>
      </c>
      <c r="D153" s="2" t="s">
        <v>93</v>
      </c>
      <c r="F153" s="3">
        <v>45205</v>
      </c>
      <c r="G153" s="3">
        <v>45384</v>
      </c>
      <c r="H153" s="2">
        <v>179</v>
      </c>
      <c r="I153" s="2">
        <v>4228748356</v>
      </c>
      <c r="J153" s="2" t="s">
        <v>15</v>
      </c>
      <c r="K153" s="2" t="s">
        <v>16</v>
      </c>
    </row>
    <row r="154" spans="1:11" ht="14.25" customHeight="1" x14ac:dyDescent="0.35">
      <c r="A154" s="2" t="s">
        <v>225</v>
      </c>
      <c r="B154" s="2" t="s">
        <v>18</v>
      </c>
      <c r="C154" s="2" t="s">
        <v>39</v>
      </c>
      <c r="D154" s="2" t="s">
        <v>53</v>
      </c>
      <c r="F154" s="3">
        <v>45003</v>
      </c>
      <c r="G154" s="3">
        <v>45165</v>
      </c>
      <c r="H154" s="2">
        <v>162</v>
      </c>
      <c r="I154" s="2">
        <v>3119949557</v>
      </c>
      <c r="J154" s="2" t="s">
        <v>15</v>
      </c>
      <c r="K154" s="2" t="s">
        <v>22</v>
      </c>
    </row>
    <row r="155" spans="1:11" ht="14.25" customHeight="1" x14ac:dyDescent="0.35">
      <c r="A155" s="2" t="s">
        <v>226</v>
      </c>
      <c r="B155" s="2" t="s">
        <v>60</v>
      </c>
      <c r="C155" s="2" t="s">
        <v>42</v>
      </c>
      <c r="D155" s="2" t="s">
        <v>154</v>
      </c>
      <c r="F155" s="3">
        <v>45202</v>
      </c>
      <c r="G155" s="3">
        <v>45456</v>
      </c>
      <c r="H155" s="2">
        <v>254</v>
      </c>
      <c r="I155" s="2">
        <v>4443050926</v>
      </c>
      <c r="J155" s="2" t="s">
        <v>50</v>
      </c>
      <c r="K155" s="2" t="s">
        <v>16</v>
      </c>
    </row>
    <row r="156" spans="1:11" ht="14.25" customHeight="1" x14ac:dyDescent="0.35">
      <c r="A156" s="2" t="s">
        <v>227</v>
      </c>
      <c r="B156" s="2" t="s">
        <v>35</v>
      </c>
      <c r="C156" s="2" t="s">
        <v>13</v>
      </c>
      <c r="D156" s="2" t="s">
        <v>78</v>
      </c>
      <c r="E156" s="2">
        <v>2.17</v>
      </c>
      <c r="F156" s="3">
        <v>45084</v>
      </c>
      <c r="G156" s="3">
        <v>45303</v>
      </c>
      <c r="H156" s="2">
        <v>219</v>
      </c>
      <c r="I156" s="2">
        <v>1778345207</v>
      </c>
      <c r="J156" s="2" t="s">
        <v>44</v>
      </c>
      <c r="K156" s="2" t="s">
        <v>22</v>
      </c>
    </row>
    <row r="157" spans="1:11" ht="14.25" customHeight="1" x14ac:dyDescent="0.35">
      <c r="A157" s="2" t="s">
        <v>228</v>
      </c>
      <c r="B157" s="2" t="s">
        <v>30</v>
      </c>
      <c r="C157" s="2" t="s">
        <v>31</v>
      </c>
      <c r="D157" s="2" t="s">
        <v>32</v>
      </c>
      <c r="F157" s="3">
        <v>45063</v>
      </c>
      <c r="G157" s="3">
        <v>45274</v>
      </c>
      <c r="H157" s="2">
        <v>211</v>
      </c>
      <c r="I157" s="2">
        <v>4914395180</v>
      </c>
      <c r="J157" s="2" t="s">
        <v>26</v>
      </c>
      <c r="K157" s="2" t="s">
        <v>22</v>
      </c>
    </row>
    <row r="158" spans="1:11" ht="14.25" customHeight="1" x14ac:dyDescent="0.35">
      <c r="A158" s="2" t="s">
        <v>229</v>
      </c>
      <c r="B158" s="2" t="s">
        <v>12</v>
      </c>
      <c r="C158" s="2" t="s">
        <v>24</v>
      </c>
      <c r="D158" s="2" t="s">
        <v>25</v>
      </c>
      <c r="E158" s="2">
        <v>32.21</v>
      </c>
      <c r="F158" s="3">
        <v>45259</v>
      </c>
      <c r="G158" s="3">
        <v>45542</v>
      </c>
      <c r="H158" s="2">
        <v>283</v>
      </c>
      <c r="I158" s="2">
        <v>4064388909</v>
      </c>
      <c r="J158" s="2" t="s">
        <v>67</v>
      </c>
      <c r="K158" s="2" t="s">
        <v>22</v>
      </c>
    </row>
    <row r="159" spans="1:11" ht="14.25" customHeight="1" x14ac:dyDescent="0.35">
      <c r="A159" s="2" t="s">
        <v>230</v>
      </c>
      <c r="B159" s="2" t="s">
        <v>60</v>
      </c>
      <c r="C159" s="2" t="s">
        <v>31</v>
      </c>
      <c r="D159" s="2" t="s">
        <v>111</v>
      </c>
      <c r="F159" s="3">
        <v>45088</v>
      </c>
      <c r="G159" s="3">
        <v>45402</v>
      </c>
      <c r="H159" s="2">
        <v>314</v>
      </c>
      <c r="I159" s="2">
        <v>3220731279</v>
      </c>
      <c r="J159" s="2" t="s">
        <v>67</v>
      </c>
      <c r="K159" s="2" t="s">
        <v>22</v>
      </c>
    </row>
    <row r="160" spans="1:11" ht="14.25" customHeight="1" x14ac:dyDescent="0.35">
      <c r="A160" s="2" t="s">
        <v>231</v>
      </c>
      <c r="B160" s="2" t="s">
        <v>60</v>
      </c>
      <c r="C160" s="2" t="s">
        <v>48</v>
      </c>
      <c r="D160" s="2" t="s">
        <v>66</v>
      </c>
      <c r="F160" s="3">
        <v>45063</v>
      </c>
      <c r="G160" s="3">
        <v>45376</v>
      </c>
      <c r="H160" s="2">
        <v>313</v>
      </c>
      <c r="I160" s="2">
        <v>4152891841</v>
      </c>
      <c r="K160" s="2" t="s">
        <v>16</v>
      </c>
    </row>
    <row r="161" spans="1:11" ht="14.25" customHeight="1" x14ac:dyDescent="0.35">
      <c r="A161" s="2" t="s">
        <v>232</v>
      </c>
      <c r="B161" s="2" t="s">
        <v>35</v>
      </c>
      <c r="C161" s="2" t="s">
        <v>13</v>
      </c>
      <c r="D161" s="2" t="s">
        <v>78</v>
      </c>
      <c r="E161" s="2">
        <v>1.18</v>
      </c>
      <c r="F161" s="3">
        <v>45258</v>
      </c>
      <c r="G161" s="3">
        <v>45497</v>
      </c>
      <c r="H161" s="2">
        <v>239</v>
      </c>
      <c r="I161" s="2">
        <v>1158795044</v>
      </c>
      <c r="J161" s="2" t="s">
        <v>50</v>
      </c>
      <c r="K161" s="2" t="s">
        <v>22</v>
      </c>
    </row>
    <row r="162" spans="1:11" ht="14.25" customHeight="1" x14ac:dyDescent="0.35">
      <c r="A162" s="2" t="s">
        <v>233</v>
      </c>
      <c r="B162" s="2" t="s">
        <v>35</v>
      </c>
      <c r="C162" s="2" t="s">
        <v>39</v>
      </c>
      <c r="D162" s="2" t="s">
        <v>145</v>
      </c>
      <c r="E162" s="2">
        <v>4.3099999999999996</v>
      </c>
      <c r="F162" s="3">
        <v>45098</v>
      </c>
      <c r="G162" s="3">
        <v>45142</v>
      </c>
      <c r="H162" s="2">
        <v>44</v>
      </c>
      <c r="I162" s="2">
        <v>1663020609</v>
      </c>
      <c r="J162" s="2" t="s">
        <v>26</v>
      </c>
      <c r="K162" s="2" t="s">
        <v>16</v>
      </c>
    </row>
    <row r="163" spans="1:11" ht="14.25" customHeight="1" x14ac:dyDescent="0.35">
      <c r="A163" s="2" t="s">
        <v>234</v>
      </c>
      <c r="B163" s="2" t="s">
        <v>35</v>
      </c>
      <c r="C163" s="2" t="s">
        <v>36</v>
      </c>
      <c r="D163" s="2" t="s">
        <v>37</v>
      </c>
      <c r="E163" s="2">
        <v>4.6500000000000004</v>
      </c>
      <c r="F163" s="3">
        <v>45269</v>
      </c>
      <c r="G163" s="3">
        <v>45594</v>
      </c>
      <c r="H163" s="2">
        <v>325</v>
      </c>
      <c r="I163" s="2">
        <v>3615289684</v>
      </c>
      <c r="J163" s="2" t="s">
        <v>44</v>
      </c>
      <c r="K163" s="2" t="s">
        <v>22</v>
      </c>
    </row>
    <row r="164" spans="1:11" ht="14.25" customHeight="1" x14ac:dyDescent="0.35">
      <c r="A164" s="2" t="s">
        <v>235</v>
      </c>
      <c r="B164" s="2" t="s">
        <v>60</v>
      </c>
      <c r="C164" s="2" t="s">
        <v>24</v>
      </c>
      <c r="D164" s="2" t="s">
        <v>80</v>
      </c>
      <c r="F164" s="3">
        <v>45129</v>
      </c>
      <c r="G164" s="3">
        <v>45285</v>
      </c>
      <c r="H164" s="2">
        <v>156</v>
      </c>
      <c r="I164" s="2">
        <v>1890861813</v>
      </c>
      <c r="J164" s="2" t="s">
        <v>26</v>
      </c>
      <c r="K164" s="2" t="s">
        <v>16</v>
      </c>
    </row>
    <row r="165" spans="1:11" ht="14.25" customHeight="1" x14ac:dyDescent="0.35">
      <c r="A165" s="2" t="s">
        <v>236</v>
      </c>
      <c r="B165" s="2" t="s">
        <v>12</v>
      </c>
      <c r="C165" s="2" t="s">
        <v>48</v>
      </c>
      <c r="D165" s="2" t="s">
        <v>171</v>
      </c>
      <c r="E165" s="2">
        <v>31.25</v>
      </c>
      <c r="F165" s="3">
        <v>45285</v>
      </c>
      <c r="G165" s="3">
        <v>45318</v>
      </c>
      <c r="H165" s="2">
        <v>33</v>
      </c>
      <c r="I165" s="2">
        <v>4389350793</v>
      </c>
      <c r="K165" s="2" t="s">
        <v>22</v>
      </c>
    </row>
    <row r="166" spans="1:11" ht="14.25" customHeight="1" x14ac:dyDescent="0.35">
      <c r="A166" s="2" t="s">
        <v>237</v>
      </c>
      <c r="B166" s="2" t="s">
        <v>12</v>
      </c>
      <c r="C166" s="2" t="s">
        <v>39</v>
      </c>
      <c r="D166" s="2" t="s">
        <v>160</v>
      </c>
      <c r="E166" s="2">
        <v>34.65</v>
      </c>
      <c r="F166" s="3">
        <v>45235</v>
      </c>
      <c r="G166" s="3">
        <v>45313</v>
      </c>
      <c r="H166" s="2">
        <v>78</v>
      </c>
      <c r="I166" s="2">
        <v>3565088059</v>
      </c>
      <c r="J166" s="2" t="s">
        <v>44</v>
      </c>
      <c r="K166" s="2" t="s">
        <v>16</v>
      </c>
    </row>
    <row r="167" spans="1:11" ht="14.25" customHeight="1" x14ac:dyDescent="0.35">
      <c r="A167" s="2" t="s">
        <v>238</v>
      </c>
      <c r="B167" s="2" t="s">
        <v>12</v>
      </c>
      <c r="C167" s="2" t="s">
        <v>24</v>
      </c>
      <c r="D167" s="2" t="s">
        <v>25</v>
      </c>
      <c r="E167" s="2">
        <v>7.94</v>
      </c>
      <c r="F167" s="3">
        <v>45093</v>
      </c>
      <c r="G167" s="3">
        <v>45337</v>
      </c>
      <c r="H167" s="2">
        <v>244</v>
      </c>
      <c r="I167" s="2">
        <v>4866739357</v>
      </c>
      <c r="J167" s="2" t="s">
        <v>50</v>
      </c>
      <c r="K167" s="2" t="s">
        <v>16</v>
      </c>
    </row>
    <row r="168" spans="1:11" ht="14.25" customHeight="1" x14ac:dyDescent="0.35">
      <c r="A168" s="2" t="s">
        <v>239</v>
      </c>
      <c r="B168" s="2" t="s">
        <v>18</v>
      </c>
      <c r="C168" s="2" t="s">
        <v>13</v>
      </c>
      <c r="D168" s="2" t="s">
        <v>143</v>
      </c>
      <c r="F168" s="3">
        <v>45168</v>
      </c>
      <c r="G168" s="3">
        <v>45530</v>
      </c>
      <c r="H168" s="2">
        <v>362</v>
      </c>
      <c r="I168" s="2">
        <v>1057875913</v>
      </c>
      <c r="K168" s="2" t="s">
        <v>16</v>
      </c>
    </row>
    <row r="169" spans="1:11" ht="14.25" customHeight="1" x14ac:dyDescent="0.35">
      <c r="A169" s="2" t="s">
        <v>240</v>
      </c>
      <c r="B169" s="2" t="s">
        <v>35</v>
      </c>
      <c r="C169" s="2" t="s">
        <v>42</v>
      </c>
      <c r="D169" s="2" t="s">
        <v>69</v>
      </c>
      <c r="E169" s="2">
        <v>1.3</v>
      </c>
      <c r="F169" s="3">
        <v>45226</v>
      </c>
      <c r="G169" s="3">
        <v>45467</v>
      </c>
      <c r="H169" s="2">
        <v>241</v>
      </c>
      <c r="I169" s="2">
        <v>4061254760</v>
      </c>
      <c r="J169" s="2" t="s">
        <v>21</v>
      </c>
      <c r="K169" s="2" t="s">
        <v>22</v>
      </c>
    </row>
    <row r="170" spans="1:11" ht="14.25" customHeight="1" x14ac:dyDescent="0.35">
      <c r="A170" s="2" t="s">
        <v>241</v>
      </c>
      <c r="B170" s="2" t="s">
        <v>12</v>
      </c>
      <c r="C170" s="2" t="s">
        <v>42</v>
      </c>
      <c r="D170" s="2" t="s">
        <v>63</v>
      </c>
      <c r="E170" s="2">
        <v>27.9</v>
      </c>
      <c r="F170" s="3">
        <v>45260</v>
      </c>
      <c r="G170" s="3">
        <v>45376</v>
      </c>
      <c r="H170" s="2">
        <v>116</v>
      </c>
      <c r="I170" s="2">
        <v>3016600291</v>
      </c>
      <c r="J170" s="2" t="s">
        <v>44</v>
      </c>
      <c r="K170" s="2" t="s">
        <v>22</v>
      </c>
    </row>
    <row r="171" spans="1:11" ht="14.25" customHeight="1" x14ac:dyDescent="0.35">
      <c r="A171" s="2" t="s">
        <v>242</v>
      </c>
      <c r="B171" s="2" t="s">
        <v>18</v>
      </c>
      <c r="C171" s="2" t="s">
        <v>39</v>
      </c>
      <c r="D171" s="2" t="s">
        <v>53</v>
      </c>
      <c r="F171" s="3">
        <v>45088</v>
      </c>
      <c r="G171" s="3">
        <v>45259</v>
      </c>
      <c r="H171" s="2">
        <v>171</v>
      </c>
      <c r="I171" s="2">
        <v>4648730907</v>
      </c>
      <c r="J171" s="2" t="s">
        <v>50</v>
      </c>
      <c r="K171" s="2" t="s">
        <v>16</v>
      </c>
    </row>
    <row r="172" spans="1:11" ht="14.25" customHeight="1" x14ac:dyDescent="0.35">
      <c r="A172" s="2" t="s">
        <v>243</v>
      </c>
      <c r="B172" s="2" t="s">
        <v>35</v>
      </c>
      <c r="C172" s="2" t="s">
        <v>39</v>
      </c>
      <c r="D172" s="2" t="s">
        <v>145</v>
      </c>
      <c r="E172" s="2">
        <v>2.62</v>
      </c>
      <c r="F172" s="3">
        <v>44984</v>
      </c>
      <c r="G172" s="3">
        <v>45149</v>
      </c>
      <c r="H172" s="2">
        <v>165</v>
      </c>
      <c r="I172" s="2">
        <v>1774149605</v>
      </c>
      <c r="J172" s="2" t="s">
        <v>44</v>
      </c>
      <c r="K172" s="2" t="s">
        <v>22</v>
      </c>
    </row>
    <row r="173" spans="1:11" ht="14.25" customHeight="1" x14ac:dyDescent="0.35">
      <c r="A173" s="2" t="s">
        <v>244</v>
      </c>
      <c r="B173" s="2" t="s">
        <v>12</v>
      </c>
      <c r="C173" s="2" t="s">
        <v>48</v>
      </c>
      <c r="D173" s="2" t="s">
        <v>171</v>
      </c>
      <c r="E173" s="2">
        <v>39.36</v>
      </c>
      <c r="F173" s="3">
        <v>45246</v>
      </c>
      <c r="G173" s="3">
        <v>45389</v>
      </c>
      <c r="H173" s="2">
        <v>143</v>
      </c>
      <c r="I173" s="2">
        <v>3513788543</v>
      </c>
      <c r="J173" s="2" t="s">
        <v>50</v>
      </c>
      <c r="K173" s="2" t="s">
        <v>16</v>
      </c>
    </row>
    <row r="174" spans="1:11" ht="14.25" customHeight="1" x14ac:dyDescent="0.35">
      <c r="A174" s="2" t="s">
        <v>245</v>
      </c>
      <c r="B174" s="2" t="s">
        <v>12</v>
      </c>
      <c r="C174" s="2" t="s">
        <v>24</v>
      </c>
      <c r="D174" s="2" t="s">
        <v>25</v>
      </c>
      <c r="E174" s="2">
        <v>17.05</v>
      </c>
      <c r="F174" s="3">
        <v>45207</v>
      </c>
      <c r="G174" s="3">
        <v>45396</v>
      </c>
      <c r="H174" s="2">
        <v>189</v>
      </c>
      <c r="I174" s="2">
        <v>1352682275</v>
      </c>
      <c r="J174" s="2" t="s">
        <v>21</v>
      </c>
      <c r="K174" s="2" t="s">
        <v>16</v>
      </c>
    </row>
    <row r="175" spans="1:11" ht="14.25" customHeight="1" x14ac:dyDescent="0.35">
      <c r="A175" s="2" t="s">
        <v>246</v>
      </c>
      <c r="B175" s="2" t="s">
        <v>12</v>
      </c>
      <c r="C175" s="2" t="s">
        <v>42</v>
      </c>
      <c r="D175" s="2" t="s">
        <v>63</v>
      </c>
      <c r="E175" s="2">
        <v>35.950000000000003</v>
      </c>
      <c r="F175" s="3">
        <v>45201</v>
      </c>
      <c r="G175" s="3">
        <v>45499</v>
      </c>
      <c r="H175" s="2">
        <v>298</v>
      </c>
      <c r="I175" s="2">
        <v>953206726</v>
      </c>
      <c r="J175" s="2" t="s">
        <v>15</v>
      </c>
      <c r="K175" s="2" t="s">
        <v>22</v>
      </c>
    </row>
    <row r="176" spans="1:11" ht="14.25" customHeight="1" x14ac:dyDescent="0.35">
      <c r="A176" s="2" t="s">
        <v>247</v>
      </c>
      <c r="B176" s="2" t="s">
        <v>35</v>
      </c>
      <c r="C176" s="2" t="s">
        <v>24</v>
      </c>
      <c r="D176" s="2" t="s">
        <v>133</v>
      </c>
      <c r="E176" s="2">
        <v>2.83</v>
      </c>
      <c r="F176" s="3">
        <v>44931</v>
      </c>
      <c r="G176" s="3">
        <v>44968</v>
      </c>
      <c r="H176" s="2">
        <v>37</v>
      </c>
      <c r="I176" s="2">
        <v>1476759818</v>
      </c>
      <c r="J176" s="2" t="s">
        <v>44</v>
      </c>
      <c r="K176" s="2" t="s">
        <v>22</v>
      </c>
    </row>
    <row r="177" spans="1:11" ht="14.25" customHeight="1" x14ac:dyDescent="0.35">
      <c r="A177" s="2" t="s">
        <v>248</v>
      </c>
      <c r="B177" s="2" t="s">
        <v>30</v>
      </c>
      <c r="C177" s="2" t="s">
        <v>39</v>
      </c>
      <c r="D177" s="2" t="s">
        <v>40</v>
      </c>
      <c r="F177" s="3">
        <v>45248</v>
      </c>
      <c r="G177" s="3">
        <v>45481</v>
      </c>
      <c r="H177" s="2">
        <v>233</v>
      </c>
      <c r="I177" s="2">
        <v>1375323193</v>
      </c>
      <c r="J177" s="2" t="s">
        <v>15</v>
      </c>
      <c r="K177" s="2" t="s">
        <v>16</v>
      </c>
    </row>
    <row r="178" spans="1:11" ht="14.25" customHeight="1" x14ac:dyDescent="0.35">
      <c r="A178" s="2" t="s">
        <v>249</v>
      </c>
      <c r="B178" s="2" t="s">
        <v>60</v>
      </c>
      <c r="C178" s="2" t="s">
        <v>42</v>
      </c>
      <c r="D178" s="2" t="s">
        <v>154</v>
      </c>
      <c r="F178" s="3">
        <v>44949</v>
      </c>
      <c r="G178" s="3">
        <v>45041</v>
      </c>
      <c r="H178" s="2">
        <v>92</v>
      </c>
      <c r="I178" s="2">
        <v>772760179</v>
      </c>
      <c r="J178" s="2" t="s">
        <v>50</v>
      </c>
      <c r="K178" s="2" t="s">
        <v>22</v>
      </c>
    </row>
    <row r="179" spans="1:11" ht="14.25" customHeight="1" x14ac:dyDescent="0.35">
      <c r="A179" s="2" t="s">
        <v>250</v>
      </c>
      <c r="B179" s="2" t="s">
        <v>18</v>
      </c>
      <c r="C179" s="2" t="s">
        <v>13</v>
      </c>
      <c r="D179" s="2" t="s">
        <v>143</v>
      </c>
      <c r="F179" s="3">
        <v>45178</v>
      </c>
      <c r="G179" s="3">
        <v>45540</v>
      </c>
      <c r="H179" s="2">
        <v>362</v>
      </c>
      <c r="I179" s="2">
        <v>4866884991</v>
      </c>
      <c r="J179" s="2" t="s">
        <v>26</v>
      </c>
      <c r="K179" s="2" t="s">
        <v>22</v>
      </c>
    </row>
    <row r="180" spans="1:11" ht="14.25" customHeight="1" x14ac:dyDescent="0.35">
      <c r="A180" s="2" t="s">
        <v>251</v>
      </c>
      <c r="B180" s="2" t="s">
        <v>18</v>
      </c>
      <c r="C180" s="2" t="s">
        <v>31</v>
      </c>
      <c r="D180" s="2" t="s">
        <v>74</v>
      </c>
      <c r="F180" s="3">
        <v>45180</v>
      </c>
      <c r="G180" s="3">
        <v>45270</v>
      </c>
      <c r="H180" s="2">
        <v>90</v>
      </c>
      <c r="I180" s="2">
        <v>1641075657</v>
      </c>
      <c r="K180" s="2" t="s">
        <v>22</v>
      </c>
    </row>
    <row r="181" spans="1:11" ht="14.25" customHeight="1" x14ac:dyDescent="0.35">
      <c r="A181" s="2" t="s">
        <v>252</v>
      </c>
      <c r="B181" s="2" t="s">
        <v>35</v>
      </c>
      <c r="C181" s="2" t="s">
        <v>24</v>
      </c>
      <c r="D181" s="2" t="s">
        <v>133</v>
      </c>
      <c r="E181" s="2">
        <v>2.21</v>
      </c>
      <c r="F181" s="3">
        <v>45184</v>
      </c>
      <c r="G181" s="3">
        <v>45534</v>
      </c>
      <c r="H181" s="2">
        <v>350</v>
      </c>
      <c r="I181" s="2">
        <v>3916898592</v>
      </c>
      <c r="J181" s="2" t="s">
        <v>33</v>
      </c>
      <c r="K181" s="2" t="s">
        <v>16</v>
      </c>
    </row>
    <row r="182" spans="1:11" ht="14.25" customHeight="1" x14ac:dyDescent="0.35">
      <c r="A182" s="2" t="s">
        <v>253</v>
      </c>
      <c r="B182" s="2" t="s">
        <v>12</v>
      </c>
      <c r="C182" s="2" t="s">
        <v>42</v>
      </c>
      <c r="D182" s="2" t="s">
        <v>63</v>
      </c>
      <c r="E182" s="2">
        <v>43.74</v>
      </c>
      <c r="F182" s="3">
        <v>45124</v>
      </c>
      <c r="G182" s="3">
        <v>45258</v>
      </c>
      <c r="H182" s="2">
        <v>134</v>
      </c>
      <c r="I182" s="2">
        <v>2274655285</v>
      </c>
      <c r="J182" s="2" t="s">
        <v>44</v>
      </c>
      <c r="K182" s="2" t="s">
        <v>16</v>
      </c>
    </row>
    <row r="183" spans="1:11" ht="14.25" customHeight="1" x14ac:dyDescent="0.35">
      <c r="A183" s="2" t="s">
        <v>254</v>
      </c>
      <c r="B183" s="2" t="s">
        <v>60</v>
      </c>
      <c r="C183" s="2" t="s">
        <v>24</v>
      </c>
      <c r="D183" s="2" t="s">
        <v>80</v>
      </c>
      <c r="F183" s="3">
        <v>45041</v>
      </c>
      <c r="G183" s="3">
        <v>45359</v>
      </c>
      <c r="H183" s="2">
        <v>318</v>
      </c>
      <c r="I183" s="2">
        <v>1634701996</v>
      </c>
      <c r="J183" s="2" t="s">
        <v>50</v>
      </c>
      <c r="K183" s="2" t="s">
        <v>22</v>
      </c>
    </row>
    <row r="184" spans="1:11" ht="14.25" customHeight="1" x14ac:dyDescent="0.35">
      <c r="A184" s="2" t="s">
        <v>255</v>
      </c>
      <c r="B184" s="2" t="s">
        <v>35</v>
      </c>
      <c r="C184" s="2" t="s">
        <v>39</v>
      </c>
      <c r="D184" s="2" t="s">
        <v>145</v>
      </c>
      <c r="E184" s="2">
        <v>0.65</v>
      </c>
      <c r="F184" s="3">
        <v>45066</v>
      </c>
      <c r="G184" s="3">
        <v>45101</v>
      </c>
      <c r="H184" s="2">
        <v>35</v>
      </c>
      <c r="I184" s="2">
        <v>4084780580</v>
      </c>
      <c r="K184" s="2" t="s">
        <v>16</v>
      </c>
    </row>
    <row r="185" spans="1:11" ht="14.25" customHeight="1" x14ac:dyDescent="0.35">
      <c r="A185" s="2" t="s">
        <v>256</v>
      </c>
      <c r="B185" s="2" t="s">
        <v>18</v>
      </c>
      <c r="C185" s="2" t="s">
        <v>48</v>
      </c>
      <c r="D185" s="2" t="s">
        <v>121</v>
      </c>
      <c r="F185" s="3">
        <v>45291</v>
      </c>
      <c r="G185" s="3">
        <v>45563</v>
      </c>
      <c r="H185" s="2">
        <v>272</v>
      </c>
      <c r="I185" s="2">
        <v>1580823068</v>
      </c>
      <c r="J185" s="2" t="s">
        <v>67</v>
      </c>
      <c r="K185" s="2" t="s">
        <v>22</v>
      </c>
    </row>
    <row r="186" spans="1:11" ht="14.25" customHeight="1" x14ac:dyDescent="0.35">
      <c r="A186" s="2" t="s">
        <v>257</v>
      </c>
      <c r="B186" s="2" t="s">
        <v>30</v>
      </c>
      <c r="C186" s="2" t="s">
        <v>48</v>
      </c>
      <c r="D186" s="2" t="s">
        <v>101</v>
      </c>
      <c r="F186" s="3">
        <v>45208</v>
      </c>
      <c r="G186" s="3">
        <v>45271</v>
      </c>
      <c r="H186" s="2">
        <v>63</v>
      </c>
      <c r="I186" s="2">
        <v>1173652345</v>
      </c>
      <c r="J186" s="2" t="s">
        <v>26</v>
      </c>
      <c r="K186" s="2" t="s">
        <v>22</v>
      </c>
    </row>
    <row r="187" spans="1:11" ht="14.25" customHeight="1" x14ac:dyDescent="0.35">
      <c r="A187" s="2" t="s">
        <v>258</v>
      </c>
      <c r="B187" s="2" t="s">
        <v>12</v>
      </c>
      <c r="C187" s="2" t="s">
        <v>39</v>
      </c>
      <c r="D187" s="2" t="s">
        <v>160</v>
      </c>
      <c r="E187" s="2">
        <v>19.23</v>
      </c>
      <c r="F187" s="3">
        <v>45037</v>
      </c>
      <c r="G187" s="3">
        <v>45384</v>
      </c>
      <c r="H187" s="2">
        <v>347</v>
      </c>
      <c r="I187" s="2">
        <v>1303694088</v>
      </c>
      <c r="J187" s="2" t="s">
        <v>67</v>
      </c>
      <c r="K187" s="2" t="s">
        <v>22</v>
      </c>
    </row>
    <row r="188" spans="1:11" ht="14.25" customHeight="1" x14ac:dyDescent="0.35">
      <c r="A188" s="2" t="s">
        <v>259</v>
      </c>
      <c r="B188" s="2" t="s">
        <v>12</v>
      </c>
      <c r="C188" s="2" t="s">
        <v>36</v>
      </c>
      <c r="D188" s="2" t="s">
        <v>46</v>
      </c>
      <c r="E188" s="2">
        <v>38.340000000000003</v>
      </c>
      <c r="F188" s="3">
        <v>44943</v>
      </c>
      <c r="G188" s="3">
        <v>45136</v>
      </c>
      <c r="H188" s="2">
        <v>193</v>
      </c>
      <c r="I188" s="2">
        <v>4720947844</v>
      </c>
      <c r="J188" s="2" t="s">
        <v>44</v>
      </c>
      <c r="K188" s="2" t="s">
        <v>16</v>
      </c>
    </row>
    <row r="189" spans="1:11" ht="14.25" customHeight="1" x14ac:dyDescent="0.35">
      <c r="A189" s="2" t="s">
        <v>260</v>
      </c>
      <c r="B189" s="2" t="s">
        <v>12</v>
      </c>
      <c r="C189" s="2" t="s">
        <v>48</v>
      </c>
      <c r="D189" s="2" t="s">
        <v>171</v>
      </c>
      <c r="E189" s="2">
        <v>29.6</v>
      </c>
      <c r="F189" s="3">
        <v>45072</v>
      </c>
      <c r="G189" s="3">
        <v>45310</v>
      </c>
      <c r="H189" s="2">
        <v>238</v>
      </c>
      <c r="I189" s="2">
        <v>3015569136</v>
      </c>
      <c r="J189" s="2" t="s">
        <v>21</v>
      </c>
      <c r="K189" s="2" t="s">
        <v>16</v>
      </c>
    </row>
    <row r="190" spans="1:11" ht="14.25" customHeight="1" x14ac:dyDescent="0.35">
      <c r="A190" s="2" t="s">
        <v>261</v>
      </c>
      <c r="B190" s="2" t="s">
        <v>60</v>
      </c>
      <c r="C190" s="2" t="s">
        <v>48</v>
      </c>
      <c r="D190" s="2" t="s">
        <v>66</v>
      </c>
      <c r="F190" s="3">
        <v>45034</v>
      </c>
      <c r="G190" s="3">
        <v>45257</v>
      </c>
      <c r="H190" s="2">
        <v>223</v>
      </c>
      <c r="I190" s="2">
        <v>3780953774</v>
      </c>
      <c r="J190" s="2" t="s">
        <v>33</v>
      </c>
      <c r="K190" s="2" t="s">
        <v>16</v>
      </c>
    </row>
    <row r="191" spans="1:11" ht="14.25" customHeight="1" x14ac:dyDescent="0.35">
      <c r="A191" s="2" t="s">
        <v>262</v>
      </c>
      <c r="B191" s="2" t="s">
        <v>30</v>
      </c>
      <c r="C191" s="2" t="s">
        <v>39</v>
      </c>
      <c r="D191" s="2" t="s">
        <v>40</v>
      </c>
      <c r="F191" s="3">
        <v>45118</v>
      </c>
      <c r="G191" s="3">
        <v>45394</v>
      </c>
      <c r="H191" s="2">
        <v>276</v>
      </c>
      <c r="I191" s="2">
        <v>2305791350</v>
      </c>
      <c r="J191" s="2" t="s">
        <v>15</v>
      </c>
      <c r="K191" s="2" t="s">
        <v>22</v>
      </c>
    </row>
    <row r="192" spans="1:11" ht="14.25" customHeight="1" x14ac:dyDescent="0.35">
      <c r="A192" s="2" t="s">
        <v>263</v>
      </c>
      <c r="B192" s="2" t="s">
        <v>18</v>
      </c>
      <c r="C192" s="2" t="s">
        <v>48</v>
      </c>
      <c r="D192" s="2" t="s">
        <v>121</v>
      </c>
      <c r="F192" s="3">
        <v>45253</v>
      </c>
      <c r="G192" s="3">
        <v>45512</v>
      </c>
      <c r="H192" s="2">
        <v>259</v>
      </c>
      <c r="I192" s="2">
        <v>1518912249</v>
      </c>
      <c r="K192" s="2" t="s">
        <v>22</v>
      </c>
    </row>
    <row r="193" spans="1:11" ht="14.25" customHeight="1" x14ac:dyDescent="0.35">
      <c r="A193" s="2" t="s">
        <v>264</v>
      </c>
      <c r="B193" s="2" t="s">
        <v>35</v>
      </c>
      <c r="C193" s="2" t="s">
        <v>39</v>
      </c>
      <c r="D193" s="2" t="s">
        <v>145</v>
      </c>
      <c r="E193" s="2">
        <v>0.98</v>
      </c>
      <c r="F193" s="3">
        <v>44961</v>
      </c>
      <c r="G193" s="3">
        <v>45065</v>
      </c>
      <c r="H193" s="2">
        <v>104</v>
      </c>
      <c r="I193" s="2">
        <v>1279199605</v>
      </c>
      <c r="J193" s="2" t="s">
        <v>21</v>
      </c>
      <c r="K193" s="2" t="s">
        <v>16</v>
      </c>
    </row>
    <row r="194" spans="1:11" ht="14.25" customHeight="1" x14ac:dyDescent="0.35">
      <c r="A194" s="2" t="s">
        <v>265</v>
      </c>
      <c r="B194" s="2" t="s">
        <v>35</v>
      </c>
      <c r="C194" s="2" t="s">
        <v>39</v>
      </c>
      <c r="D194" s="2" t="s">
        <v>145</v>
      </c>
      <c r="E194" s="2">
        <v>3.44</v>
      </c>
      <c r="F194" s="3">
        <v>45063</v>
      </c>
      <c r="G194" s="3">
        <v>45215</v>
      </c>
      <c r="H194" s="2">
        <v>152</v>
      </c>
      <c r="I194" s="2">
        <v>4958343686</v>
      </c>
      <c r="J194" s="2" t="s">
        <v>21</v>
      </c>
      <c r="K194" s="2" t="s">
        <v>16</v>
      </c>
    </row>
    <row r="195" spans="1:11" ht="14.25" customHeight="1" x14ac:dyDescent="0.35">
      <c r="A195" s="2" t="s">
        <v>266</v>
      </c>
      <c r="B195" s="2" t="s">
        <v>18</v>
      </c>
      <c r="C195" s="2" t="s">
        <v>31</v>
      </c>
      <c r="D195" s="2" t="s">
        <v>74</v>
      </c>
      <c r="F195" s="3">
        <v>45170</v>
      </c>
      <c r="G195" s="3">
        <v>45454</v>
      </c>
      <c r="H195" s="2">
        <v>284</v>
      </c>
      <c r="I195" s="2">
        <v>4494488602</v>
      </c>
      <c r="J195" s="2" t="s">
        <v>50</v>
      </c>
      <c r="K195" s="2" t="s">
        <v>16</v>
      </c>
    </row>
    <row r="196" spans="1:11" ht="14.25" customHeight="1" x14ac:dyDescent="0.35">
      <c r="A196" s="2" t="s">
        <v>267</v>
      </c>
      <c r="B196" s="2" t="s">
        <v>12</v>
      </c>
      <c r="C196" s="2" t="s">
        <v>48</v>
      </c>
      <c r="D196" s="2" t="s">
        <v>171</v>
      </c>
      <c r="E196" s="2">
        <v>9.74</v>
      </c>
      <c r="F196" s="3">
        <v>45045</v>
      </c>
      <c r="G196" s="3">
        <v>45324</v>
      </c>
      <c r="H196" s="2">
        <v>279</v>
      </c>
      <c r="I196" s="2">
        <v>857356531</v>
      </c>
      <c r="K196" s="2" t="s">
        <v>16</v>
      </c>
    </row>
    <row r="197" spans="1:11" ht="14.25" customHeight="1" x14ac:dyDescent="0.35">
      <c r="A197" s="2" t="s">
        <v>268</v>
      </c>
      <c r="B197" s="2" t="s">
        <v>35</v>
      </c>
      <c r="C197" s="2" t="s">
        <v>36</v>
      </c>
      <c r="D197" s="2" t="s">
        <v>37</v>
      </c>
      <c r="E197" s="2">
        <v>1.51</v>
      </c>
      <c r="F197" s="3">
        <v>44960</v>
      </c>
      <c r="G197" s="3">
        <v>45303</v>
      </c>
      <c r="H197" s="2">
        <v>343</v>
      </c>
      <c r="I197" s="2">
        <v>2783329287</v>
      </c>
      <c r="J197" s="2" t="s">
        <v>21</v>
      </c>
      <c r="K197" s="2" t="s">
        <v>16</v>
      </c>
    </row>
    <row r="198" spans="1:11" ht="14.25" customHeight="1" x14ac:dyDescent="0.35">
      <c r="A198" s="2" t="s">
        <v>269</v>
      </c>
      <c r="B198" s="2" t="s">
        <v>12</v>
      </c>
      <c r="C198" s="2" t="s">
        <v>39</v>
      </c>
      <c r="D198" s="2" t="s">
        <v>160</v>
      </c>
      <c r="E198" s="2">
        <v>37.58</v>
      </c>
      <c r="F198" s="3">
        <v>45052</v>
      </c>
      <c r="G198" s="3">
        <v>45253</v>
      </c>
      <c r="H198" s="2">
        <v>201</v>
      </c>
      <c r="I198" s="2">
        <v>4508099240</v>
      </c>
      <c r="J198" s="2" t="s">
        <v>44</v>
      </c>
      <c r="K198" s="2" t="s">
        <v>22</v>
      </c>
    </row>
    <row r="199" spans="1:11" ht="14.25" customHeight="1" x14ac:dyDescent="0.35">
      <c r="A199" s="2" t="s">
        <v>270</v>
      </c>
      <c r="B199" s="2" t="s">
        <v>12</v>
      </c>
      <c r="C199" s="2" t="s">
        <v>13</v>
      </c>
      <c r="D199" s="2" t="s">
        <v>14</v>
      </c>
      <c r="E199" s="2">
        <v>7.04</v>
      </c>
      <c r="F199" s="3">
        <v>44968</v>
      </c>
      <c r="G199" s="3">
        <v>45329</v>
      </c>
      <c r="H199" s="2">
        <v>361</v>
      </c>
      <c r="I199" s="2">
        <v>3990758596</v>
      </c>
      <c r="J199" s="2" t="s">
        <v>21</v>
      </c>
      <c r="K199" s="2" t="s">
        <v>22</v>
      </c>
    </row>
    <row r="200" spans="1:11" ht="14.25" customHeight="1" x14ac:dyDescent="0.35">
      <c r="A200" s="2" t="s">
        <v>271</v>
      </c>
      <c r="B200" s="2" t="s">
        <v>18</v>
      </c>
      <c r="C200" s="2" t="s">
        <v>24</v>
      </c>
      <c r="D200" s="2" t="s">
        <v>95</v>
      </c>
      <c r="F200" s="3">
        <v>45138</v>
      </c>
      <c r="G200" s="3">
        <v>45446</v>
      </c>
      <c r="H200" s="2">
        <v>308</v>
      </c>
      <c r="I200" s="2">
        <v>940655692</v>
      </c>
      <c r="J200" s="2" t="s">
        <v>26</v>
      </c>
      <c r="K200" s="2" t="s">
        <v>22</v>
      </c>
    </row>
    <row r="201" spans="1:11" ht="14.25" customHeight="1" x14ac:dyDescent="0.35">
      <c r="A201" s="2" t="s">
        <v>272</v>
      </c>
      <c r="B201" s="2" t="s">
        <v>60</v>
      </c>
      <c r="C201" s="2" t="s">
        <v>36</v>
      </c>
      <c r="D201" s="2" t="s">
        <v>61</v>
      </c>
      <c r="F201" s="3">
        <v>45081</v>
      </c>
      <c r="G201" s="3">
        <v>45336</v>
      </c>
      <c r="H201" s="2">
        <v>255</v>
      </c>
      <c r="I201" s="2">
        <v>2083772459</v>
      </c>
      <c r="J201" s="2" t="s">
        <v>44</v>
      </c>
      <c r="K201" s="2" t="s">
        <v>16</v>
      </c>
    </row>
    <row r="202" spans="1:11" ht="14.25" customHeight="1" x14ac:dyDescent="0.35">
      <c r="A202" s="2" t="s">
        <v>273</v>
      </c>
      <c r="B202" s="2" t="s">
        <v>12</v>
      </c>
      <c r="C202" s="2" t="s">
        <v>24</v>
      </c>
      <c r="D202" s="2" t="s">
        <v>25</v>
      </c>
      <c r="E202" s="2">
        <v>9.9</v>
      </c>
      <c r="F202" s="3">
        <v>45121</v>
      </c>
      <c r="G202" s="3">
        <v>45176</v>
      </c>
      <c r="H202" s="2">
        <v>55</v>
      </c>
      <c r="I202" s="2">
        <v>3824418317</v>
      </c>
      <c r="J202" s="2" t="s">
        <v>26</v>
      </c>
      <c r="K202" s="2" t="s">
        <v>16</v>
      </c>
    </row>
    <row r="203" spans="1:11" ht="14.25" customHeight="1" x14ac:dyDescent="0.35">
      <c r="A203" s="2" t="s">
        <v>274</v>
      </c>
      <c r="B203" s="2" t="s">
        <v>30</v>
      </c>
      <c r="C203" s="2" t="s">
        <v>19</v>
      </c>
      <c r="D203" s="2" t="s">
        <v>58</v>
      </c>
      <c r="F203" s="3">
        <v>45231</v>
      </c>
      <c r="G203" s="3">
        <v>45434</v>
      </c>
      <c r="H203" s="2">
        <v>203</v>
      </c>
      <c r="I203" s="2">
        <v>3062480137</v>
      </c>
      <c r="K203" s="2" t="s">
        <v>16</v>
      </c>
    </row>
    <row r="204" spans="1:11" ht="14.25" customHeight="1" x14ac:dyDescent="0.35">
      <c r="A204" s="2" t="s">
        <v>275</v>
      </c>
      <c r="B204" s="2" t="s">
        <v>35</v>
      </c>
      <c r="C204" s="2" t="s">
        <v>39</v>
      </c>
      <c r="D204" s="2" t="s">
        <v>145</v>
      </c>
      <c r="E204" s="2">
        <v>2.15</v>
      </c>
      <c r="F204" s="3">
        <v>45273</v>
      </c>
      <c r="G204" s="3">
        <v>45524</v>
      </c>
      <c r="H204" s="2">
        <v>251</v>
      </c>
      <c r="I204" s="2">
        <v>2949204977</v>
      </c>
      <c r="K204" s="2" t="s">
        <v>16</v>
      </c>
    </row>
    <row r="205" spans="1:11" ht="14.25" customHeight="1" x14ac:dyDescent="0.35">
      <c r="A205" s="2" t="s">
        <v>276</v>
      </c>
      <c r="B205" s="2" t="s">
        <v>30</v>
      </c>
      <c r="C205" s="2" t="s">
        <v>24</v>
      </c>
      <c r="D205" s="2" t="s">
        <v>85</v>
      </c>
      <c r="F205" s="3">
        <v>45188</v>
      </c>
      <c r="G205" s="3">
        <v>45328</v>
      </c>
      <c r="H205" s="2">
        <v>140</v>
      </c>
      <c r="I205" s="2">
        <v>4321942115</v>
      </c>
      <c r="J205" s="2" t="s">
        <v>67</v>
      </c>
      <c r="K205" s="2" t="s">
        <v>22</v>
      </c>
    </row>
    <row r="206" spans="1:11" ht="14.25" customHeight="1" x14ac:dyDescent="0.35">
      <c r="A206" s="2" t="s">
        <v>277</v>
      </c>
      <c r="B206" s="2" t="s">
        <v>18</v>
      </c>
      <c r="C206" s="2" t="s">
        <v>39</v>
      </c>
      <c r="D206" s="2" t="s">
        <v>53</v>
      </c>
      <c r="F206" s="3">
        <v>45093</v>
      </c>
      <c r="G206" s="3">
        <v>45280</v>
      </c>
      <c r="H206" s="2">
        <v>187</v>
      </c>
      <c r="I206" s="2">
        <v>1748026967</v>
      </c>
      <c r="K206" s="2" t="s">
        <v>22</v>
      </c>
    </row>
    <row r="207" spans="1:11" ht="14.25" customHeight="1" x14ac:dyDescent="0.35">
      <c r="A207" s="2" t="s">
        <v>278</v>
      </c>
      <c r="B207" s="2" t="s">
        <v>18</v>
      </c>
      <c r="C207" s="2" t="s">
        <v>13</v>
      </c>
      <c r="D207" s="2" t="s">
        <v>143</v>
      </c>
      <c r="F207" s="3">
        <v>45231</v>
      </c>
      <c r="G207" s="3">
        <v>45567</v>
      </c>
      <c r="H207" s="2">
        <v>336</v>
      </c>
      <c r="I207" s="2">
        <v>3876764247</v>
      </c>
      <c r="J207" s="2" t="s">
        <v>15</v>
      </c>
      <c r="K207" s="2" t="s">
        <v>16</v>
      </c>
    </row>
    <row r="208" spans="1:11" ht="14.25" customHeight="1" x14ac:dyDescent="0.35">
      <c r="A208" s="2" t="s">
        <v>279</v>
      </c>
      <c r="B208" s="2" t="s">
        <v>60</v>
      </c>
      <c r="C208" s="2" t="s">
        <v>36</v>
      </c>
      <c r="D208" s="2" t="s">
        <v>61</v>
      </c>
      <c r="F208" s="3">
        <v>45188</v>
      </c>
      <c r="G208" s="3">
        <v>45364</v>
      </c>
      <c r="H208" s="2">
        <v>176</v>
      </c>
      <c r="I208" s="2">
        <v>1321085661</v>
      </c>
      <c r="J208" s="2" t="s">
        <v>44</v>
      </c>
      <c r="K208" s="2" t="s">
        <v>22</v>
      </c>
    </row>
    <row r="209" spans="1:11" ht="14.25" customHeight="1" x14ac:dyDescent="0.35">
      <c r="A209" s="2" t="s">
        <v>280</v>
      </c>
      <c r="B209" s="2" t="s">
        <v>18</v>
      </c>
      <c r="C209" s="2" t="s">
        <v>42</v>
      </c>
      <c r="D209" s="2" t="s">
        <v>135</v>
      </c>
      <c r="F209" s="3">
        <v>45096</v>
      </c>
      <c r="G209" s="3">
        <v>45428</v>
      </c>
      <c r="H209" s="2">
        <v>332</v>
      </c>
      <c r="I209" s="2">
        <v>4220238300</v>
      </c>
      <c r="J209" s="2" t="s">
        <v>15</v>
      </c>
      <c r="K209" s="2" t="s">
        <v>22</v>
      </c>
    </row>
    <row r="210" spans="1:11" ht="14.25" customHeight="1" x14ac:dyDescent="0.35">
      <c r="A210" s="2" t="s">
        <v>281</v>
      </c>
      <c r="B210" s="2" t="s">
        <v>30</v>
      </c>
      <c r="C210" s="2" t="s">
        <v>42</v>
      </c>
      <c r="D210" s="2" t="s">
        <v>43</v>
      </c>
      <c r="F210" s="3">
        <v>45135</v>
      </c>
      <c r="G210" s="3">
        <v>45240</v>
      </c>
      <c r="H210" s="2">
        <v>105</v>
      </c>
      <c r="I210" s="2">
        <v>3197702868</v>
      </c>
      <c r="J210" s="2" t="s">
        <v>44</v>
      </c>
      <c r="K210" s="2" t="s">
        <v>22</v>
      </c>
    </row>
    <row r="211" spans="1:11" ht="14.25" customHeight="1" x14ac:dyDescent="0.35">
      <c r="A211" s="2" t="s">
        <v>282</v>
      </c>
      <c r="B211" s="2" t="s">
        <v>12</v>
      </c>
      <c r="C211" s="2" t="s">
        <v>13</v>
      </c>
      <c r="D211" s="2" t="s">
        <v>14</v>
      </c>
      <c r="E211" s="2">
        <v>31.84</v>
      </c>
      <c r="F211" s="3">
        <v>45292</v>
      </c>
      <c r="G211" s="3">
        <v>45012</v>
      </c>
      <c r="H211" s="2">
        <v>-280</v>
      </c>
      <c r="I211" s="2">
        <v>652449658</v>
      </c>
      <c r="J211" s="2" t="s">
        <v>26</v>
      </c>
      <c r="K211" s="2" t="s">
        <v>22</v>
      </c>
    </row>
    <row r="212" spans="1:11" ht="14.25" customHeight="1" x14ac:dyDescent="0.35">
      <c r="A212" s="2" t="s">
        <v>283</v>
      </c>
      <c r="B212" s="2" t="s">
        <v>12</v>
      </c>
      <c r="C212" s="2" t="s">
        <v>13</v>
      </c>
      <c r="D212" s="2" t="s">
        <v>14</v>
      </c>
      <c r="E212" s="2">
        <v>13.87</v>
      </c>
      <c r="F212" s="3">
        <v>45024</v>
      </c>
      <c r="G212" s="3">
        <v>45121</v>
      </c>
      <c r="H212" s="2">
        <v>97</v>
      </c>
      <c r="I212" s="2">
        <v>2771213419</v>
      </c>
      <c r="J212" s="2" t="s">
        <v>50</v>
      </c>
      <c r="K212" s="2" t="s">
        <v>22</v>
      </c>
    </row>
    <row r="213" spans="1:11" ht="14.25" customHeight="1" x14ac:dyDescent="0.35">
      <c r="A213" s="2" t="s">
        <v>284</v>
      </c>
      <c r="B213" s="2" t="s">
        <v>12</v>
      </c>
      <c r="C213" s="2" t="s">
        <v>24</v>
      </c>
      <c r="D213" s="2" t="s">
        <v>25</v>
      </c>
      <c r="E213" s="2">
        <v>27.55</v>
      </c>
      <c r="F213" s="3">
        <v>45240</v>
      </c>
      <c r="G213" s="3">
        <v>45434</v>
      </c>
      <c r="H213" s="2">
        <v>194</v>
      </c>
      <c r="I213" s="2">
        <v>3066467330</v>
      </c>
      <c r="K213" s="2" t="s">
        <v>22</v>
      </c>
    </row>
    <row r="214" spans="1:11" ht="14.25" customHeight="1" x14ac:dyDescent="0.35">
      <c r="A214" s="2" t="s">
        <v>285</v>
      </c>
      <c r="B214" s="2" t="s">
        <v>60</v>
      </c>
      <c r="C214" s="2" t="s">
        <v>36</v>
      </c>
      <c r="D214" s="2" t="s">
        <v>61</v>
      </c>
      <c r="F214" s="3">
        <v>45169</v>
      </c>
      <c r="G214" s="3">
        <v>45200</v>
      </c>
      <c r="H214" s="2">
        <v>31</v>
      </c>
      <c r="I214" s="2">
        <v>3711511060</v>
      </c>
      <c r="J214" s="2" t="s">
        <v>33</v>
      </c>
      <c r="K214" s="2" t="s">
        <v>16</v>
      </c>
    </row>
    <row r="215" spans="1:11" ht="14.25" customHeight="1" x14ac:dyDescent="0.35">
      <c r="A215" s="2" t="s">
        <v>286</v>
      </c>
      <c r="B215" s="2" t="s">
        <v>35</v>
      </c>
      <c r="C215" s="2" t="s">
        <v>48</v>
      </c>
      <c r="D215" s="2" t="s">
        <v>49</v>
      </c>
      <c r="E215" s="2">
        <v>4.1399999999999997</v>
      </c>
      <c r="F215" s="3">
        <v>45073</v>
      </c>
      <c r="G215" s="3">
        <v>45400</v>
      </c>
      <c r="H215" s="2">
        <v>327</v>
      </c>
      <c r="I215" s="2">
        <v>2407758581</v>
      </c>
      <c r="J215" s="2" t="s">
        <v>50</v>
      </c>
      <c r="K215" s="2" t="s">
        <v>16</v>
      </c>
    </row>
    <row r="216" spans="1:11" ht="14.25" customHeight="1" x14ac:dyDescent="0.35">
      <c r="A216" s="2" t="s">
        <v>287</v>
      </c>
      <c r="B216" s="2" t="s">
        <v>30</v>
      </c>
      <c r="C216" s="2" t="s">
        <v>13</v>
      </c>
      <c r="D216" s="2" t="s">
        <v>56</v>
      </c>
      <c r="F216" s="3">
        <v>45195</v>
      </c>
      <c r="G216" s="3">
        <v>45460</v>
      </c>
      <c r="H216" s="2">
        <v>265</v>
      </c>
      <c r="I216" s="2">
        <v>3744434785</v>
      </c>
      <c r="J216" s="2" t="s">
        <v>21</v>
      </c>
      <c r="K216" s="2" t="s">
        <v>16</v>
      </c>
    </row>
    <row r="217" spans="1:11" ht="14.25" customHeight="1" x14ac:dyDescent="0.35">
      <c r="A217" s="2" t="s">
        <v>288</v>
      </c>
      <c r="B217" s="2" t="s">
        <v>30</v>
      </c>
      <c r="C217" s="2" t="s">
        <v>19</v>
      </c>
      <c r="D217" s="2" t="s">
        <v>58</v>
      </c>
      <c r="F217" s="3">
        <v>45154</v>
      </c>
      <c r="G217" s="3">
        <v>45311</v>
      </c>
      <c r="H217" s="2">
        <v>157</v>
      </c>
      <c r="I217" s="2">
        <v>1660018717</v>
      </c>
      <c r="J217" s="2" t="s">
        <v>15</v>
      </c>
      <c r="K217" s="2" t="s">
        <v>16</v>
      </c>
    </row>
    <row r="218" spans="1:11" ht="14.25" customHeight="1" x14ac:dyDescent="0.35">
      <c r="A218" s="2" t="s">
        <v>289</v>
      </c>
      <c r="B218" s="2" t="s">
        <v>30</v>
      </c>
      <c r="C218" s="2" t="s">
        <v>31</v>
      </c>
      <c r="D218" s="2" t="s">
        <v>32</v>
      </c>
      <c r="F218" s="3">
        <v>45090</v>
      </c>
      <c r="G218" s="3">
        <v>45168</v>
      </c>
      <c r="H218" s="2">
        <v>78</v>
      </c>
      <c r="I218" s="2">
        <v>4632542538</v>
      </c>
      <c r="J218" s="2" t="s">
        <v>21</v>
      </c>
      <c r="K218" s="2" t="s">
        <v>22</v>
      </c>
    </row>
    <row r="219" spans="1:11" ht="14.25" customHeight="1" x14ac:dyDescent="0.35">
      <c r="A219" s="2" t="s">
        <v>290</v>
      </c>
      <c r="B219" s="2" t="s">
        <v>30</v>
      </c>
      <c r="C219" s="2" t="s">
        <v>24</v>
      </c>
      <c r="D219" s="2" t="s">
        <v>85</v>
      </c>
      <c r="F219" s="3">
        <v>45018</v>
      </c>
      <c r="G219" s="3">
        <v>45371</v>
      </c>
      <c r="H219" s="2">
        <v>353</v>
      </c>
      <c r="I219" s="2">
        <v>1793760247</v>
      </c>
      <c r="J219" s="2" t="s">
        <v>26</v>
      </c>
      <c r="K219" s="2" t="s">
        <v>22</v>
      </c>
    </row>
    <row r="220" spans="1:11" ht="14.25" customHeight="1" x14ac:dyDescent="0.35">
      <c r="A220" s="2" t="s">
        <v>291</v>
      </c>
      <c r="B220" s="2" t="s">
        <v>35</v>
      </c>
      <c r="C220" s="2" t="s">
        <v>19</v>
      </c>
      <c r="D220" s="2" t="s">
        <v>97</v>
      </c>
      <c r="E220" s="2">
        <v>0.55000000000000004</v>
      </c>
      <c r="F220" s="3">
        <v>45096</v>
      </c>
      <c r="G220" s="3">
        <v>45199</v>
      </c>
      <c r="H220" s="2">
        <v>103</v>
      </c>
      <c r="I220" s="2">
        <v>4724505308</v>
      </c>
      <c r="J220" s="2" t="s">
        <v>21</v>
      </c>
      <c r="K220" s="2" t="s">
        <v>22</v>
      </c>
    </row>
    <row r="221" spans="1:11" ht="14.25" customHeight="1" x14ac:dyDescent="0.35">
      <c r="A221" s="2" t="s">
        <v>292</v>
      </c>
      <c r="B221" s="2" t="s">
        <v>35</v>
      </c>
      <c r="C221" s="2" t="s">
        <v>19</v>
      </c>
      <c r="D221" s="2" t="s">
        <v>97</v>
      </c>
      <c r="E221" s="2">
        <v>2.41</v>
      </c>
      <c r="F221" s="3">
        <v>45011</v>
      </c>
      <c r="G221" s="3">
        <v>45235</v>
      </c>
      <c r="H221" s="2">
        <v>224</v>
      </c>
      <c r="I221" s="2">
        <v>4788985825</v>
      </c>
      <c r="J221" s="2" t="s">
        <v>21</v>
      </c>
      <c r="K221" s="2" t="s">
        <v>16</v>
      </c>
    </row>
    <row r="222" spans="1:11" ht="14.25" customHeight="1" x14ac:dyDescent="0.35">
      <c r="A222" s="2" t="s">
        <v>293</v>
      </c>
      <c r="B222" s="2" t="s">
        <v>18</v>
      </c>
      <c r="C222" s="2" t="s">
        <v>13</v>
      </c>
      <c r="D222" s="2" t="s">
        <v>143</v>
      </c>
      <c r="F222" s="3">
        <v>45202</v>
      </c>
      <c r="G222" s="3">
        <v>45474</v>
      </c>
      <c r="H222" s="2">
        <v>272</v>
      </c>
      <c r="I222" s="2">
        <v>1145758667</v>
      </c>
      <c r="K222" s="2" t="s">
        <v>16</v>
      </c>
    </row>
    <row r="223" spans="1:11" ht="14.25" customHeight="1" x14ac:dyDescent="0.35">
      <c r="A223" s="2" t="s">
        <v>294</v>
      </c>
      <c r="B223" s="2" t="s">
        <v>12</v>
      </c>
      <c r="C223" s="2" t="s">
        <v>36</v>
      </c>
      <c r="D223" s="2" t="s">
        <v>46</v>
      </c>
      <c r="E223" s="2">
        <v>44.64</v>
      </c>
      <c r="F223" s="3">
        <v>44974</v>
      </c>
      <c r="G223" s="3">
        <v>45112</v>
      </c>
      <c r="H223" s="2">
        <v>138</v>
      </c>
      <c r="I223" s="2">
        <v>3499684673</v>
      </c>
      <c r="J223" s="2" t="s">
        <v>15</v>
      </c>
      <c r="K223" s="2" t="s">
        <v>22</v>
      </c>
    </row>
    <row r="224" spans="1:11" ht="14.25" customHeight="1" x14ac:dyDescent="0.35">
      <c r="A224" s="2" t="s">
        <v>295</v>
      </c>
      <c r="B224" s="2" t="s">
        <v>60</v>
      </c>
      <c r="C224" s="2" t="s">
        <v>39</v>
      </c>
      <c r="D224" s="2" t="s">
        <v>185</v>
      </c>
      <c r="F224" s="3">
        <v>45261</v>
      </c>
      <c r="G224" s="3">
        <v>45492</v>
      </c>
      <c r="H224" s="2">
        <v>231</v>
      </c>
      <c r="I224" s="2">
        <v>4743539060</v>
      </c>
      <c r="J224" s="2" t="s">
        <v>67</v>
      </c>
      <c r="K224" s="2" t="s">
        <v>22</v>
      </c>
    </row>
    <row r="225" spans="1:11" ht="14.25" customHeight="1" x14ac:dyDescent="0.35">
      <c r="A225" s="2" t="s">
        <v>296</v>
      </c>
      <c r="B225" s="2" t="s">
        <v>18</v>
      </c>
      <c r="C225" s="2" t="s">
        <v>48</v>
      </c>
      <c r="D225" s="2" t="s">
        <v>121</v>
      </c>
      <c r="F225" s="3">
        <v>45248</v>
      </c>
      <c r="G225" s="3">
        <v>45412</v>
      </c>
      <c r="H225" s="2">
        <v>164</v>
      </c>
      <c r="I225" s="2">
        <v>2491298309</v>
      </c>
      <c r="J225" s="2" t="s">
        <v>44</v>
      </c>
      <c r="K225" s="2" t="s">
        <v>16</v>
      </c>
    </row>
    <row r="226" spans="1:11" ht="14.25" customHeight="1" x14ac:dyDescent="0.35">
      <c r="A226" s="2" t="s">
        <v>297</v>
      </c>
      <c r="B226" s="2" t="s">
        <v>35</v>
      </c>
      <c r="C226" s="2" t="s">
        <v>48</v>
      </c>
      <c r="D226" s="2" t="s">
        <v>49</v>
      </c>
      <c r="E226" s="2">
        <v>2.2400000000000002</v>
      </c>
      <c r="F226" s="3">
        <v>45026</v>
      </c>
      <c r="G226" s="3">
        <v>45305</v>
      </c>
      <c r="H226" s="2">
        <v>279</v>
      </c>
      <c r="I226" s="2">
        <v>2570275649</v>
      </c>
      <c r="J226" s="2" t="s">
        <v>15</v>
      </c>
      <c r="K226" s="2" t="s">
        <v>16</v>
      </c>
    </row>
    <row r="227" spans="1:11" ht="14.25" customHeight="1" x14ac:dyDescent="0.35">
      <c r="A227" s="2" t="s">
        <v>298</v>
      </c>
      <c r="B227" s="2" t="s">
        <v>30</v>
      </c>
      <c r="C227" s="2" t="s">
        <v>39</v>
      </c>
      <c r="D227" s="2" t="s">
        <v>40</v>
      </c>
      <c r="F227" s="3">
        <v>45205</v>
      </c>
      <c r="G227" s="3">
        <v>45503</v>
      </c>
      <c r="H227" s="2">
        <v>298</v>
      </c>
      <c r="I227" s="2">
        <v>4217635527</v>
      </c>
      <c r="K227" s="2" t="s">
        <v>16</v>
      </c>
    </row>
    <row r="228" spans="1:11" ht="14.25" customHeight="1" x14ac:dyDescent="0.35">
      <c r="A228" s="2" t="s">
        <v>299</v>
      </c>
      <c r="B228" s="2" t="s">
        <v>30</v>
      </c>
      <c r="C228" s="2" t="s">
        <v>31</v>
      </c>
      <c r="D228" s="2" t="s">
        <v>32</v>
      </c>
      <c r="F228" s="3">
        <v>44944</v>
      </c>
      <c r="G228" s="3">
        <v>45113</v>
      </c>
      <c r="H228" s="2">
        <v>169</v>
      </c>
      <c r="I228" s="2">
        <v>3558908342</v>
      </c>
      <c r="J228" s="2" t="s">
        <v>33</v>
      </c>
      <c r="K228" s="2" t="s">
        <v>16</v>
      </c>
    </row>
    <row r="229" spans="1:11" ht="14.25" customHeight="1" x14ac:dyDescent="0.35">
      <c r="A229" s="2" t="s">
        <v>300</v>
      </c>
      <c r="B229" s="2" t="s">
        <v>12</v>
      </c>
      <c r="C229" s="2" t="s">
        <v>13</v>
      </c>
      <c r="D229" s="2" t="s">
        <v>14</v>
      </c>
      <c r="E229" s="2">
        <v>17.45</v>
      </c>
      <c r="F229" s="3">
        <v>44938</v>
      </c>
      <c r="G229" s="3">
        <v>45262</v>
      </c>
      <c r="H229" s="2">
        <v>324</v>
      </c>
      <c r="I229" s="2">
        <v>1817176795</v>
      </c>
      <c r="J229" s="2" t="s">
        <v>26</v>
      </c>
      <c r="K229" s="2" t="s">
        <v>16</v>
      </c>
    </row>
    <row r="230" spans="1:11" ht="14.25" customHeight="1" x14ac:dyDescent="0.35">
      <c r="A230" s="2" t="s">
        <v>301</v>
      </c>
      <c r="B230" s="2" t="s">
        <v>60</v>
      </c>
      <c r="C230" s="2" t="s">
        <v>19</v>
      </c>
      <c r="D230" s="2" t="s">
        <v>87</v>
      </c>
      <c r="F230" s="3">
        <v>45290</v>
      </c>
      <c r="G230" s="3">
        <v>45461</v>
      </c>
      <c r="H230" s="2">
        <v>171</v>
      </c>
      <c r="I230" s="2">
        <v>3293297304</v>
      </c>
      <c r="J230" s="2" t="s">
        <v>67</v>
      </c>
      <c r="K230" s="2" t="s">
        <v>16</v>
      </c>
    </row>
    <row r="231" spans="1:11" ht="14.25" customHeight="1" x14ac:dyDescent="0.35">
      <c r="A231" s="2" t="s">
        <v>302</v>
      </c>
      <c r="B231" s="2" t="s">
        <v>35</v>
      </c>
      <c r="C231" s="2" t="s">
        <v>48</v>
      </c>
      <c r="D231" s="2" t="s">
        <v>49</v>
      </c>
      <c r="E231" s="2">
        <v>0.38</v>
      </c>
      <c r="F231" s="3">
        <v>44971</v>
      </c>
      <c r="G231" s="3">
        <v>45232</v>
      </c>
      <c r="H231" s="2">
        <v>261</v>
      </c>
      <c r="I231" s="2">
        <v>2998471100</v>
      </c>
      <c r="K231" s="2" t="s">
        <v>16</v>
      </c>
    </row>
    <row r="232" spans="1:11" ht="14.25" customHeight="1" x14ac:dyDescent="0.35">
      <c r="A232" s="2" t="s">
        <v>303</v>
      </c>
      <c r="B232" s="2" t="s">
        <v>30</v>
      </c>
      <c r="C232" s="2" t="s">
        <v>19</v>
      </c>
      <c r="D232" s="2" t="s">
        <v>58</v>
      </c>
      <c r="F232" s="3">
        <v>45246</v>
      </c>
      <c r="G232" s="3">
        <v>45343</v>
      </c>
      <c r="H232" s="2">
        <v>97</v>
      </c>
      <c r="I232" s="2">
        <v>2930300248</v>
      </c>
      <c r="J232" s="2" t="s">
        <v>67</v>
      </c>
      <c r="K232" s="2" t="s">
        <v>22</v>
      </c>
    </row>
    <row r="233" spans="1:11" ht="14.25" customHeight="1" x14ac:dyDescent="0.35">
      <c r="A233" s="2" t="s">
        <v>304</v>
      </c>
      <c r="B233" s="2" t="s">
        <v>12</v>
      </c>
      <c r="C233" s="2" t="s">
        <v>48</v>
      </c>
      <c r="D233" s="2" t="s">
        <v>171</v>
      </c>
      <c r="E233" s="2">
        <v>44.82</v>
      </c>
      <c r="F233" s="3">
        <v>45472</v>
      </c>
      <c r="G233" s="3">
        <v>45179</v>
      </c>
      <c r="H233" s="2">
        <v>-293</v>
      </c>
      <c r="I233" s="2">
        <v>4667145144</v>
      </c>
      <c r="J233" s="2" t="s">
        <v>21</v>
      </c>
      <c r="K233" s="2" t="s">
        <v>16</v>
      </c>
    </row>
    <row r="234" spans="1:11" ht="14.25" customHeight="1" x14ac:dyDescent="0.35">
      <c r="A234" s="2" t="s">
        <v>305</v>
      </c>
      <c r="B234" s="2" t="s">
        <v>30</v>
      </c>
      <c r="C234" s="2" t="s">
        <v>13</v>
      </c>
      <c r="D234" s="2" t="s">
        <v>56</v>
      </c>
      <c r="F234" s="3">
        <v>45204</v>
      </c>
      <c r="G234" s="3">
        <v>45308</v>
      </c>
      <c r="H234" s="2">
        <v>104</v>
      </c>
      <c r="I234" s="2">
        <v>1920808828</v>
      </c>
      <c r="J234" s="2" t="s">
        <v>67</v>
      </c>
      <c r="K234" s="2" t="s">
        <v>16</v>
      </c>
    </row>
    <row r="235" spans="1:11" ht="14.25" customHeight="1" x14ac:dyDescent="0.35">
      <c r="A235" s="2" t="s">
        <v>306</v>
      </c>
      <c r="B235" s="2" t="s">
        <v>60</v>
      </c>
      <c r="C235" s="2" t="s">
        <v>36</v>
      </c>
      <c r="D235" s="2" t="s">
        <v>61</v>
      </c>
      <c r="F235" s="3">
        <v>45171</v>
      </c>
      <c r="G235" s="3">
        <v>45288</v>
      </c>
      <c r="H235" s="2">
        <v>117</v>
      </c>
      <c r="I235" s="2">
        <v>2163683855</v>
      </c>
      <c r="J235" s="2" t="s">
        <v>67</v>
      </c>
      <c r="K235" s="2" t="s">
        <v>22</v>
      </c>
    </row>
    <row r="236" spans="1:11" ht="14.25" customHeight="1" x14ac:dyDescent="0.35">
      <c r="A236" s="2" t="s">
        <v>307</v>
      </c>
      <c r="B236" s="2" t="s">
        <v>12</v>
      </c>
      <c r="C236" s="2" t="s">
        <v>39</v>
      </c>
      <c r="D236" s="2" t="s">
        <v>160</v>
      </c>
      <c r="E236" s="2">
        <v>11.65</v>
      </c>
      <c r="F236" s="3">
        <v>45185</v>
      </c>
      <c r="G236" s="3">
        <v>45404</v>
      </c>
      <c r="H236" s="2">
        <v>219</v>
      </c>
      <c r="I236" s="2">
        <v>2056965940</v>
      </c>
      <c r="J236" s="2" t="s">
        <v>50</v>
      </c>
      <c r="K236" s="2" t="s">
        <v>22</v>
      </c>
    </row>
    <row r="237" spans="1:11" ht="14.25" customHeight="1" x14ac:dyDescent="0.35">
      <c r="A237" s="2" t="s">
        <v>308</v>
      </c>
      <c r="B237" s="2" t="s">
        <v>60</v>
      </c>
      <c r="C237" s="2" t="s">
        <v>36</v>
      </c>
      <c r="D237" s="2" t="s">
        <v>61</v>
      </c>
      <c r="F237" s="3">
        <v>44967</v>
      </c>
      <c r="G237" s="3">
        <v>45099</v>
      </c>
      <c r="H237" s="2">
        <v>132</v>
      </c>
      <c r="I237" s="2">
        <v>1454449529</v>
      </c>
      <c r="J237" s="2" t="s">
        <v>44</v>
      </c>
      <c r="K237" s="2" t="s">
        <v>16</v>
      </c>
    </row>
    <row r="238" spans="1:11" ht="14.25" customHeight="1" x14ac:dyDescent="0.35">
      <c r="A238" s="2" t="s">
        <v>309</v>
      </c>
      <c r="B238" s="2" t="s">
        <v>60</v>
      </c>
      <c r="C238" s="2" t="s">
        <v>42</v>
      </c>
      <c r="D238" s="2" t="s">
        <v>154</v>
      </c>
      <c r="F238" s="3">
        <v>45120</v>
      </c>
      <c r="G238" s="3">
        <v>45223</v>
      </c>
      <c r="H238" s="2">
        <v>103</v>
      </c>
      <c r="I238" s="2">
        <v>4715607904</v>
      </c>
      <c r="J238" s="2" t="s">
        <v>15</v>
      </c>
      <c r="K238" s="2" t="s">
        <v>22</v>
      </c>
    </row>
    <row r="239" spans="1:11" ht="14.25" customHeight="1" x14ac:dyDescent="0.35">
      <c r="A239" s="2" t="s">
        <v>310</v>
      </c>
      <c r="B239" s="2" t="s">
        <v>35</v>
      </c>
      <c r="C239" s="2" t="s">
        <v>31</v>
      </c>
      <c r="D239" s="2" t="s">
        <v>91</v>
      </c>
      <c r="E239" s="2">
        <v>1.66</v>
      </c>
      <c r="F239" s="3">
        <v>45124</v>
      </c>
      <c r="G239" s="3">
        <v>45269</v>
      </c>
      <c r="H239" s="2">
        <v>145</v>
      </c>
      <c r="I239" s="2">
        <v>1812854519</v>
      </c>
      <c r="J239" s="2" t="s">
        <v>67</v>
      </c>
      <c r="K239" s="2" t="s">
        <v>16</v>
      </c>
    </row>
    <row r="240" spans="1:11" ht="14.25" customHeight="1" x14ac:dyDescent="0.35">
      <c r="A240" s="2" t="s">
        <v>311</v>
      </c>
      <c r="B240" s="2" t="s">
        <v>18</v>
      </c>
      <c r="C240" s="2" t="s">
        <v>39</v>
      </c>
      <c r="D240" s="2" t="s">
        <v>53</v>
      </c>
      <c r="F240" s="3">
        <v>45162</v>
      </c>
      <c r="G240" s="3">
        <v>45516</v>
      </c>
      <c r="H240" s="2">
        <v>354</v>
      </c>
      <c r="I240" s="2">
        <v>4980977566</v>
      </c>
      <c r="J240" s="2" t="s">
        <v>44</v>
      </c>
      <c r="K240" s="2" t="s">
        <v>22</v>
      </c>
    </row>
    <row r="241" spans="1:11" ht="14.25" customHeight="1" x14ac:dyDescent="0.35">
      <c r="A241" s="2" t="s">
        <v>312</v>
      </c>
      <c r="B241" s="2" t="s">
        <v>35</v>
      </c>
      <c r="C241" s="2" t="s">
        <v>36</v>
      </c>
      <c r="D241" s="2" t="s">
        <v>37</v>
      </c>
      <c r="E241" s="2">
        <v>3.44</v>
      </c>
      <c r="F241" s="3">
        <v>45390</v>
      </c>
      <c r="G241" s="3">
        <v>45213</v>
      </c>
      <c r="H241" s="2">
        <v>-177</v>
      </c>
      <c r="I241" s="2">
        <v>1160042427</v>
      </c>
      <c r="J241" s="2" t="s">
        <v>50</v>
      </c>
      <c r="K241" s="2" t="s">
        <v>16</v>
      </c>
    </row>
    <row r="242" spans="1:11" ht="14.25" customHeight="1" x14ac:dyDescent="0.35">
      <c r="A242" s="2" t="s">
        <v>313</v>
      </c>
      <c r="B242" s="2" t="s">
        <v>30</v>
      </c>
      <c r="C242" s="2" t="s">
        <v>42</v>
      </c>
      <c r="D242" s="2" t="s">
        <v>43</v>
      </c>
      <c r="F242" s="3">
        <v>45202</v>
      </c>
      <c r="G242" s="3">
        <v>45551</v>
      </c>
      <c r="H242" s="2">
        <v>349</v>
      </c>
      <c r="I242" s="2">
        <v>4331567090</v>
      </c>
      <c r="J242" s="2" t="s">
        <v>67</v>
      </c>
      <c r="K242" s="2" t="s">
        <v>16</v>
      </c>
    </row>
    <row r="243" spans="1:11" ht="14.25" customHeight="1" x14ac:dyDescent="0.35">
      <c r="A243" s="2" t="s">
        <v>314</v>
      </c>
      <c r="B243" s="2" t="s">
        <v>12</v>
      </c>
      <c r="C243" s="2" t="s">
        <v>31</v>
      </c>
      <c r="D243" s="2" t="s">
        <v>83</v>
      </c>
      <c r="E243" s="2">
        <v>17.72</v>
      </c>
      <c r="F243" s="3">
        <v>45184</v>
      </c>
      <c r="G243" s="3">
        <v>45239</v>
      </c>
      <c r="H243" s="2">
        <v>55</v>
      </c>
      <c r="I243" s="2">
        <v>3198809649</v>
      </c>
      <c r="J243" s="2" t="s">
        <v>33</v>
      </c>
      <c r="K243" s="2" t="s">
        <v>22</v>
      </c>
    </row>
    <row r="244" spans="1:11" ht="14.25" customHeight="1" x14ac:dyDescent="0.35">
      <c r="A244" s="2" t="s">
        <v>315</v>
      </c>
      <c r="B244" s="2" t="s">
        <v>60</v>
      </c>
      <c r="C244" s="2" t="s">
        <v>31</v>
      </c>
      <c r="D244" s="2" t="s">
        <v>111</v>
      </c>
      <c r="F244" s="3">
        <v>45070</v>
      </c>
      <c r="G244" s="3">
        <v>45413</v>
      </c>
      <c r="H244" s="2">
        <v>343</v>
      </c>
      <c r="I244" s="2">
        <v>4263411572</v>
      </c>
      <c r="J244" s="2" t="s">
        <v>33</v>
      </c>
      <c r="K244" s="2" t="s">
        <v>22</v>
      </c>
    </row>
    <row r="245" spans="1:11" ht="14.25" customHeight="1" x14ac:dyDescent="0.35">
      <c r="A245" s="2" t="s">
        <v>316</v>
      </c>
      <c r="B245" s="2" t="s">
        <v>12</v>
      </c>
      <c r="C245" s="2" t="s">
        <v>24</v>
      </c>
      <c r="D245" s="2" t="s">
        <v>25</v>
      </c>
      <c r="E245" s="2">
        <v>24.11</v>
      </c>
      <c r="F245" s="3">
        <v>45161</v>
      </c>
      <c r="G245" s="3">
        <v>45199</v>
      </c>
      <c r="H245" s="2">
        <v>38</v>
      </c>
      <c r="I245" s="2">
        <v>3328213732</v>
      </c>
      <c r="J245" s="2" t="s">
        <v>50</v>
      </c>
      <c r="K245" s="2" t="s">
        <v>16</v>
      </c>
    </row>
    <row r="246" spans="1:11" ht="14.25" customHeight="1" x14ac:dyDescent="0.35">
      <c r="A246" s="2" t="s">
        <v>317</v>
      </c>
      <c r="B246" s="2" t="s">
        <v>60</v>
      </c>
      <c r="C246" s="2" t="s">
        <v>24</v>
      </c>
      <c r="D246" s="2" t="s">
        <v>80</v>
      </c>
      <c r="F246" s="3">
        <v>45278</v>
      </c>
      <c r="G246" s="3">
        <v>45634</v>
      </c>
      <c r="H246" s="2">
        <v>356</v>
      </c>
      <c r="I246" s="2">
        <v>2543607494</v>
      </c>
      <c r="K246" s="2" t="s">
        <v>16</v>
      </c>
    </row>
    <row r="247" spans="1:11" ht="14.25" customHeight="1" x14ac:dyDescent="0.35">
      <c r="A247" s="2" t="s">
        <v>318</v>
      </c>
      <c r="B247" s="2" t="s">
        <v>18</v>
      </c>
      <c r="C247" s="2" t="s">
        <v>24</v>
      </c>
      <c r="D247" s="2" t="s">
        <v>95</v>
      </c>
      <c r="F247" s="3">
        <v>45144</v>
      </c>
      <c r="G247" s="3">
        <v>45215</v>
      </c>
      <c r="H247" s="2">
        <v>71</v>
      </c>
      <c r="I247" s="2">
        <v>4117597225</v>
      </c>
      <c r="J247" s="2" t="s">
        <v>33</v>
      </c>
      <c r="K247" s="2" t="s">
        <v>16</v>
      </c>
    </row>
    <row r="248" spans="1:11" ht="14.25" customHeight="1" x14ac:dyDescent="0.35">
      <c r="A248" s="2" t="s">
        <v>319</v>
      </c>
      <c r="B248" s="2" t="s">
        <v>35</v>
      </c>
      <c r="C248" s="2" t="s">
        <v>24</v>
      </c>
      <c r="D248" s="2" t="s">
        <v>133</v>
      </c>
      <c r="E248" s="2">
        <v>2.4900000000000002</v>
      </c>
      <c r="F248" s="3">
        <v>45017</v>
      </c>
      <c r="G248" s="3">
        <v>45267</v>
      </c>
      <c r="H248" s="2">
        <v>250</v>
      </c>
      <c r="I248" s="2">
        <v>1046547805</v>
      </c>
      <c r="J248" s="2" t="s">
        <v>50</v>
      </c>
      <c r="K248" s="2" t="s">
        <v>16</v>
      </c>
    </row>
    <row r="249" spans="1:11" ht="14.25" customHeight="1" x14ac:dyDescent="0.35">
      <c r="A249" s="2" t="s">
        <v>320</v>
      </c>
      <c r="B249" s="2" t="s">
        <v>18</v>
      </c>
      <c r="C249" s="2" t="s">
        <v>48</v>
      </c>
      <c r="D249" s="2" t="s">
        <v>121</v>
      </c>
      <c r="F249" s="3">
        <v>45078</v>
      </c>
      <c r="G249" s="3">
        <v>45153</v>
      </c>
      <c r="H249" s="2">
        <v>75</v>
      </c>
      <c r="I249" s="2">
        <v>4838938667</v>
      </c>
      <c r="J249" s="2" t="s">
        <v>67</v>
      </c>
      <c r="K249" s="2" t="s">
        <v>16</v>
      </c>
    </row>
    <row r="250" spans="1:11" ht="14.25" customHeight="1" x14ac:dyDescent="0.35">
      <c r="A250" s="2" t="s">
        <v>321</v>
      </c>
      <c r="B250" s="2" t="s">
        <v>12</v>
      </c>
      <c r="C250" s="2" t="s">
        <v>36</v>
      </c>
      <c r="D250" s="2" t="s">
        <v>46</v>
      </c>
      <c r="E250" s="2">
        <v>15.86</v>
      </c>
      <c r="F250" s="3">
        <v>44959</v>
      </c>
      <c r="G250" s="3">
        <v>45258</v>
      </c>
      <c r="H250" s="2">
        <v>299</v>
      </c>
      <c r="I250" s="2">
        <v>2915483344</v>
      </c>
      <c r="J250" s="2" t="s">
        <v>67</v>
      </c>
      <c r="K250" s="2" t="s">
        <v>16</v>
      </c>
    </row>
    <row r="251" spans="1:11" ht="14.25" customHeight="1" x14ac:dyDescent="0.35">
      <c r="A251" s="2" t="s">
        <v>322</v>
      </c>
      <c r="B251" s="2" t="s">
        <v>30</v>
      </c>
      <c r="C251" s="2" t="s">
        <v>31</v>
      </c>
      <c r="D251" s="2" t="s">
        <v>32</v>
      </c>
      <c r="F251" s="3">
        <v>45335</v>
      </c>
      <c r="G251" s="3">
        <v>45153</v>
      </c>
      <c r="H251" s="2">
        <v>-182</v>
      </c>
      <c r="I251" s="2">
        <v>4640113222</v>
      </c>
      <c r="J251" s="2" t="s">
        <v>15</v>
      </c>
      <c r="K251" s="2" t="s">
        <v>16</v>
      </c>
    </row>
    <row r="252" spans="1:11" ht="14.25" customHeight="1" x14ac:dyDescent="0.35">
      <c r="A252" s="2" t="s">
        <v>323</v>
      </c>
      <c r="B252" s="2" t="s">
        <v>30</v>
      </c>
      <c r="C252" s="2" t="s">
        <v>39</v>
      </c>
      <c r="D252" s="2" t="s">
        <v>40</v>
      </c>
      <c r="F252" s="3">
        <v>45028</v>
      </c>
      <c r="G252" s="3">
        <v>45097</v>
      </c>
      <c r="H252" s="2">
        <v>69</v>
      </c>
      <c r="I252" s="2">
        <v>2935689766</v>
      </c>
      <c r="J252" s="2" t="s">
        <v>26</v>
      </c>
      <c r="K252" s="2" t="s">
        <v>22</v>
      </c>
    </row>
    <row r="253" spans="1:11" ht="14.25" customHeight="1" x14ac:dyDescent="0.35">
      <c r="A253" s="2" t="s">
        <v>324</v>
      </c>
      <c r="B253" s="2" t="s">
        <v>35</v>
      </c>
      <c r="C253" s="2" t="s">
        <v>36</v>
      </c>
      <c r="D253" s="2" t="s">
        <v>37</v>
      </c>
      <c r="E253" s="2">
        <v>1.86</v>
      </c>
      <c r="F253" s="3">
        <v>45137</v>
      </c>
      <c r="G253" s="3">
        <v>45306</v>
      </c>
      <c r="H253" s="2">
        <v>169</v>
      </c>
      <c r="I253" s="2">
        <v>974773495</v>
      </c>
      <c r="J253" s="2" t="s">
        <v>44</v>
      </c>
      <c r="K253" s="2" t="s">
        <v>22</v>
      </c>
    </row>
    <row r="254" spans="1:11" ht="14.25" customHeight="1" x14ac:dyDescent="0.35">
      <c r="A254" s="2" t="s">
        <v>325</v>
      </c>
      <c r="B254" s="2" t="s">
        <v>18</v>
      </c>
      <c r="C254" s="2" t="s">
        <v>13</v>
      </c>
      <c r="D254" s="2" t="s">
        <v>143</v>
      </c>
      <c r="F254" s="3">
        <v>45045</v>
      </c>
      <c r="G254" s="3">
        <v>45376</v>
      </c>
      <c r="H254" s="2">
        <v>331</v>
      </c>
      <c r="I254" s="2">
        <v>3012652064</v>
      </c>
      <c r="J254" s="2" t="s">
        <v>21</v>
      </c>
      <c r="K254" s="2" t="s">
        <v>22</v>
      </c>
    </row>
    <row r="255" spans="1:11" ht="14.25" customHeight="1" x14ac:dyDescent="0.35">
      <c r="A255" s="2" t="s">
        <v>326</v>
      </c>
      <c r="B255" s="2" t="s">
        <v>60</v>
      </c>
      <c r="C255" s="2" t="s">
        <v>39</v>
      </c>
      <c r="D255" s="2" t="s">
        <v>185</v>
      </c>
      <c r="F255" s="3">
        <v>45017</v>
      </c>
      <c r="G255" s="3">
        <v>45372</v>
      </c>
      <c r="H255" s="2">
        <v>355</v>
      </c>
      <c r="I255" s="2">
        <v>4897407711</v>
      </c>
      <c r="J255" s="2" t="s">
        <v>26</v>
      </c>
      <c r="K255" s="2" t="s">
        <v>22</v>
      </c>
    </row>
    <row r="256" spans="1:11" ht="14.25" customHeight="1" x14ac:dyDescent="0.35">
      <c r="A256" s="2" t="s">
        <v>327</v>
      </c>
      <c r="B256" s="2" t="s">
        <v>30</v>
      </c>
      <c r="C256" s="2" t="s">
        <v>31</v>
      </c>
      <c r="D256" s="2" t="s">
        <v>32</v>
      </c>
      <c r="F256" s="3">
        <v>45056</v>
      </c>
      <c r="G256" s="3">
        <v>45364</v>
      </c>
      <c r="H256" s="2">
        <v>308</v>
      </c>
      <c r="I256" s="2">
        <v>2726774684</v>
      </c>
      <c r="J256" s="2" t="s">
        <v>44</v>
      </c>
      <c r="K256" s="2" t="s">
        <v>16</v>
      </c>
    </row>
    <row r="257" spans="1:11" ht="14.25" customHeight="1" x14ac:dyDescent="0.35">
      <c r="A257" s="2" t="s">
        <v>328</v>
      </c>
      <c r="B257" s="2" t="s">
        <v>12</v>
      </c>
      <c r="C257" s="2" t="s">
        <v>13</v>
      </c>
      <c r="D257" s="2" t="s">
        <v>14</v>
      </c>
      <c r="E257" s="2">
        <v>8.11</v>
      </c>
      <c r="F257" s="3">
        <v>45223</v>
      </c>
      <c r="G257" s="3">
        <v>45484</v>
      </c>
      <c r="H257" s="2">
        <v>261</v>
      </c>
      <c r="I257" s="2">
        <v>2999232290</v>
      </c>
      <c r="J257" s="2" t="s">
        <v>21</v>
      </c>
      <c r="K257" s="2" t="s">
        <v>22</v>
      </c>
    </row>
    <row r="258" spans="1:11" ht="14.25" customHeight="1" x14ac:dyDescent="0.35">
      <c r="A258" s="2" t="s">
        <v>329</v>
      </c>
      <c r="B258" s="2" t="s">
        <v>12</v>
      </c>
      <c r="C258" s="2" t="s">
        <v>36</v>
      </c>
      <c r="D258" s="2" t="s">
        <v>46</v>
      </c>
      <c r="E258" s="2">
        <v>21.23</v>
      </c>
      <c r="F258" s="3">
        <v>45001</v>
      </c>
      <c r="G258" s="3">
        <v>45268</v>
      </c>
      <c r="H258" s="2">
        <v>267</v>
      </c>
      <c r="I258" s="2">
        <v>4638344643</v>
      </c>
      <c r="J258" s="2" t="s">
        <v>33</v>
      </c>
      <c r="K258" s="2" t="s">
        <v>16</v>
      </c>
    </row>
    <row r="259" spans="1:11" ht="14.25" customHeight="1" x14ac:dyDescent="0.35">
      <c r="A259" s="2" t="s">
        <v>330</v>
      </c>
      <c r="B259" s="2" t="s">
        <v>18</v>
      </c>
      <c r="C259" s="2" t="s">
        <v>42</v>
      </c>
      <c r="D259" s="2" t="s">
        <v>135</v>
      </c>
      <c r="F259" s="3">
        <v>44991</v>
      </c>
      <c r="G259" s="3">
        <v>45338</v>
      </c>
      <c r="H259" s="2">
        <v>347</v>
      </c>
      <c r="I259" s="2">
        <v>2072752674</v>
      </c>
      <c r="J259" s="2" t="s">
        <v>44</v>
      </c>
      <c r="K259" s="2" t="s">
        <v>22</v>
      </c>
    </row>
    <row r="260" spans="1:11" ht="14.25" customHeight="1" x14ac:dyDescent="0.35">
      <c r="A260" s="2" t="s">
        <v>331</v>
      </c>
      <c r="B260" s="2" t="s">
        <v>30</v>
      </c>
      <c r="C260" s="2" t="s">
        <v>42</v>
      </c>
      <c r="D260" s="2" t="s">
        <v>43</v>
      </c>
      <c r="F260" s="3">
        <v>45062</v>
      </c>
      <c r="G260" s="3">
        <v>45418</v>
      </c>
      <c r="H260" s="2">
        <v>356</v>
      </c>
      <c r="I260" s="2">
        <v>4749246346</v>
      </c>
      <c r="J260" s="2" t="s">
        <v>33</v>
      </c>
      <c r="K260" s="2" t="s">
        <v>16</v>
      </c>
    </row>
    <row r="261" spans="1:11" ht="14.25" customHeight="1" x14ac:dyDescent="0.35">
      <c r="A261" s="2" t="s">
        <v>332</v>
      </c>
      <c r="B261" s="2" t="s">
        <v>60</v>
      </c>
      <c r="C261" s="2" t="s">
        <v>31</v>
      </c>
      <c r="D261" s="2" t="s">
        <v>111</v>
      </c>
      <c r="F261" s="3">
        <v>44941</v>
      </c>
      <c r="G261" s="3">
        <v>45290</v>
      </c>
      <c r="H261" s="2">
        <v>349</v>
      </c>
      <c r="I261" s="2">
        <v>4857112605</v>
      </c>
      <c r="J261" s="2" t="s">
        <v>33</v>
      </c>
      <c r="K261" s="2" t="s">
        <v>16</v>
      </c>
    </row>
    <row r="262" spans="1:11" ht="14.25" customHeight="1" x14ac:dyDescent="0.35">
      <c r="A262" s="2" t="s">
        <v>333</v>
      </c>
      <c r="B262" s="2" t="s">
        <v>30</v>
      </c>
      <c r="C262" s="2" t="s">
        <v>13</v>
      </c>
      <c r="D262" s="2" t="s">
        <v>56</v>
      </c>
      <c r="F262" s="3">
        <v>44979</v>
      </c>
      <c r="G262" s="3">
        <v>45295</v>
      </c>
      <c r="H262" s="2">
        <v>316</v>
      </c>
      <c r="I262" s="2">
        <v>4288641131</v>
      </c>
      <c r="J262" s="2" t="s">
        <v>26</v>
      </c>
      <c r="K262" s="2" t="s">
        <v>22</v>
      </c>
    </row>
    <row r="263" spans="1:11" ht="14.25" customHeight="1" x14ac:dyDescent="0.35">
      <c r="A263" s="2" t="s">
        <v>334</v>
      </c>
      <c r="B263" s="2" t="s">
        <v>60</v>
      </c>
      <c r="C263" s="2" t="s">
        <v>24</v>
      </c>
      <c r="D263" s="2" t="s">
        <v>80</v>
      </c>
      <c r="F263" s="3">
        <v>45261</v>
      </c>
      <c r="G263" s="3">
        <v>45525</v>
      </c>
      <c r="H263" s="2">
        <v>264</v>
      </c>
      <c r="I263" s="2">
        <v>3496935941</v>
      </c>
      <c r="J263" s="2" t="s">
        <v>50</v>
      </c>
      <c r="K263" s="2" t="s">
        <v>16</v>
      </c>
    </row>
    <row r="264" spans="1:11" ht="14.25" customHeight="1" x14ac:dyDescent="0.35">
      <c r="A264" s="2" t="s">
        <v>335</v>
      </c>
      <c r="B264" s="2" t="s">
        <v>60</v>
      </c>
      <c r="C264" s="2" t="s">
        <v>39</v>
      </c>
      <c r="D264" s="2" t="s">
        <v>185</v>
      </c>
      <c r="F264" s="3">
        <v>45144</v>
      </c>
      <c r="G264" s="3">
        <v>45187</v>
      </c>
      <c r="H264" s="2">
        <v>43</v>
      </c>
      <c r="I264" s="2">
        <v>1539616087</v>
      </c>
      <c r="K264" s="2" t="s">
        <v>16</v>
      </c>
    </row>
    <row r="265" spans="1:11" ht="14.25" customHeight="1" x14ac:dyDescent="0.35">
      <c r="A265" s="2" t="s">
        <v>336</v>
      </c>
      <c r="B265" s="2" t="s">
        <v>35</v>
      </c>
      <c r="C265" s="2" t="s">
        <v>36</v>
      </c>
      <c r="D265" s="2" t="s">
        <v>37</v>
      </c>
      <c r="E265" s="2">
        <v>4.92</v>
      </c>
      <c r="F265" s="3">
        <v>45095</v>
      </c>
      <c r="G265" s="3">
        <v>45423</v>
      </c>
      <c r="H265" s="2">
        <v>328</v>
      </c>
      <c r="I265" s="2">
        <v>4812149293</v>
      </c>
      <c r="J265" s="2" t="s">
        <v>67</v>
      </c>
      <c r="K265" s="2" t="s">
        <v>22</v>
      </c>
    </row>
    <row r="266" spans="1:11" ht="14.25" customHeight="1" x14ac:dyDescent="0.35">
      <c r="A266" s="2" t="s">
        <v>337</v>
      </c>
      <c r="B266" s="2" t="s">
        <v>18</v>
      </c>
      <c r="C266" s="2" t="s">
        <v>19</v>
      </c>
      <c r="D266" s="2" t="s">
        <v>20</v>
      </c>
      <c r="F266" s="3">
        <v>44998</v>
      </c>
      <c r="G266" s="3">
        <v>45341</v>
      </c>
      <c r="H266" s="2">
        <v>343</v>
      </c>
      <c r="I266" s="2">
        <v>2980746577</v>
      </c>
      <c r="K266" s="2" t="s">
        <v>16</v>
      </c>
    </row>
    <row r="267" spans="1:11" ht="14.25" customHeight="1" x14ac:dyDescent="0.35">
      <c r="A267" s="2" t="s">
        <v>338</v>
      </c>
      <c r="B267" s="2" t="s">
        <v>35</v>
      </c>
      <c r="C267" s="2" t="s">
        <v>39</v>
      </c>
      <c r="D267" s="2" t="s">
        <v>145</v>
      </c>
      <c r="E267" s="2">
        <v>1.03</v>
      </c>
      <c r="F267" s="3">
        <v>45226</v>
      </c>
      <c r="G267" s="3">
        <v>45426</v>
      </c>
      <c r="H267" s="2">
        <v>200</v>
      </c>
      <c r="I267" s="2">
        <v>2671889204</v>
      </c>
      <c r="J267" s="2" t="s">
        <v>50</v>
      </c>
      <c r="K267" s="2" t="s">
        <v>16</v>
      </c>
    </row>
    <row r="268" spans="1:11" ht="14.25" customHeight="1" x14ac:dyDescent="0.35">
      <c r="A268" s="2" t="s">
        <v>339</v>
      </c>
      <c r="B268" s="2" t="s">
        <v>18</v>
      </c>
      <c r="C268" s="2" t="s">
        <v>39</v>
      </c>
      <c r="D268" s="2" t="s">
        <v>53</v>
      </c>
      <c r="F268" s="3">
        <v>45017</v>
      </c>
      <c r="G268" s="3">
        <v>45369</v>
      </c>
      <c r="H268" s="2">
        <v>352</v>
      </c>
      <c r="I268" s="2">
        <v>4684636530</v>
      </c>
      <c r="J268" s="2" t="s">
        <v>33</v>
      </c>
      <c r="K268" s="2" t="s">
        <v>16</v>
      </c>
    </row>
    <row r="269" spans="1:11" ht="14.25" customHeight="1" x14ac:dyDescent="0.35">
      <c r="A269" s="2" t="s">
        <v>340</v>
      </c>
      <c r="B269" s="2" t="s">
        <v>35</v>
      </c>
      <c r="C269" s="2" t="s">
        <v>31</v>
      </c>
      <c r="D269" s="2" t="s">
        <v>91</v>
      </c>
      <c r="E269" s="2">
        <v>4.37</v>
      </c>
      <c r="F269" s="3">
        <v>45177</v>
      </c>
      <c r="G269" s="3">
        <v>45477</v>
      </c>
      <c r="H269" s="2">
        <v>300</v>
      </c>
      <c r="I269" s="2">
        <v>1545635161</v>
      </c>
      <c r="J269" s="2" t="s">
        <v>67</v>
      </c>
      <c r="K269" s="2" t="s">
        <v>16</v>
      </c>
    </row>
    <row r="270" spans="1:11" ht="14.25" customHeight="1" x14ac:dyDescent="0.35">
      <c r="A270" s="2" t="s">
        <v>341</v>
      </c>
      <c r="B270" s="2" t="s">
        <v>60</v>
      </c>
      <c r="C270" s="2" t="s">
        <v>31</v>
      </c>
      <c r="D270" s="2" t="s">
        <v>111</v>
      </c>
      <c r="F270" s="3">
        <v>45287</v>
      </c>
      <c r="G270" s="3">
        <v>45624</v>
      </c>
      <c r="H270" s="2">
        <v>337</v>
      </c>
      <c r="I270" s="2">
        <v>3841070246</v>
      </c>
      <c r="J270" s="2" t="s">
        <v>44</v>
      </c>
      <c r="K270" s="2" t="s">
        <v>16</v>
      </c>
    </row>
    <row r="271" spans="1:11" ht="14.25" customHeight="1" x14ac:dyDescent="0.35">
      <c r="A271" s="2" t="s">
        <v>342</v>
      </c>
      <c r="B271" s="2" t="s">
        <v>30</v>
      </c>
      <c r="C271" s="2" t="s">
        <v>36</v>
      </c>
      <c r="D271" s="2" t="s">
        <v>93</v>
      </c>
      <c r="F271" s="3">
        <v>45252</v>
      </c>
      <c r="G271" s="3">
        <v>45467</v>
      </c>
      <c r="H271" s="2">
        <v>215</v>
      </c>
      <c r="I271" s="2">
        <v>610931220</v>
      </c>
      <c r="J271" s="2" t="s">
        <v>50</v>
      </c>
      <c r="K271" s="2" t="s">
        <v>16</v>
      </c>
    </row>
    <row r="272" spans="1:11" ht="14.25" customHeight="1" x14ac:dyDescent="0.35">
      <c r="A272" s="2" t="s">
        <v>343</v>
      </c>
      <c r="B272" s="2" t="s">
        <v>12</v>
      </c>
      <c r="C272" s="2" t="s">
        <v>42</v>
      </c>
      <c r="D272" s="2" t="s">
        <v>63</v>
      </c>
      <c r="E272" s="2">
        <v>10.07</v>
      </c>
      <c r="F272" s="3">
        <v>45145</v>
      </c>
      <c r="G272" s="3">
        <v>45397</v>
      </c>
      <c r="H272" s="2">
        <v>252</v>
      </c>
      <c r="I272" s="2">
        <v>1601274722</v>
      </c>
      <c r="J272" s="2" t="s">
        <v>44</v>
      </c>
      <c r="K272" s="2" t="s">
        <v>22</v>
      </c>
    </row>
    <row r="273" spans="1:11" ht="14.25" customHeight="1" x14ac:dyDescent="0.35">
      <c r="A273" s="2" t="s">
        <v>344</v>
      </c>
      <c r="B273" s="2" t="s">
        <v>60</v>
      </c>
      <c r="C273" s="2" t="s">
        <v>39</v>
      </c>
      <c r="D273" s="2" t="s">
        <v>185</v>
      </c>
      <c r="F273" s="3">
        <v>45240</v>
      </c>
      <c r="G273" s="3">
        <v>45074</v>
      </c>
      <c r="H273" s="2">
        <v>-166</v>
      </c>
      <c r="I273" s="2">
        <v>4415451290</v>
      </c>
      <c r="K273" s="2" t="s">
        <v>16</v>
      </c>
    </row>
    <row r="274" spans="1:11" ht="14.25" customHeight="1" x14ac:dyDescent="0.35">
      <c r="A274" s="2" t="s">
        <v>345</v>
      </c>
      <c r="B274" s="2" t="s">
        <v>35</v>
      </c>
      <c r="C274" s="2" t="s">
        <v>24</v>
      </c>
      <c r="D274" s="2" t="s">
        <v>133</v>
      </c>
      <c r="E274" s="2">
        <v>1.05</v>
      </c>
      <c r="F274" s="3">
        <v>45245</v>
      </c>
      <c r="G274" s="3">
        <v>45585</v>
      </c>
      <c r="H274" s="2">
        <v>340</v>
      </c>
      <c r="I274" s="2">
        <v>2215299265</v>
      </c>
      <c r="J274" s="2" t="s">
        <v>33</v>
      </c>
      <c r="K274" s="2" t="s">
        <v>16</v>
      </c>
    </row>
    <row r="275" spans="1:11" ht="14.25" customHeight="1" x14ac:dyDescent="0.35">
      <c r="A275" s="2" t="s">
        <v>346</v>
      </c>
      <c r="B275" s="2" t="s">
        <v>12</v>
      </c>
      <c r="C275" s="2" t="s">
        <v>24</v>
      </c>
      <c r="D275" s="2" t="s">
        <v>25</v>
      </c>
      <c r="E275" s="2">
        <v>37.86</v>
      </c>
      <c r="F275" s="3">
        <v>45214</v>
      </c>
      <c r="G275" s="3">
        <v>45488</v>
      </c>
      <c r="H275" s="2">
        <v>274</v>
      </c>
      <c r="I275" s="2">
        <v>1342614562</v>
      </c>
      <c r="J275" s="2" t="s">
        <v>44</v>
      </c>
      <c r="K275" s="2" t="s">
        <v>16</v>
      </c>
    </row>
    <row r="276" spans="1:11" ht="14.25" customHeight="1" x14ac:dyDescent="0.35">
      <c r="A276" s="2" t="s">
        <v>347</v>
      </c>
      <c r="B276" s="2" t="s">
        <v>18</v>
      </c>
      <c r="C276" s="2" t="s">
        <v>48</v>
      </c>
      <c r="D276" s="2" t="s">
        <v>121</v>
      </c>
      <c r="F276" s="3">
        <v>45031</v>
      </c>
      <c r="G276" s="3">
        <v>45211</v>
      </c>
      <c r="H276" s="2">
        <v>180</v>
      </c>
      <c r="I276" s="2">
        <v>1201979821</v>
      </c>
      <c r="J276" s="2" t="s">
        <v>21</v>
      </c>
      <c r="K276" s="2" t="s">
        <v>16</v>
      </c>
    </row>
    <row r="277" spans="1:11" ht="14.25" customHeight="1" x14ac:dyDescent="0.35">
      <c r="A277" s="2" t="s">
        <v>348</v>
      </c>
      <c r="B277" s="2" t="s">
        <v>35</v>
      </c>
      <c r="C277" s="2" t="s">
        <v>24</v>
      </c>
      <c r="D277" s="2" t="s">
        <v>133</v>
      </c>
      <c r="E277" s="2">
        <v>1.42</v>
      </c>
      <c r="F277" s="3">
        <v>45057</v>
      </c>
      <c r="G277" s="3">
        <v>45337</v>
      </c>
      <c r="H277" s="2">
        <v>280</v>
      </c>
      <c r="I277" s="2">
        <v>4136994421</v>
      </c>
      <c r="J277" s="2" t="s">
        <v>15</v>
      </c>
      <c r="K277" s="2" t="s">
        <v>22</v>
      </c>
    </row>
    <row r="278" spans="1:11" ht="14.25" customHeight="1" x14ac:dyDescent="0.35">
      <c r="A278" s="2" t="s">
        <v>349</v>
      </c>
      <c r="B278" s="2" t="s">
        <v>18</v>
      </c>
      <c r="C278" s="2" t="s">
        <v>39</v>
      </c>
      <c r="D278" s="2" t="s">
        <v>53</v>
      </c>
      <c r="F278" s="3">
        <v>44974</v>
      </c>
      <c r="G278" s="3">
        <v>45230</v>
      </c>
      <c r="H278" s="2">
        <v>256</v>
      </c>
      <c r="I278" s="2">
        <v>4149463273</v>
      </c>
      <c r="J278" s="2" t="s">
        <v>21</v>
      </c>
      <c r="K278" s="2" t="s">
        <v>22</v>
      </c>
    </row>
    <row r="279" spans="1:11" ht="14.25" customHeight="1" x14ac:dyDescent="0.35">
      <c r="A279" s="2" t="s">
        <v>350</v>
      </c>
      <c r="B279" s="2" t="s">
        <v>35</v>
      </c>
      <c r="C279" s="2" t="s">
        <v>31</v>
      </c>
      <c r="D279" s="2" t="s">
        <v>91</v>
      </c>
      <c r="E279" s="2">
        <v>1.1299999999999999</v>
      </c>
      <c r="F279" s="3">
        <v>45227</v>
      </c>
      <c r="G279" s="3">
        <v>45478</v>
      </c>
      <c r="H279" s="2">
        <v>251</v>
      </c>
      <c r="I279" s="2">
        <v>2964723228</v>
      </c>
      <c r="J279" s="2" t="s">
        <v>33</v>
      </c>
      <c r="K279" s="2" t="s">
        <v>16</v>
      </c>
    </row>
    <row r="280" spans="1:11" ht="14.25" customHeight="1" x14ac:dyDescent="0.35">
      <c r="A280" s="2" t="s">
        <v>351</v>
      </c>
      <c r="B280" s="2" t="s">
        <v>18</v>
      </c>
      <c r="C280" s="2" t="s">
        <v>42</v>
      </c>
      <c r="D280" s="2" t="s">
        <v>135</v>
      </c>
      <c r="F280" s="3">
        <v>45101</v>
      </c>
      <c r="G280" s="3">
        <v>45375</v>
      </c>
      <c r="H280" s="2">
        <v>274</v>
      </c>
      <c r="I280" s="2">
        <v>1821127764</v>
      </c>
      <c r="K280" s="2" t="s">
        <v>16</v>
      </c>
    </row>
    <row r="281" spans="1:11" ht="14.25" customHeight="1" x14ac:dyDescent="0.35">
      <c r="A281" s="2" t="s">
        <v>352</v>
      </c>
      <c r="B281" s="2" t="s">
        <v>35</v>
      </c>
      <c r="C281" s="2" t="s">
        <v>13</v>
      </c>
      <c r="D281" s="2" t="s">
        <v>78</v>
      </c>
      <c r="E281" s="2">
        <v>2.95</v>
      </c>
      <c r="F281" s="3">
        <v>45199</v>
      </c>
      <c r="G281" s="3">
        <v>45276</v>
      </c>
      <c r="H281" s="2">
        <v>77</v>
      </c>
      <c r="I281" s="2">
        <v>3567613167</v>
      </c>
      <c r="J281" s="2" t="s">
        <v>67</v>
      </c>
      <c r="K281" s="2" t="s">
        <v>22</v>
      </c>
    </row>
    <row r="282" spans="1:11" ht="14.25" customHeight="1" x14ac:dyDescent="0.35">
      <c r="A282" s="2" t="s">
        <v>353</v>
      </c>
      <c r="B282" s="2" t="s">
        <v>18</v>
      </c>
      <c r="C282" s="2" t="s">
        <v>39</v>
      </c>
      <c r="D282" s="2" t="s">
        <v>53</v>
      </c>
      <c r="F282" s="3">
        <v>45214</v>
      </c>
      <c r="G282" s="3">
        <v>45410</v>
      </c>
      <c r="H282" s="2">
        <v>196</v>
      </c>
      <c r="I282" s="2">
        <v>4296222867</v>
      </c>
      <c r="K282" s="2" t="s">
        <v>16</v>
      </c>
    </row>
    <row r="283" spans="1:11" ht="14.25" customHeight="1" x14ac:dyDescent="0.35">
      <c r="A283" s="2" t="s">
        <v>354</v>
      </c>
      <c r="B283" s="2" t="s">
        <v>30</v>
      </c>
      <c r="C283" s="2" t="s">
        <v>31</v>
      </c>
      <c r="D283" s="2" t="s">
        <v>32</v>
      </c>
      <c r="F283" s="3">
        <v>45245</v>
      </c>
      <c r="G283" s="3">
        <v>45532</v>
      </c>
      <c r="H283" s="2">
        <v>287</v>
      </c>
      <c r="I283" s="2">
        <v>4538110815</v>
      </c>
      <c r="K283" s="2" t="s">
        <v>16</v>
      </c>
    </row>
    <row r="284" spans="1:11" ht="14.25" customHeight="1" x14ac:dyDescent="0.35">
      <c r="A284" s="2" t="s">
        <v>355</v>
      </c>
      <c r="B284" s="2" t="s">
        <v>18</v>
      </c>
      <c r="C284" s="2" t="s">
        <v>24</v>
      </c>
      <c r="D284" s="2" t="s">
        <v>95</v>
      </c>
      <c r="F284" s="3">
        <v>45004</v>
      </c>
      <c r="G284" s="3">
        <v>45314</v>
      </c>
      <c r="H284" s="2">
        <v>310</v>
      </c>
      <c r="I284" s="2">
        <v>4621897191</v>
      </c>
      <c r="J284" s="2" t="s">
        <v>26</v>
      </c>
      <c r="K284" s="2" t="s">
        <v>22</v>
      </c>
    </row>
    <row r="285" spans="1:11" ht="14.25" customHeight="1" x14ac:dyDescent="0.35">
      <c r="A285" s="2" t="s">
        <v>356</v>
      </c>
      <c r="B285" s="2" t="s">
        <v>30</v>
      </c>
      <c r="C285" s="2" t="s">
        <v>48</v>
      </c>
      <c r="D285" s="2" t="s">
        <v>101</v>
      </c>
      <c r="F285" s="3">
        <v>45245</v>
      </c>
      <c r="G285" s="3">
        <v>45333</v>
      </c>
      <c r="H285" s="2">
        <v>88</v>
      </c>
      <c r="I285" s="2">
        <v>1911766850</v>
      </c>
      <c r="K285" s="2" t="s">
        <v>16</v>
      </c>
    </row>
    <row r="286" spans="1:11" ht="14.25" customHeight="1" x14ac:dyDescent="0.35">
      <c r="A286" s="2" t="s">
        <v>357</v>
      </c>
      <c r="B286" s="2" t="s">
        <v>30</v>
      </c>
      <c r="C286" s="2" t="s">
        <v>42</v>
      </c>
      <c r="D286" s="2" t="s">
        <v>43</v>
      </c>
      <c r="F286" s="3">
        <v>45061</v>
      </c>
      <c r="G286" s="3">
        <v>45294</v>
      </c>
      <c r="H286" s="2">
        <v>233</v>
      </c>
      <c r="I286" s="2">
        <v>4222799055</v>
      </c>
      <c r="J286" s="2" t="s">
        <v>67</v>
      </c>
      <c r="K286" s="2" t="s">
        <v>16</v>
      </c>
    </row>
    <row r="287" spans="1:11" ht="14.25" customHeight="1" x14ac:dyDescent="0.35">
      <c r="A287" s="2" t="s">
        <v>358</v>
      </c>
      <c r="B287" s="2" t="s">
        <v>35</v>
      </c>
      <c r="C287" s="2" t="s">
        <v>48</v>
      </c>
      <c r="D287" s="2" t="s">
        <v>49</v>
      </c>
      <c r="E287" s="2">
        <v>0.51</v>
      </c>
      <c r="F287" s="3">
        <v>45241</v>
      </c>
      <c r="G287" s="3">
        <v>44946</v>
      </c>
      <c r="H287" s="2">
        <v>-295</v>
      </c>
      <c r="I287" s="2">
        <v>1949935621</v>
      </c>
      <c r="J287" s="2" t="s">
        <v>21</v>
      </c>
      <c r="K287" s="2" t="s">
        <v>22</v>
      </c>
    </row>
    <row r="288" spans="1:11" ht="14.25" customHeight="1" x14ac:dyDescent="0.35">
      <c r="A288" s="2" t="s">
        <v>359</v>
      </c>
      <c r="B288" s="2" t="s">
        <v>60</v>
      </c>
      <c r="C288" s="2" t="s">
        <v>13</v>
      </c>
      <c r="D288" s="2" t="s">
        <v>182</v>
      </c>
      <c r="F288" s="3">
        <v>45178</v>
      </c>
      <c r="G288" s="3">
        <v>45457</v>
      </c>
      <c r="H288" s="2">
        <v>279</v>
      </c>
      <c r="I288" s="2">
        <v>2047119931</v>
      </c>
      <c r="J288" s="2" t="s">
        <v>15</v>
      </c>
      <c r="K288" s="2" t="s">
        <v>16</v>
      </c>
    </row>
    <row r="289" spans="1:11" ht="14.25" customHeight="1" x14ac:dyDescent="0.35">
      <c r="A289" s="2" t="s">
        <v>360</v>
      </c>
      <c r="B289" s="2" t="s">
        <v>12</v>
      </c>
      <c r="C289" s="2" t="s">
        <v>39</v>
      </c>
      <c r="D289" s="2" t="s">
        <v>160</v>
      </c>
      <c r="E289" s="2">
        <v>26.24</v>
      </c>
      <c r="F289" s="3">
        <v>44973</v>
      </c>
      <c r="G289" s="3">
        <v>45289</v>
      </c>
      <c r="H289" s="2">
        <v>316</v>
      </c>
      <c r="I289" s="2">
        <v>2337632873</v>
      </c>
      <c r="J289" s="2" t="s">
        <v>26</v>
      </c>
      <c r="K289" s="2" t="s">
        <v>22</v>
      </c>
    </row>
    <row r="290" spans="1:11" ht="14.25" customHeight="1" x14ac:dyDescent="0.35">
      <c r="A290" s="2" t="s">
        <v>361</v>
      </c>
      <c r="B290" s="2" t="s">
        <v>18</v>
      </c>
      <c r="C290" s="2" t="s">
        <v>42</v>
      </c>
      <c r="D290" s="2" t="s">
        <v>135</v>
      </c>
      <c r="F290" s="3">
        <v>44954</v>
      </c>
      <c r="G290" s="3">
        <v>45158</v>
      </c>
      <c r="H290" s="2">
        <v>204</v>
      </c>
      <c r="I290" s="2">
        <v>1128305103</v>
      </c>
      <c r="J290" s="2" t="s">
        <v>21</v>
      </c>
      <c r="K290" s="2" t="s">
        <v>22</v>
      </c>
    </row>
    <row r="291" spans="1:11" ht="14.25" customHeight="1" x14ac:dyDescent="0.35">
      <c r="A291" s="2" t="s">
        <v>362</v>
      </c>
      <c r="B291" s="2" t="s">
        <v>35</v>
      </c>
      <c r="C291" s="2" t="s">
        <v>31</v>
      </c>
      <c r="D291" s="2" t="s">
        <v>91</v>
      </c>
      <c r="E291" s="2">
        <v>1.6</v>
      </c>
      <c r="F291" s="3">
        <v>44968</v>
      </c>
      <c r="G291" s="3">
        <v>45186</v>
      </c>
      <c r="H291" s="2">
        <v>218</v>
      </c>
      <c r="I291" s="2">
        <v>4349786731</v>
      </c>
      <c r="J291" s="2" t="s">
        <v>26</v>
      </c>
      <c r="K291" s="2" t="s">
        <v>16</v>
      </c>
    </row>
    <row r="292" spans="1:11" ht="14.25" customHeight="1" x14ac:dyDescent="0.35">
      <c r="A292" s="2" t="s">
        <v>363</v>
      </c>
      <c r="B292" s="2" t="s">
        <v>60</v>
      </c>
      <c r="C292" s="2" t="s">
        <v>19</v>
      </c>
      <c r="D292" s="2" t="s">
        <v>87</v>
      </c>
      <c r="F292" s="3">
        <v>45138</v>
      </c>
      <c r="G292" s="3">
        <v>45260</v>
      </c>
      <c r="H292" s="2">
        <v>122</v>
      </c>
      <c r="I292" s="2">
        <v>1474501253</v>
      </c>
      <c r="K292" s="2" t="s">
        <v>16</v>
      </c>
    </row>
    <row r="293" spans="1:11" ht="14.25" customHeight="1" x14ac:dyDescent="0.35">
      <c r="A293" s="2" t="s">
        <v>364</v>
      </c>
      <c r="B293" s="2" t="s">
        <v>12</v>
      </c>
      <c r="C293" s="2" t="s">
        <v>24</v>
      </c>
      <c r="D293" s="2" t="s">
        <v>25</v>
      </c>
      <c r="E293" s="2">
        <v>45.08</v>
      </c>
      <c r="F293" s="3">
        <v>45529</v>
      </c>
      <c r="G293" s="3">
        <v>45267</v>
      </c>
      <c r="H293" s="2">
        <v>-262</v>
      </c>
      <c r="I293" s="2">
        <v>1928614369</v>
      </c>
      <c r="K293" s="2" t="s">
        <v>16</v>
      </c>
    </row>
    <row r="294" spans="1:11" ht="14.25" customHeight="1" x14ac:dyDescent="0.35">
      <c r="A294" s="2" t="s">
        <v>365</v>
      </c>
      <c r="B294" s="2" t="s">
        <v>30</v>
      </c>
      <c r="C294" s="2" t="s">
        <v>42</v>
      </c>
      <c r="D294" s="2" t="s">
        <v>43</v>
      </c>
      <c r="F294" s="3">
        <v>44994</v>
      </c>
      <c r="G294" s="3">
        <v>45241</v>
      </c>
      <c r="H294" s="2">
        <v>247</v>
      </c>
      <c r="I294" s="2">
        <v>2936291188</v>
      </c>
      <c r="J294" s="2" t="s">
        <v>15</v>
      </c>
      <c r="K294" s="2" t="s">
        <v>22</v>
      </c>
    </row>
    <row r="295" spans="1:11" ht="14.25" customHeight="1" x14ac:dyDescent="0.35">
      <c r="A295" s="2" t="s">
        <v>366</v>
      </c>
      <c r="B295" s="2" t="s">
        <v>60</v>
      </c>
      <c r="C295" s="2" t="s">
        <v>19</v>
      </c>
      <c r="D295" s="2" t="s">
        <v>87</v>
      </c>
      <c r="F295" s="3">
        <v>45118</v>
      </c>
      <c r="G295" s="3">
        <v>45180</v>
      </c>
      <c r="H295" s="2">
        <v>62</v>
      </c>
      <c r="I295" s="2">
        <v>2436527077</v>
      </c>
      <c r="J295" s="2" t="s">
        <v>50</v>
      </c>
      <c r="K295" s="2" t="s">
        <v>22</v>
      </c>
    </row>
    <row r="296" spans="1:11" ht="14.25" customHeight="1" x14ac:dyDescent="0.35">
      <c r="A296" s="2" t="s">
        <v>367</v>
      </c>
      <c r="B296" s="2" t="s">
        <v>35</v>
      </c>
      <c r="C296" s="2" t="s">
        <v>48</v>
      </c>
      <c r="D296" s="2" t="s">
        <v>49</v>
      </c>
      <c r="E296" s="2">
        <v>1.1399999999999999</v>
      </c>
      <c r="F296" s="3">
        <v>45249</v>
      </c>
      <c r="G296" s="3">
        <v>45512</v>
      </c>
      <c r="H296" s="2">
        <v>263</v>
      </c>
      <c r="I296" s="2">
        <v>2142063935</v>
      </c>
      <c r="J296" s="2" t="s">
        <v>15</v>
      </c>
      <c r="K296" s="2" t="s">
        <v>16</v>
      </c>
    </row>
    <row r="297" spans="1:11" ht="14.25" customHeight="1" x14ac:dyDescent="0.35">
      <c r="A297" s="2" t="s">
        <v>368</v>
      </c>
      <c r="B297" s="2" t="s">
        <v>30</v>
      </c>
      <c r="C297" s="2" t="s">
        <v>31</v>
      </c>
      <c r="D297" s="2" t="s">
        <v>32</v>
      </c>
      <c r="F297" s="3">
        <v>44955</v>
      </c>
      <c r="G297" s="3">
        <v>45116</v>
      </c>
      <c r="H297" s="2">
        <v>161</v>
      </c>
      <c r="I297" s="2">
        <v>4041852216</v>
      </c>
      <c r="K297" s="2" t="s">
        <v>16</v>
      </c>
    </row>
    <row r="298" spans="1:11" ht="14.25" customHeight="1" x14ac:dyDescent="0.35">
      <c r="A298" s="2" t="s">
        <v>369</v>
      </c>
      <c r="B298" s="2" t="s">
        <v>12</v>
      </c>
      <c r="C298" s="2" t="s">
        <v>42</v>
      </c>
      <c r="D298" s="2" t="s">
        <v>63</v>
      </c>
      <c r="E298" s="2">
        <v>28.45</v>
      </c>
      <c r="F298" s="3">
        <v>44979</v>
      </c>
      <c r="G298" s="3">
        <v>45074</v>
      </c>
      <c r="H298" s="2">
        <v>95</v>
      </c>
      <c r="I298" s="2">
        <v>4413138266</v>
      </c>
      <c r="J298" s="2" t="s">
        <v>50</v>
      </c>
      <c r="K298" s="2" t="s">
        <v>16</v>
      </c>
    </row>
    <row r="299" spans="1:11" ht="14.25" customHeight="1" x14ac:dyDescent="0.35">
      <c r="A299" s="2" t="s">
        <v>370</v>
      </c>
      <c r="B299" s="2" t="s">
        <v>35</v>
      </c>
      <c r="C299" s="2" t="s">
        <v>42</v>
      </c>
      <c r="D299" s="2" t="s">
        <v>69</v>
      </c>
      <c r="E299" s="2">
        <v>0.17</v>
      </c>
      <c r="F299" s="3">
        <v>45130</v>
      </c>
      <c r="G299" s="3">
        <v>45277</v>
      </c>
      <c r="H299" s="2">
        <v>147</v>
      </c>
      <c r="I299" s="2">
        <v>4018708061</v>
      </c>
      <c r="K299" s="2" t="s">
        <v>22</v>
      </c>
    </row>
    <row r="300" spans="1:11" ht="14.25" customHeight="1" x14ac:dyDescent="0.35">
      <c r="A300" s="2" t="s">
        <v>371</v>
      </c>
      <c r="B300" s="2" t="s">
        <v>30</v>
      </c>
      <c r="C300" s="2" t="s">
        <v>42</v>
      </c>
      <c r="D300" s="2" t="s">
        <v>43</v>
      </c>
      <c r="F300" s="3">
        <v>45242</v>
      </c>
      <c r="G300" s="3">
        <v>45098</v>
      </c>
      <c r="H300" s="2">
        <v>-144</v>
      </c>
      <c r="I300" s="2">
        <v>2776693409</v>
      </c>
      <c r="J300" s="2" t="s">
        <v>44</v>
      </c>
      <c r="K300" s="2" t="s">
        <v>22</v>
      </c>
    </row>
    <row r="301" spans="1:11" ht="14.25" customHeight="1" x14ac:dyDescent="0.35">
      <c r="A301" s="2" t="s">
        <v>372</v>
      </c>
      <c r="B301" s="2" t="s">
        <v>12</v>
      </c>
      <c r="C301" s="2" t="s">
        <v>13</v>
      </c>
      <c r="D301" s="2" t="s">
        <v>14</v>
      </c>
      <c r="E301" s="2">
        <v>28.71</v>
      </c>
      <c r="F301" s="3">
        <v>44990</v>
      </c>
      <c r="G301" s="3">
        <v>45158</v>
      </c>
      <c r="H301" s="2">
        <v>168</v>
      </c>
      <c r="I301" s="2">
        <v>4042477177</v>
      </c>
      <c r="J301" s="2" t="s">
        <v>26</v>
      </c>
      <c r="K301" s="2" t="s">
        <v>22</v>
      </c>
    </row>
    <row r="302" spans="1:11" ht="14.25" customHeight="1" x14ac:dyDescent="0.35">
      <c r="A302" s="2" t="s">
        <v>373</v>
      </c>
      <c r="B302" s="2" t="s">
        <v>60</v>
      </c>
      <c r="C302" s="2" t="s">
        <v>39</v>
      </c>
      <c r="D302" s="2" t="s">
        <v>185</v>
      </c>
      <c r="F302" s="3">
        <v>45217</v>
      </c>
      <c r="G302" s="3">
        <v>45524</v>
      </c>
      <c r="H302" s="2">
        <v>307</v>
      </c>
      <c r="I302" s="2">
        <v>569825652</v>
      </c>
      <c r="J302" s="2" t="s">
        <v>50</v>
      </c>
      <c r="K302" s="2" t="s">
        <v>16</v>
      </c>
    </row>
    <row r="303" spans="1:11" ht="14.25" customHeight="1" x14ac:dyDescent="0.35">
      <c r="A303" s="2" t="s">
        <v>374</v>
      </c>
      <c r="B303" s="2" t="s">
        <v>60</v>
      </c>
      <c r="C303" s="2" t="s">
        <v>31</v>
      </c>
      <c r="D303" s="2" t="s">
        <v>111</v>
      </c>
      <c r="F303" s="3">
        <v>45243</v>
      </c>
      <c r="G303" s="3">
        <v>45535</v>
      </c>
      <c r="H303" s="2">
        <v>292</v>
      </c>
      <c r="I303" s="2">
        <v>2838024063</v>
      </c>
      <c r="J303" s="2" t="s">
        <v>33</v>
      </c>
      <c r="K303" s="2" t="s">
        <v>22</v>
      </c>
    </row>
    <row r="304" spans="1:11" ht="14.25" customHeight="1" x14ac:dyDescent="0.35">
      <c r="A304" s="2" t="s">
        <v>375</v>
      </c>
      <c r="B304" s="2" t="s">
        <v>18</v>
      </c>
      <c r="C304" s="2" t="s">
        <v>48</v>
      </c>
      <c r="D304" s="2" t="s">
        <v>121</v>
      </c>
      <c r="F304" s="3">
        <v>44977</v>
      </c>
      <c r="G304" s="3">
        <v>45233</v>
      </c>
      <c r="H304" s="2">
        <v>256</v>
      </c>
      <c r="I304" s="2">
        <v>4149982670</v>
      </c>
      <c r="K304" s="2" t="s">
        <v>22</v>
      </c>
    </row>
    <row r="305" spans="1:11" ht="14.25" customHeight="1" x14ac:dyDescent="0.35">
      <c r="A305" s="2" t="s">
        <v>376</v>
      </c>
      <c r="B305" s="2" t="s">
        <v>35</v>
      </c>
      <c r="C305" s="2" t="s">
        <v>48</v>
      </c>
      <c r="D305" s="2" t="s">
        <v>49</v>
      </c>
      <c r="E305" s="2">
        <v>1.99</v>
      </c>
      <c r="F305" s="3">
        <v>45247</v>
      </c>
      <c r="G305" s="3">
        <v>45328</v>
      </c>
      <c r="H305" s="2">
        <v>81</v>
      </c>
      <c r="I305" s="2">
        <v>3997187891</v>
      </c>
      <c r="J305" s="2" t="s">
        <v>50</v>
      </c>
      <c r="K305" s="2" t="s">
        <v>22</v>
      </c>
    </row>
    <row r="306" spans="1:11" ht="14.25" customHeight="1" x14ac:dyDescent="0.35">
      <c r="A306" s="2" t="s">
        <v>377</v>
      </c>
      <c r="B306" s="2" t="s">
        <v>30</v>
      </c>
      <c r="C306" s="2" t="s">
        <v>36</v>
      </c>
      <c r="D306" s="2" t="s">
        <v>93</v>
      </c>
      <c r="F306" s="3">
        <v>45153</v>
      </c>
      <c r="G306" s="3">
        <v>45342</v>
      </c>
      <c r="H306" s="2">
        <v>189</v>
      </c>
      <c r="I306" s="2">
        <v>4868234340</v>
      </c>
      <c r="J306" s="2" t="s">
        <v>21</v>
      </c>
      <c r="K306" s="2" t="s">
        <v>22</v>
      </c>
    </row>
    <row r="307" spans="1:11" ht="14.25" customHeight="1" x14ac:dyDescent="0.35">
      <c r="A307" s="2" t="s">
        <v>378</v>
      </c>
      <c r="B307" s="2" t="s">
        <v>30</v>
      </c>
      <c r="C307" s="2" t="s">
        <v>39</v>
      </c>
      <c r="D307" s="2" t="s">
        <v>40</v>
      </c>
      <c r="F307" s="3">
        <v>45125</v>
      </c>
      <c r="G307" s="3">
        <v>45317</v>
      </c>
      <c r="H307" s="2">
        <v>192</v>
      </c>
      <c r="I307" s="2">
        <v>3256512298</v>
      </c>
      <c r="J307" s="2" t="s">
        <v>33</v>
      </c>
      <c r="K307" s="2" t="s">
        <v>22</v>
      </c>
    </row>
    <row r="308" spans="1:11" ht="14.25" customHeight="1" x14ac:dyDescent="0.35">
      <c r="A308" s="2" t="s">
        <v>379</v>
      </c>
      <c r="B308" s="2" t="s">
        <v>12</v>
      </c>
      <c r="C308" s="2" t="s">
        <v>31</v>
      </c>
      <c r="D308" s="2" t="s">
        <v>83</v>
      </c>
      <c r="E308" s="2">
        <v>5.07</v>
      </c>
      <c r="F308" s="3">
        <v>44930</v>
      </c>
      <c r="G308" s="3">
        <v>45244</v>
      </c>
      <c r="H308" s="2">
        <v>314</v>
      </c>
      <c r="I308" s="2">
        <v>1881749057</v>
      </c>
      <c r="J308" s="2" t="s">
        <v>15</v>
      </c>
      <c r="K308" s="2" t="s">
        <v>16</v>
      </c>
    </row>
    <row r="309" spans="1:11" ht="14.25" customHeight="1" x14ac:dyDescent="0.35">
      <c r="A309" s="2" t="s">
        <v>380</v>
      </c>
      <c r="B309" s="2" t="s">
        <v>30</v>
      </c>
      <c r="C309" s="2" t="s">
        <v>13</v>
      </c>
      <c r="D309" s="2" t="s">
        <v>56</v>
      </c>
      <c r="F309" s="3">
        <v>45186</v>
      </c>
      <c r="G309" s="3">
        <v>45477</v>
      </c>
      <c r="H309" s="2">
        <v>291</v>
      </c>
      <c r="I309" s="2">
        <v>1685422458</v>
      </c>
      <c r="J309" s="2" t="s">
        <v>26</v>
      </c>
      <c r="K309" s="2" t="s">
        <v>16</v>
      </c>
    </row>
    <row r="310" spans="1:11" ht="14.25" customHeight="1" x14ac:dyDescent="0.35">
      <c r="A310" s="2" t="s">
        <v>381</v>
      </c>
      <c r="B310" s="2" t="s">
        <v>60</v>
      </c>
      <c r="C310" s="2" t="s">
        <v>48</v>
      </c>
      <c r="D310" s="2" t="s">
        <v>66</v>
      </c>
      <c r="F310" s="3">
        <v>45125</v>
      </c>
      <c r="G310" s="3">
        <v>45188</v>
      </c>
      <c r="H310" s="2">
        <v>63</v>
      </c>
      <c r="I310" s="2">
        <v>3393637066</v>
      </c>
      <c r="K310" s="2" t="s">
        <v>16</v>
      </c>
    </row>
    <row r="311" spans="1:11" ht="14.25" customHeight="1" x14ac:dyDescent="0.35">
      <c r="A311" s="2" t="s">
        <v>382</v>
      </c>
      <c r="B311" s="2" t="s">
        <v>12</v>
      </c>
      <c r="C311" s="2" t="s">
        <v>13</v>
      </c>
      <c r="D311" s="2" t="s">
        <v>14</v>
      </c>
      <c r="E311" s="2">
        <v>30.49</v>
      </c>
      <c r="F311" s="3">
        <v>45103</v>
      </c>
      <c r="G311" s="3">
        <v>45038</v>
      </c>
      <c r="H311" s="2">
        <v>-65</v>
      </c>
      <c r="I311" s="2">
        <v>4839865122</v>
      </c>
      <c r="J311" s="2" t="s">
        <v>15</v>
      </c>
      <c r="K311" s="2" t="s">
        <v>16</v>
      </c>
    </row>
    <row r="312" spans="1:11" ht="14.25" customHeight="1" x14ac:dyDescent="0.35">
      <c r="A312" s="2" t="s">
        <v>383</v>
      </c>
      <c r="B312" s="2" t="s">
        <v>30</v>
      </c>
      <c r="C312" s="2" t="s">
        <v>42</v>
      </c>
      <c r="D312" s="2" t="s">
        <v>43</v>
      </c>
      <c r="F312" s="3">
        <v>45068</v>
      </c>
      <c r="G312" s="3">
        <v>45110</v>
      </c>
      <c r="H312" s="2">
        <v>42</v>
      </c>
      <c r="I312" s="2">
        <v>2303281620</v>
      </c>
      <c r="J312" s="2" t="s">
        <v>50</v>
      </c>
      <c r="K312" s="2" t="s">
        <v>22</v>
      </c>
    </row>
    <row r="313" spans="1:11" ht="14.25" customHeight="1" x14ac:dyDescent="0.35">
      <c r="A313" s="2" t="s">
        <v>384</v>
      </c>
      <c r="B313" s="2" t="s">
        <v>18</v>
      </c>
      <c r="C313" s="2" t="s">
        <v>19</v>
      </c>
      <c r="D313" s="2" t="s">
        <v>20</v>
      </c>
      <c r="F313" s="3">
        <v>45169</v>
      </c>
      <c r="G313" s="3">
        <v>45267</v>
      </c>
      <c r="H313" s="2">
        <v>98</v>
      </c>
      <c r="I313" s="2">
        <v>640536636</v>
      </c>
      <c r="J313" s="2" t="s">
        <v>26</v>
      </c>
      <c r="K313" s="2" t="s">
        <v>16</v>
      </c>
    </row>
    <row r="314" spans="1:11" ht="14.25" customHeight="1" x14ac:dyDescent="0.35">
      <c r="A314" s="2" t="s">
        <v>385</v>
      </c>
      <c r="B314" s="2" t="s">
        <v>18</v>
      </c>
      <c r="C314" s="2" t="s">
        <v>39</v>
      </c>
      <c r="D314" s="2" t="s">
        <v>53</v>
      </c>
      <c r="F314" s="3">
        <v>45225</v>
      </c>
      <c r="G314" s="3">
        <v>45551</v>
      </c>
      <c r="H314" s="2">
        <v>326</v>
      </c>
      <c r="I314" s="2">
        <v>1068051373</v>
      </c>
      <c r="J314" s="2" t="s">
        <v>26</v>
      </c>
      <c r="K314" s="2" t="s">
        <v>22</v>
      </c>
    </row>
    <row r="315" spans="1:11" ht="14.25" customHeight="1" x14ac:dyDescent="0.35">
      <c r="A315" s="2" t="s">
        <v>386</v>
      </c>
      <c r="B315" s="2" t="s">
        <v>30</v>
      </c>
      <c r="C315" s="2" t="s">
        <v>31</v>
      </c>
      <c r="D315" s="2" t="s">
        <v>32</v>
      </c>
      <c r="F315" s="3">
        <v>45075</v>
      </c>
      <c r="G315" s="3">
        <v>45276</v>
      </c>
      <c r="H315" s="2">
        <v>201</v>
      </c>
      <c r="I315" s="2">
        <v>4104914231</v>
      </c>
      <c r="J315" s="2" t="s">
        <v>33</v>
      </c>
      <c r="K315" s="2" t="s">
        <v>16</v>
      </c>
    </row>
    <row r="316" spans="1:11" ht="14.25" customHeight="1" x14ac:dyDescent="0.35">
      <c r="A316" s="2" t="s">
        <v>387</v>
      </c>
      <c r="B316" s="2" t="s">
        <v>60</v>
      </c>
      <c r="C316" s="2" t="s">
        <v>13</v>
      </c>
      <c r="D316" s="2" t="s">
        <v>182</v>
      </c>
      <c r="F316" s="3">
        <v>44928</v>
      </c>
      <c r="G316" s="3">
        <v>45006</v>
      </c>
      <c r="H316" s="2">
        <v>78</v>
      </c>
      <c r="I316" s="2">
        <v>1890268233</v>
      </c>
      <c r="J316" s="2" t="s">
        <v>50</v>
      </c>
      <c r="K316" s="2" t="s">
        <v>22</v>
      </c>
    </row>
    <row r="317" spans="1:11" ht="14.25" customHeight="1" x14ac:dyDescent="0.35">
      <c r="A317" s="2" t="s">
        <v>388</v>
      </c>
      <c r="B317" s="2" t="s">
        <v>60</v>
      </c>
      <c r="C317" s="2" t="s">
        <v>13</v>
      </c>
      <c r="D317" s="2" t="s">
        <v>182</v>
      </c>
      <c r="F317" s="3">
        <v>44950</v>
      </c>
      <c r="G317" s="3">
        <v>45078</v>
      </c>
      <c r="H317" s="2">
        <v>128</v>
      </c>
      <c r="I317" s="2">
        <v>3351647773</v>
      </c>
      <c r="J317" s="2" t="s">
        <v>21</v>
      </c>
      <c r="K317" s="2" t="s">
        <v>16</v>
      </c>
    </row>
    <row r="318" spans="1:11" ht="14.25" customHeight="1" x14ac:dyDescent="0.35">
      <c r="A318" s="2" t="s">
        <v>389</v>
      </c>
      <c r="B318" s="2" t="s">
        <v>30</v>
      </c>
      <c r="C318" s="2" t="s">
        <v>42</v>
      </c>
      <c r="D318" s="2" t="s">
        <v>43</v>
      </c>
      <c r="F318" s="3">
        <v>45081</v>
      </c>
      <c r="G318" s="3">
        <v>45151</v>
      </c>
      <c r="H318" s="2">
        <v>70</v>
      </c>
      <c r="I318" s="2">
        <v>2472560736</v>
      </c>
      <c r="J318" s="2" t="s">
        <v>50</v>
      </c>
      <c r="K318" s="2" t="s">
        <v>16</v>
      </c>
    </row>
    <row r="319" spans="1:11" ht="14.25" customHeight="1" x14ac:dyDescent="0.35">
      <c r="A319" s="2" t="s">
        <v>390</v>
      </c>
      <c r="B319" s="2" t="s">
        <v>30</v>
      </c>
      <c r="C319" s="2" t="s">
        <v>48</v>
      </c>
      <c r="D319" s="2" t="s">
        <v>101</v>
      </c>
      <c r="F319" s="3">
        <v>45228</v>
      </c>
      <c r="G319" s="3">
        <v>45515</v>
      </c>
      <c r="H319" s="2">
        <v>287</v>
      </c>
      <c r="I319" s="2">
        <v>2790887739</v>
      </c>
      <c r="J319" s="2" t="s">
        <v>44</v>
      </c>
      <c r="K319" s="2" t="s">
        <v>16</v>
      </c>
    </row>
    <row r="320" spans="1:11" ht="14.25" customHeight="1" x14ac:dyDescent="0.35">
      <c r="A320" s="2" t="s">
        <v>391</v>
      </c>
      <c r="B320" s="2" t="s">
        <v>30</v>
      </c>
      <c r="C320" s="2" t="s">
        <v>48</v>
      </c>
      <c r="D320" s="2" t="s">
        <v>101</v>
      </c>
      <c r="F320" s="3">
        <v>45023</v>
      </c>
      <c r="G320" s="3">
        <v>45075</v>
      </c>
      <c r="H320" s="2">
        <v>52</v>
      </c>
      <c r="I320" s="2">
        <v>2069527428</v>
      </c>
      <c r="J320" s="2" t="s">
        <v>21</v>
      </c>
      <c r="K320" s="2" t="s">
        <v>16</v>
      </c>
    </row>
    <row r="321" spans="1:11" ht="14.25" customHeight="1" x14ac:dyDescent="0.35">
      <c r="A321" s="2" t="s">
        <v>392</v>
      </c>
      <c r="B321" s="2" t="s">
        <v>35</v>
      </c>
      <c r="C321" s="2" t="s">
        <v>19</v>
      </c>
      <c r="D321" s="2" t="s">
        <v>97</v>
      </c>
      <c r="E321" s="2">
        <v>2.29</v>
      </c>
      <c r="F321" s="3">
        <v>45099</v>
      </c>
      <c r="G321" s="3">
        <v>45154</v>
      </c>
      <c r="H321" s="2">
        <v>55</v>
      </c>
      <c r="I321" s="2">
        <v>1717103314</v>
      </c>
      <c r="J321" s="2" t="s">
        <v>44</v>
      </c>
      <c r="K321" s="2" t="s">
        <v>16</v>
      </c>
    </row>
    <row r="322" spans="1:11" ht="14.25" customHeight="1" x14ac:dyDescent="0.35">
      <c r="A322" s="2" t="s">
        <v>393</v>
      </c>
      <c r="B322" s="2" t="s">
        <v>12</v>
      </c>
      <c r="C322" s="2" t="s">
        <v>48</v>
      </c>
      <c r="D322" s="2" t="s">
        <v>171</v>
      </c>
      <c r="E322" s="2">
        <v>32.71</v>
      </c>
      <c r="F322" s="3">
        <v>45473</v>
      </c>
      <c r="G322" s="3">
        <v>45155</v>
      </c>
      <c r="H322" s="2">
        <v>-318</v>
      </c>
      <c r="I322" s="2">
        <v>3277358090</v>
      </c>
      <c r="J322" s="2" t="s">
        <v>33</v>
      </c>
      <c r="K322" s="2" t="s">
        <v>22</v>
      </c>
    </row>
    <row r="323" spans="1:11" ht="14.25" customHeight="1" x14ac:dyDescent="0.35">
      <c r="A323" s="2" t="s">
        <v>394</v>
      </c>
      <c r="B323" s="2" t="s">
        <v>30</v>
      </c>
      <c r="C323" s="2" t="s">
        <v>36</v>
      </c>
      <c r="D323" s="2" t="s">
        <v>93</v>
      </c>
      <c r="F323" s="3">
        <v>45126</v>
      </c>
      <c r="G323" s="3">
        <v>45187</v>
      </c>
      <c r="H323" s="2">
        <v>61</v>
      </c>
      <c r="I323" s="2">
        <v>2287529322</v>
      </c>
      <c r="J323" s="2" t="s">
        <v>26</v>
      </c>
      <c r="K323" s="2" t="s">
        <v>22</v>
      </c>
    </row>
    <row r="324" spans="1:11" ht="14.25" customHeight="1" x14ac:dyDescent="0.35">
      <c r="A324" s="2" t="s">
        <v>395</v>
      </c>
      <c r="B324" s="2" t="s">
        <v>18</v>
      </c>
      <c r="C324" s="2" t="s">
        <v>24</v>
      </c>
      <c r="D324" s="2" t="s">
        <v>95</v>
      </c>
      <c r="F324" s="3">
        <v>45097</v>
      </c>
      <c r="G324" s="3">
        <v>45129</v>
      </c>
      <c r="H324" s="2">
        <v>32</v>
      </c>
      <c r="I324" s="2">
        <v>881721909</v>
      </c>
      <c r="J324" s="2" t="s">
        <v>50</v>
      </c>
      <c r="K324" s="2" t="s">
        <v>22</v>
      </c>
    </row>
    <row r="325" spans="1:11" ht="14.25" customHeight="1" x14ac:dyDescent="0.35">
      <c r="A325" s="2" t="s">
        <v>396</v>
      </c>
      <c r="B325" s="2" t="s">
        <v>12</v>
      </c>
      <c r="C325" s="2" t="s">
        <v>19</v>
      </c>
      <c r="D325" s="2" t="s">
        <v>28</v>
      </c>
      <c r="E325" s="2">
        <v>7.26</v>
      </c>
      <c r="F325" s="3">
        <v>45119</v>
      </c>
      <c r="G325" s="3">
        <v>45427</v>
      </c>
      <c r="H325" s="2">
        <v>308</v>
      </c>
      <c r="I325" s="2">
        <v>4840317832</v>
      </c>
      <c r="J325" s="2" t="s">
        <v>33</v>
      </c>
      <c r="K325" s="2" t="s">
        <v>16</v>
      </c>
    </row>
    <row r="326" spans="1:11" ht="14.25" customHeight="1" x14ac:dyDescent="0.35">
      <c r="A326" s="2" t="s">
        <v>397</v>
      </c>
      <c r="B326" s="2" t="s">
        <v>35</v>
      </c>
      <c r="C326" s="2" t="s">
        <v>39</v>
      </c>
      <c r="D326" s="2" t="s">
        <v>145</v>
      </c>
      <c r="E326" s="2">
        <v>3.3</v>
      </c>
      <c r="F326" s="3">
        <v>45147</v>
      </c>
      <c r="G326" s="3">
        <v>45343</v>
      </c>
      <c r="H326" s="2">
        <v>196</v>
      </c>
      <c r="I326" s="2">
        <v>4282584724</v>
      </c>
      <c r="J326" s="2" t="s">
        <v>67</v>
      </c>
      <c r="K326" s="2" t="s">
        <v>22</v>
      </c>
    </row>
    <row r="327" spans="1:11" ht="14.25" customHeight="1" x14ac:dyDescent="0.35">
      <c r="A327" s="2" t="s">
        <v>398</v>
      </c>
      <c r="B327" s="2" t="s">
        <v>60</v>
      </c>
      <c r="C327" s="2" t="s">
        <v>19</v>
      </c>
      <c r="D327" s="2" t="s">
        <v>87</v>
      </c>
      <c r="F327" s="3">
        <v>45020</v>
      </c>
      <c r="G327" s="3">
        <v>45200</v>
      </c>
      <c r="H327" s="2">
        <v>180</v>
      </c>
      <c r="I327" s="2">
        <v>2576135698</v>
      </c>
      <c r="J327" s="2" t="s">
        <v>15</v>
      </c>
      <c r="K327" s="2" t="s">
        <v>16</v>
      </c>
    </row>
    <row r="328" spans="1:11" ht="14.25" customHeight="1" x14ac:dyDescent="0.35">
      <c r="A328" s="2" t="s">
        <v>399</v>
      </c>
      <c r="B328" s="2" t="s">
        <v>35</v>
      </c>
      <c r="C328" s="2" t="s">
        <v>36</v>
      </c>
      <c r="D328" s="2" t="s">
        <v>37</v>
      </c>
      <c r="E328" s="2">
        <v>1.68</v>
      </c>
      <c r="F328" s="3">
        <v>45503</v>
      </c>
      <c r="G328" s="3">
        <v>45153</v>
      </c>
      <c r="H328" s="2">
        <v>-350</v>
      </c>
      <c r="I328" s="2">
        <v>1303515862</v>
      </c>
      <c r="J328" s="2" t="s">
        <v>67</v>
      </c>
      <c r="K328" s="2" t="s">
        <v>22</v>
      </c>
    </row>
    <row r="329" spans="1:11" ht="14.25" customHeight="1" x14ac:dyDescent="0.35">
      <c r="A329" s="2" t="s">
        <v>400</v>
      </c>
      <c r="B329" s="2" t="s">
        <v>60</v>
      </c>
      <c r="C329" s="2" t="s">
        <v>39</v>
      </c>
      <c r="D329" s="2" t="s">
        <v>185</v>
      </c>
      <c r="F329" s="3">
        <v>45119</v>
      </c>
      <c r="G329" s="3">
        <v>45218</v>
      </c>
      <c r="H329" s="2">
        <v>99</v>
      </c>
      <c r="I329" s="2">
        <v>2076389941</v>
      </c>
      <c r="K329" s="2" t="s">
        <v>16</v>
      </c>
    </row>
    <row r="330" spans="1:11" ht="14.25" customHeight="1" x14ac:dyDescent="0.35">
      <c r="A330" s="2" t="s">
        <v>401</v>
      </c>
      <c r="B330" s="2" t="s">
        <v>35</v>
      </c>
      <c r="C330" s="2" t="s">
        <v>42</v>
      </c>
      <c r="D330" s="2" t="s">
        <v>69</v>
      </c>
      <c r="E330" s="2">
        <v>0.88</v>
      </c>
      <c r="F330" s="3">
        <v>44971</v>
      </c>
      <c r="G330" s="3">
        <v>45228</v>
      </c>
      <c r="H330" s="2">
        <v>257</v>
      </c>
      <c r="I330" s="2">
        <v>2399496504</v>
      </c>
      <c r="J330" s="2" t="s">
        <v>21</v>
      </c>
      <c r="K330" s="2" t="s">
        <v>16</v>
      </c>
    </row>
    <row r="331" spans="1:11" ht="14.25" customHeight="1" x14ac:dyDescent="0.35">
      <c r="A331" s="2" t="s">
        <v>402</v>
      </c>
      <c r="B331" s="2" t="s">
        <v>12</v>
      </c>
      <c r="C331" s="2" t="s">
        <v>36</v>
      </c>
      <c r="D331" s="2" t="s">
        <v>46</v>
      </c>
      <c r="E331" s="2">
        <v>14.53</v>
      </c>
      <c r="F331" s="3">
        <v>45205</v>
      </c>
      <c r="G331" s="3">
        <v>45535</v>
      </c>
      <c r="H331" s="2">
        <v>330</v>
      </c>
      <c r="I331" s="2">
        <v>1354431233</v>
      </c>
      <c r="J331" s="2" t="s">
        <v>15</v>
      </c>
      <c r="K331" s="2" t="s">
        <v>22</v>
      </c>
    </row>
    <row r="332" spans="1:11" ht="14.25" customHeight="1" x14ac:dyDescent="0.35">
      <c r="A332" s="2" t="s">
        <v>403</v>
      </c>
      <c r="B332" s="2" t="s">
        <v>30</v>
      </c>
      <c r="C332" s="2" t="s">
        <v>24</v>
      </c>
      <c r="D332" s="2" t="s">
        <v>85</v>
      </c>
      <c r="F332" s="3">
        <v>45161</v>
      </c>
      <c r="G332" s="3">
        <v>45100</v>
      </c>
      <c r="H332" s="2">
        <v>-61</v>
      </c>
      <c r="I332" s="2">
        <v>3557051428</v>
      </c>
      <c r="J332" s="2" t="s">
        <v>15</v>
      </c>
      <c r="K332" s="2" t="s">
        <v>16</v>
      </c>
    </row>
    <row r="333" spans="1:11" ht="14.25" customHeight="1" x14ac:dyDescent="0.35">
      <c r="A333" s="2" t="s">
        <v>404</v>
      </c>
      <c r="B333" s="2" t="s">
        <v>60</v>
      </c>
      <c r="C333" s="2" t="s">
        <v>19</v>
      </c>
      <c r="D333" s="2" t="s">
        <v>87</v>
      </c>
      <c r="F333" s="3">
        <v>44976</v>
      </c>
      <c r="G333" s="3">
        <v>45318</v>
      </c>
      <c r="H333" s="2">
        <v>342</v>
      </c>
      <c r="I333" s="2">
        <v>1895431566</v>
      </c>
      <c r="J333" s="2" t="s">
        <v>50</v>
      </c>
      <c r="K333" s="2" t="s">
        <v>22</v>
      </c>
    </row>
    <row r="334" spans="1:11" ht="14.25" customHeight="1" x14ac:dyDescent="0.35">
      <c r="A334" s="2" t="s">
        <v>405</v>
      </c>
      <c r="B334" s="2" t="s">
        <v>12</v>
      </c>
      <c r="C334" s="2" t="s">
        <v>48</v>
      </c>
      <c r="D334" s="2" t="s">
        <v>171</v>
      </c>
      <c r="E334" s="2">
        <v>21.75</v>
      </c>
      <c r="F334" s="3">
        <v>45242</v>
      </c>
      <c r="G334" s="3">
        <v>45345</v>
      </c>
      <c r="H334" s="2">
        <v>103</v>
      </c>
      <c r="I334" s="2">
        <v>4062769325</v>
      </c>
      <c r="J334" s="2" t="s">
        <v>26</v>
      </c>
      <c r="K334" s="2" t="s">
        <v>16</v>
      </c>
    </row>
    <row r="335" spans="1:11" ht="14.25" customHeight="1" x14ac:dyDescent="0.35">
      <c r="A335" s="2" t="s">
        <v>406</v>
      </c>
      <c r="B335" s="2" t="s">
        <v>30</v>
      </c>
      <c r="C335" s="2" t="s">
        <v>36</v>
      </c>
      <c r="D335" s="2" t="s">
        <v>93</v>
      </c>
      <c r="F335" s="3">
        <v>45024</v>
      </c>
      <c r="G335" s="3">
        <v>45253</v>
      </c>
      <c r="H335" s="2">
        <v>229</v>
      </c>
      <c r="I335" s="2">
        <v>2598853831</v>
      </c>
      <c r="J335" s="2" t="s">
        <v>33</v>
      </c>
      <c r="K335" s="2" t="s">
        <v>16</v>
      </c>
    </row>
    <row r="336" spans="1:11" ht="14.25" customHeight="1" x14ac:dyDescent="0.35">
      <c r="A336" s="2" t="s">
        <v>407</v>
      </c>
      <c r="B336" s="2" t="s">
        <v>12</v>
      </c>
      <c r="C336" s="2" t="s">
        <v>31</v>
      </c>
      <c r="D336" s="2" t="s">
        <v>83</v>
      </c>
      <c r="E336" s="2">
        <v>35.32</v>
      </c>
      <c r="F336" s="3">
        <v>45039</v>
      </c>
      <c r="G336" s="3">
        <v>45306</v>
      </c>
      <c r="H336" s="2">
        <v>267</v>
      </c>
      <c r="I336" s="2">
        <v>776615332</v>
      </c>
      <c r="J336" s="2" t="s">
        <v>44</v>
      </c>
      <c r="K336" s="2" t="s">
        <v>16</v>
      </c>
    </row>
    <row r="337" spans="1:11" ht="14.25" customHeight="1" x14ac:dyDescent="0.35">
      <c r="A337" s="2" t="s">
        <v>408</v>
      </c>
      <c r="B337" s="2" t="s">
        <v>60</v>
      </c>
      <c r="C337" s="2" t="s">
        <v>39</v>
      </c>
      <c r="D337" s="2" t="s">
        <v>185</v>
      </c>
      <c r="F337" s="3">
        <v>45242</v>
      </c>
      <c r="G337" s="3">
        <v>45305</v>
      </c>
      <c r="H337" s="2">
        <v>63</v>
      </c>
      <c r="I337" s="2">
        <v>892741759</v>
      </c>
      <c r="J337" s="2" t="s">
        <v>15</v>
      </c>
      <c r="K337" s="2" t="s">
        <v>22</v>
      </c>
    </row>
    <row r="338" spans="1:11" ht="14.25" customHeight="1" x14ac:dyDescent="0.35">
      <c r="A338" s="2" t="s">
        <v>409</v>
      </c>
      <c r="B338" s="2" t="s">
        <v>18</v>
      </c>
      <c r="C338" s="2" t="s">
        <v>13</v>
      </c>
      <c r="D338" s="2" t="s">
        <v>143</v>
      </c>
      <c r="F338" s="3">
        <v>45333</v>
      </c>
      <c r="G338" s="3">
        <v>45141</v>
      </c>
      <c r="H338" s="2">
        <v>-192</v>
      </c>
      <c r="I338" s="2">
        <v>1297969155</v>
      </c>
      <c r="J338" s="2" t="s">
        <v>26</v>
      </c>
      <c r="K338" s="2" t="s">
        <v>16</v>
      </c>
    </row>
    <row r="339" spans="1:11" ht="14.25" customHeight="1" x14ac:dyDescent="0.35">
      <c r="A339" s="2" t="s">
        <v>410</v>
      </c>
      <c r="B339" s="2" t="s">
        <v>30</v>
      </c>
      <c r="C339" s="2" t="s">
        <v>24</v>
      </c>
      <c r="D339" s="2" t="s">
        <v>85</v>
      </c>
      <c r="F339" s="3">
        <v>45635</v>
      </c>
      <c r="G339" s="3">
        <v>45281</v>
      </c>
      <c r="H339" s="2">
        <v>-354</v>
      </c>
      <c r="I339" s="2">
        <v>4430380846</v>
      </c>
      <c r="J339" s="2" t="s">
        <v>50</v>
      </c>
      <c r="K339" s="2" t="s">
        <v>16</v>
      </c>
    </row>
    <row r="340" spans="1:11" ht="14.25" customHeight="1" x14ac:dyDescent="0.35">
      <c r="A340" s="2" t="s">
        <v>411</v>
      </c>
      <c r="B340" s="2" t="s">
        <v>12</v>
      </c>
      <c r="C340" s="2" t="s">
        <v>19</v>
      </c>
      <c r="D340" s="2" t="s">
        <v>28</v>
      </c>
      <c r="E340" s="2">
        <v>12.05</v>
      </c>
      <c r="F340" s="3">
        <v>45268</v>
      </c>
      <c r="G340" s="3">
        <v>45476</v>
      </c>
      <c r="H340" s="2">
        <v>208</v>
      </c>
      <c r="I340" s="2">
        <v>2367336478</v>
      </c>
      <c r="J340" s="2" t="s">
        <v>67</v>
      </c>
      <c r="K340" s="2" t="s">
        <v>16</v>
      </c>
    </row>
    <row r="341" spans="1:11" ht="14.25" customHeight="1" x14ac:dyDescent="0.35">
      <c r="A341" s="2" t="s">
        <v>412</v>
      </c>
      <c r="B341" s="2" t="s">
        <v>12</v>
      </c>
      <c r="C341" s="2" t="s">
        <v>48</v>
      </c>
      <c r="D341" s="2" t="s">
        <v>171</v>
      </c>
      <c r="E341" s="2">
        <v>23.17</v>
      </c>
      <c r="F341" s="3">
        <v>45172</v>
      </c>
      <c r="G341" s="3">
        <v>45435</v>
      </c>
      <c r="H341" s="2">
        <v>263</v>
      </c>
      <c r="I341" s="2">
        <v>2925343330</v>
      </c>
      <c r="J341" s="2" t="s">
        <v>50</v>
      </c>
      <c r="K341" s="2" t="s">
        <v>16</v>
      </c>
    </row>
    <row r="342" spans="1:11" ht="14.25" customHeight="1" x14ac:dyDescent="0.35">
      <c r="A342" s="2" t="s">
        <v>413</v>
      </c>
      <c r="B342" s="2" t="s">
        <v>30</v>
      </c>
      <c r="C342" s="2" t="s">
        <v>36</v>
      </c>
      <c r="D342" s="2" t="s">
        <v>93</v>
      </c>
      <c r="F342" s="3">
        <v>45039</v>
      </c>
      <c r="G342" s="3">
        <v>45274</v>
      </c>
      <c r="H342" s="2">
        <v>235</v>
      </c>
      <c r="I342" s="2">
        <v>920456507</v>
      </c>
      <c r="J342" s="2" t="s">
        <v>67</v>
      </c>
      <c r="K342" s="2" t="s">
        <v>16</v>
      </c>
    </row>
    <row r="343" spans="1:11" ht="14.25" customHeight="1" x14ac:dyDescent="0.35">
      <c r="A343" s="2" t="s">
        <v>414</v>
      </c>
      <c r="B343" s="2" t="s">
        <v>12</v>
      </c>
      <c r="C343" s="2" t="s">
        <v>31</v>
      </c>
      <c r="D343" s="2" t="s">
        <v>83</v>
      </c>
      <c r="E343" s="2">
        <v>16.82</v>
      </c>
      <c r="F343" s="3">
        <v>45234</v>
      </c>
      <c r="G343" s="3">
        <v>45426</v>
      </c>
      <c r="H343" s="2">
        <v>192</v>
      </c>
      <c r="I343" s="2">
        <v>4678440839</v>
      </c>
      <c r="J343" s="2" t="s">
        <v>15</v>
      </c>
      <c r="K343" s="2" t="s">
        <v>16</v>
      </c>
    </row>
    <row r="344" spans="1:11" ht="14.25" customHeight="1" x14ac:dyDescent="0.35">
      <c r="A344" s="2" t="s">
        <v>415</v>
      </c>
      <c r="B344" s="2" t="s">
        <v>35</v>
      </c>
      <c r="C344" s="2" t="s">
        <v>13</v>
      </c>
      <c r="D344" s="2" t="s">
        <v>78</v>
      </c>
      <c r="E344" s="2">
        <v>1.81</v>
      </c>
      <c r="F344" s="3">
        <v>44940</v>
      </c>
      <c r="G344" s="3">
        <v>45043</v>
      </c>
      <c r="H344" s="2">
        <v>103</v>
      </c>
      <c r="I344" s="2">
        <v>3118256179</v>
      </c>
      <c r="J344" s="2" t="s">
        <v>50</v>
      </c>
      <c r="K344" s="2" t="s">
        <v>16</v>
      </c>
    </row>
    <row r="345" spans="1:11" ht="14.25" customHeight="1" x14ac:dyDescent="0.35">
      <c r="A345" s="2" t="s">
        <v>416</v>
      </c>
      <c r="B345" s="2" t="s">
        <v>12</v>
      </c>
      <c r="C345" s="2" t="s">
        <v>36</v>
      </c>
      <c r="D345" s="2" t="s">
        <v>46</v>
      </c>
      <c r="E345" s="2">
        <v>10.09</v>
      </c>
      <c r="F345" s="3">
        <v>44929</v>
      </c>
      <c r="G345" s="3">
        <v>45041</v>
      </c>
      <c r="H345" s="2">
        <v>112</v>
      </c>
      <c r="I345" s="2">
        <v>4275587459</v>
      </c>
      <c r="J345" s="2" t="s">
        <v>26</v>
      </c>
      <c r="K345" s="2" t="s">
        <v>22</v>
      </c>
    </row>
    <row r="346" spans="1:11" ht="14.25" customHeight="1" x14ac:dyDescent="0.35">
      <c r="A346" s="2" t="s">
        <v>417</v>
      </c>
      <c r="B346" s="2" t="s">
        <v>60</v>
      </c>
      <c r="C346" s="2" t="s">
        <v>19</v>
      </c>
      <c r="D346" s="2" t="s">
        <v>87</v>
      </c>
      <c r="F346" s="3">
        <v>45158</v>
      </c>
      <c r="G346" s="3">
        <v>45284</v>
      </c>
      <c r="H346" s="2">
        <v>126</v>
      </c>
      <c r="I346" s="2">
        <v>2338771193</v>
      </c>
      <c r="J346" s="2" t="s">
        <v>26</v>
      </c>
      <c r="K346" s="2" t="s">
        <v>16</v>
      </c>
    </row>
    <row r="347" spans="1:11" ht="14.25" customHeight="1" x14ac:dyDescent="0.35">
      <c r="A347" s="2" t="s">
        <v>418</v>
      </c>
      <c r="B347" s="2" t="s">
        <v>12</v>
      </c>
      <c r="C347" s="2" t="s">
        <v>39</v>
      </c>
      <c r="D347" s="2" t="s">
        <v>160</v>
      </c>
      <c r="E347" s="2">
        <v>18.2</v>
      </c>
      <c r="F347" s="3">
        <v>44959</v>
      </c>
      <c r="G347" s="3">
        <v>45150</v>
      </c>
      <c r="H347" s="2">
        <v>191</v>
      </c>
      <c r="I347" s="2">
        <v>4646191132</v>
      </c>
      <c r="J347" s="2" t="s">
        <v>50</v>
      </c>
      <c r="K347" s="2" t="s">
        <v>22</v>
      </c>
    </row>
    <row r="348" spans="1:11" ht="14.25" customHeight="1" x14ac:dyDescent="0.35">
      <c r="A348" s="2" t="s">
        <v>419</v>
      </c>
      <c r="B348" s="2" t="s">
        <v>35</v>
      </c>
      <c r="C348" s="2" t="s">
        <v>13</v>
      </c>
      <c r="D348" s="2" t="s">
        <v>78</v>
      </c>
      <c r="E348" s="2">
        <v>0.75</v>
      </c>
      <c r="F348" s="3">
        <v>45042</v>
      </c>
      <c r="G348" s="3">
        <v>45364</v>
      </c>
      <c r="H348" s="2">
        <v>322</v>
      </c>
      <c r="I348" s="2">
        <v>4906763561</v>
      </c>
      <c r="J348" s="2" t="s">
        <v>50</v>
      </c>
      <c r="K348" s="2" t="s">
        <v>16</v>
      </c>
    </row>
    <row r="349" spans="1:11" ht="14.25" customHeight="1" x14ac:dyDescent="0.35">
      <c r="A349" s="2" t="s">
        <v>420</v>
      </c>
      <c r="B349" s="2" t="s">
        <v>60</v>
      </c>
      <c r="C349" s="2" t="s">
        <v>24</v>
      </c>
      <c r="D349" s="2" t="s">
        <v>80</v>
      </c>
      <c r="F349" s="3">
        <v>44963</v>
      </c>
      <c r="G349" s="3">
        <v>45313</v>
      </c>
      <c r="H349" s="2">
        <v>350</v>
      </c>
      <c r="I349" s="2">
        <v>908561074</v>
      </c>
      <c r="J349" s="2" t="s">
        <v>67</v>
      </c>
      <c r="K349" s="2" t="s">
        <v>16</v>
      </c>
    </row>
    <row r="350" spans="1:11" ht="14.25" customHeight="1" x14ac:dyDescent="0.35">
      <c r="A350" s="2" t="s">
        <v>421</v>
      </c>
      <c r="B350" s="2" t="s">
        <v>60</v>
      </c>
      <c r="C350" s="2" t="s">
        <v>42</v>
      </c>
      <c r="D350" s="2" t="s">
        <v>154</v>
      </c>
      <c r="F350" s="3">
        <v>44940</v>
      </c>
      <c r="G350" s="3">
        <v>45206</v>
      </c>
      <c r="H350" s="2">
        <v>266</v>
      </c>
      <c r="I350" s="2">
        <v>768209992</v>
      </c>
      <c r="J350" s="2" t="s">
        <v>26</v>
      </c>
      <c r="K350" s="2" t="s">
        <v>22</v>
      </c>
    </row>
    <row r="351" spans="1:11" ht="14.25" customHeight="1" x14ac:dyDescent="0.35">
      <c r="A351" s="2" t="s">
        <v>422</v>
      </c>
      <c r="B351" s="2" t="s">
        <v>18</v>
      </c>
      <c r="C351" s="2" t="s">
        <v>42</v>
      </c>
      <c r="D351" s="2" t="s">
        <v>135</v>
      </c>
      <c r="F351" s="3">
        <v>45202</v>
      </c>
      <c r="G351" s="3">
        <v>45532</v>
      </c>
      <c r="H351" s="2">
        <v>330</v>
      </c>
      <c r="I351" s="2">
        <v>3735060272</v>
      </c>
      <c r="J351" s="2" t="s">
        <v>21</v>
      </c>
      <c r="K351" s="2" t="s">
        <v>22</v>
      </c>
    </row>
    <row r="352" spans="1:11" ht="14.25" customHeight="1" x14ac:dyDescent="0.35">
      <c r="A352" s="2" t="s">
        <v>423</v>
      </c>
      <c r="B352" s="2" t="s">
        <v>18</v>
      </c>
      <c r="C352" s="2" t="s">
        <v>31</v>
      </c>
      <c r="D352" s="2" t="s">
        <v>74</v>
      </c>
      <c r="F352" s="3">
        <v>45197</v>
      </c>
      <c r="G352" s="3">
        <v>45426</v>
      </c>
      <c r="H352" s="2">
        <v>229</v>
      </c>
      <c r="I352" s="2">
        <v>2283499520</v>
      </c>
      <c r="J352" s="2" t="s">
        <v>33</v>
      </c>
      <c r="K352" s="2" t="s">
        <v>22</v>
      </c>
    </row>
    <row r="353" spans="1:11" ht="14.25" customHeight="1" x14ac:dyDescent="0.35">
      <c r="A353" s="2" t="s">
        <v>424</v>
      </c>
      <c r="B353" s="2" t="s">
        <v>60</v>
      </c>
      <c r="C353" s="2" t="s">
        <v>13</v>
      </c>
      <c r="D353" s="2" t="s">
        <v>182</v>
      </c>
      <c r="F353" s="3">
        <v>45219</v>
      </c>
      <c r="G353" s="3">
        <v>45583</v>
      </c>
      <c r="H353" s="2">
        <v>364</v>
      </c>
      <c r="I353" s="2">
        <v>2114342686</v>
      </c>
      <c r="J353" s="2" t="s">
        <v>33</v>
      </c>
      <c r="K353" s="2" t="s">
        <v>22</v>
      </c>
    </row>
    <row r="354" spans="1:11" ht="14.25" customHeight="1" x14ac:dyDescent="0.35">
      <c r="A354" s="2" t="s">
        <v>425</v>
      </c>
      <c r="B354" s="2" t="s">
        <v>18</v>
      </c>
      <c r="C354" s="2" t="s">
        <v>36</v>
      </c>
      <c r="D354" s="2" t="s">
        <v>71</v>
      </c>
      <c r="F354" s="3">
        <v>45104</v>
      </c>
      <c r="G354" s="3">
        <v>45195</v>
      </c>
      <c r="H354" s="2">
        <v>91</v>
      </c>
      <c r="I354" s="2">
        <v>963414880</v>
      </c>
      <c r="J354" s="2" t="s">
        <v>26</v>
      </c>
      <c r="K354" s="2" t="s">
        <v>16</v>
      </c>
    </row>
    <row r="355" spans="1:11" ht="14.25" customHeight="1" x14ac:dyDescent="0.35">
      <c r="A355" s="2" t="s">
        <v>426</v>
      </c>
      <c r="B355" s="2" t="s">
        <v>30</v>
      </c>
      <c r="C355" s="2" t="s">
        <v>24</v>
      </c>
      <c r="D355" s="2" t="s">
        <v>85</v>
      </c>
      <c r="F355" s="3">
        <v>45240</v>
      </c>
      <c r="G355" s="3">
        <v>45466</v>
      </c>
      <c r="H355" s="2">
        <v>226</v>
      </c>
      <c r="I355" s="2">
        <v>2665919382</v>
      </c>
      <c r="J355" s="2" t="s">
        <v>44</v>
      </c>
      <c r="K355" s="2" t="s">
        <v>16</v>
      </c>
    </row>
    <row r="356" spans="1:11" ht="14.25" customHeight="1" x14ac:dyDescent="0.35">
      <c r="A356" s="2" t="s">
        <v>427</v>
      </c>
      <c r="B356" s="2" t="s">
        <v>35</v>
      </c>
      <c r="C356" s="2" t="s">
        <v>31</v>
      </c>
      <c r="D356" s="2" t="s">
        <v>91</v>
      </c>
      <c r="E356" s="2">
        <v>2.35</v>
      </c>
      <c r="F356" s="3">
        <v>45053</v>
      </c>
      <c r="G356" s="3">
        <v>45410</v>
      </c>
      <c r="H356" s="2">
        <v>357</v>
      </c>
      <c r="I356" s="2">
        <v>1366329722</v>
      </c>
      <c r="J356" s="2" t="s">
        <v>33</v>
      </c>
      <c r="K356" s="2" t="s">
        <v>16</v>
      </c>
    </row>
    <row r="357" spans="1:11" ht="14.25" customHeight="1" x14ac:dyDescent="0.35">
      <c r="A357" s="2" t="s">
        <v>428</v>
      </c>
      <c r="B357" s="2" t="s">
        <v>30</v>
      </c>
      <c r="C357" s="2" t="s">
        <v>19</v>
      </c>
      <c r="D357" s="2" t="s">
        <v>58</v>
      </c>
      <c r="F357" s="3">
        <v>44959</v>
      </c>
      <c r="G357" s="3">
        <v>45167</v>
      </c>
      <c r="H357" s="2">
        <v>208</v>
      </c>
      <c r="I357" s="2">
        <v>1734922665</v>
      </c>
      <c r="K357" s="2" t="s">
        <v>22</v>
      </c>
    </row>
    <row r="358" spans="1:11" ht="14.25" customHeight="1" x14ac:dyDescent="0.35">
      <c r="A358" s="2" t="s">
        <v>429</v>
      </c>
      <c r="B358" s="2" t="s">
        <v>35</v>
      </c>
      <c r="C358" s="2" t="s">
        <v>36</v>
      </c>
      <c r="D358" s="2" t="s">
        <v>37</v>
      </c>
      <c r="E358" s="2">
        <v>3.7</v>
      </c>
      <c r="F358" s="3">
        <v>45015</v>
      </c>
      <c r="G358" s="3">
        <v>45074</v>
      </c>
      <c r="H358" s="2">
        <v>59</v>
      </c>
      <c r="I358" s="2">
        <v>4693300080</v>
      </c>
      <c r="J358" s="2" t="s">
        <v>21</v>
      </c>
      <c r="K358" s="2" t="s">
        <v>16</v>
      </c>
    </row>
    <row r="359" spans="1:11" ht="14.25" customHeight="1" x14ac:dyDescent="0.35">
      <c r="A359" s="2" t="s">
        <v>430</v>
      </c>
      <c r="B359" s="2" t="s">
        <v>12</v>
      </c>
      <c r="C359" s="2" t="s">
        <v>48</v>
      </c>
      <c r="D359" s="2" t="s">
        <v>171</v>
      </c>
      <c r="E359" s="2">
        <v>7.42</v>
      </c>
      <c r="F359" s="3">
        <v>45060</v>
      </c>
      <c r="G359" s="3">
        <v>45231</v>
      </c>
      <c r="H359" s="2">
        <v>171</v>
      </c>
      <c r="I359" s="2">
        <v>3133206855</v>
      </c>
      <c r="J359" s="2" t="s">
        <v>67</v>
      </c>
      <c r="K359" s="2" t="s">
        <v>16</v>
      </c>
    </row>
    <row r="360" spans="1:11" ht="14.25" customHeight="1" x14ac:dyDescent="0.35">
      <c r="A360" s="2" t="s">
        <v>431</v>
      </c>
      <c r="B360" s="2" t="s">
        <v>12</v>
      </c>
      <c r="C360" s="2" t="s">
        <v>42</v>
      </c>
      <c r="D360" s="2" t="s">
        <v>63</v>
      </c>
      <c r="E360" s="2">
        <v>22.67</v>
      </c>
      <c r="F360" s="3">
        <v>45192</v>
      </c>
      <c r="G360" s="3">
        <v>45532</v>
      </c>
      <c r="H360" s="2">
        <v>340</v>
      </c>
      <c r="I360" s="2">
        <v>836168321</v>
      </c>
      <c r="J360" s="2" t="s">
        <v>26</v>
      </c>
      <c r="K360" s="2" t="s">
        <v>16</v>
      </c>
    </row>
    <row r="361" spans="1:11" ht="14.25" customHeight="1" x14ac:dyDescent="0.35">
      <c r="A361" s="2" t="s">
        <v>432</v>
      </c>
      <c r="B361" s="2" t="s">
        <v>35</v>
      </c>
      <c r="C361" s="2" t="s">
        <v>48</v>
      </c>
      <c r="D361" s="2" t="s">
        <v>49</v>
      </c>
      <c r="E361" s="2">
        <v>4.22</v>
      </c>
      <c r="F361" s="3">
        <v>45106</v>
      </c>
      <c r="G361" s="3">
        <v>45144</v>
      </c>
      <c r="H361" s="2">
        <v>38</v>
      </c>
      <c r="I361" s="2">
        <v>2917845732</v>
      </c>
      <c r="J361" s="2" t="s">
        <v>21</v>
      </c>
      <c r="K361" s="2" t="s">
        <v>16</v>
      </c>
    </row>
    <row r="362" spans="1:11" ht="14.25" customHeight="1" x14ac:dyDescent="0.35">
      <c r="A362" s="2" t="s">
        <v>433</v>
      </c>
      <c r="B362" s="2" t="s">
        <v>12</v>
      </c>
      <c r="C362" s="2" t="s">
        <v>48</v>
      </c>
      <c r="D362" s="2" t="s">
        <v>171</v>
      </c>
      <c r="E362" s="2">
        <v>22.9</v>
      </c>
      <c r="F362" s="3">
        <v>45123</v>
      </c>
      <c r="G362" s="3">
        <v>45315</v>
      </c>
      <c r="H362" s="2">
        <v>192</v>
      </c>
      <c r="I362" s="2">
        <v>4564771156</v>
      </c>
      <c r="J362" s="2" t="s">
        <v>33</v>
      </c>
      <c r="K362" s="2" t="s">
        <v>22</v>
      </c>
    </row>
    <row r="363" spans="1:11" ht="14.25" customHeight="1" x14ac:dyDescent="0.35">
      <c r="A363" s="2" t="s">
        <v>434</v>
      </c>
      <c r="B363" s="2" t="s">
        <v>60</v>
      </c>
      <c r="C363" s="2" t="s">
        <v>39</v>
      </c>
      <c r="D363" s="2" t="s">
        <v>185</v>
      </c>
      <c r="F363" s="3">
        <v>44990</v>
      </c>
      <c r="G363" s="3">
        <v>45020</v>
      </c>
      <c r="H363" s="2">
        <v>30</v>
      </c>
      <c r="I363" s="2">
        <v>576545047</v>
      </c>
      <c r="J363" s="2" t="s">
        <v>50</v>
      </c>
      <c r="K363" s="2" t="s">
        <v>22</v>
      </c>
    </row>
    <row r="364" spans="1:11" ht="14.25" customHeight="1" x14ac:dyDescent="0.35">
      <c r="A364" s="2" t="s">
        <v>435</v>
      </c>
      <c r="B364" s="2" t="s">
        <v>60</v>
      </c>
      <c r="C364" s="2" t="s">
        <v>13</v>
      </c>
      <c r="D364" s="2" t="s">
        <v>182</v>
      </c>
      <c r="F364" s="3">
        <v>45272</v>
      </c>
      <c r="G364" s="3">
        <v>45481</v>
      </c>
      <c r="H364" s="2">
        <v>209</v>
      </c>
      <c r="I364" s="2">
        <v>2078921702</v>
      </c>
      <c r="J364" s="2" t="s">
        <v>15</v>
      </c>
      <c r="K364" s="2" t="s">
        <v>16</v>
      </c>
    </row>
    <row r="365" spans="1:11" ht="14.25" customHeight="1" x14ac:dyDescent="0.35">
      <c r="A365" s="2" t="s">
        <v>436</v>
      </c>
      <c r="B365" s="2" t="s">
        <v>30</v>
      </c>
      <c r="C365" s="2" t="s">
        <v>31</v>
      </c>
      <c r="D365" s="2" t="s">
        <v>32</v>
      </c>
      <c r="F365" s="3">
        <v>45093</v>
      </c>
      <c r="G365" s="3">
        <v>45383</v>
      </c>
      <c r="H365" s="2">
        <v>290</v>
      </c>
      <c r="I365" s="2">
        <v>4113571513</v>
      </c>
      <c r="K365" s="2" t="s">
        <v>22</v>
      </c>
    </row>
    <row r="366" spans="1:11" ht="14.25" customHeight="1" x14ac:dyDescent="0.35">
      <c r="A366" s="2" t="s">
        <v>437</v>
      </c>
      <c r="B366" s="2" t="s">
        <v>30</v>
      </c>
      <c r="C366" s="2" t="s">
        <v>36</v>
      </c>
      <c r="D366" s="2" t="s">
        <v>93</v>
      </c>
      <c r="F366" s="3">
        <v>45130</v>
      </c>
      <c r="G366" s="3">
        <v>45465</v>
      </c>
      <c r="H366" s="2">
        <v>335</v>
      </c>
      <c r="I366" s="2">
        <v>3858453286</v>
      </c>
      <c r="J366" s="2" t="s">
        <v>26</v>
      </c>
      <c r="K366" s="2" t="s">
        <v>16</v>
      </c>
    </row>
    <row r="367" spans="1:11" ht="14.25" customHeight="1" x14ac:dyDescent="0.35">
      <c r="A367" s="2" t="s">
        <v>438</v>
      </c>
      <c r="B367" s="2" t="s">
        <v>12</v>
      </c>
      <c r="C367" s="2" t="s">
        <v>42</v>
      </c>
      <c r="D367" s="2" t="s">
        <v>63</v>
      </c>
      <c r="E367" s="2">
        <v>25.54</v>
      </c>
      <c r="F367" s="3">
        <v>45135</v>
      </c>
      <c r="G367" s="3">
        <v>45357</v>
      </c>
      <c r="H367" s="2">
        <v>222</v>
      </c>
      <c r="I367" s="2">
        <v>3026042602</v>
      </c>
      <c r="J367" s="2" t="s">
        <v>33</v>
      </c>
      <c r="K367" s="2" t="s">
        <v>16</v>
      </c>
    </row>
    <row r="368" spans="1:11" ht="14.25" customHeight="1" x14ac:dyDescent="0.35">
      <c r="A368" s="2" t="s">
        <v>439</v>
      </c>
      <c r="B368" s="2" t="s">
        <v>35</v>
      </c>
      <c r="C368" s="2" t="s">
        <v>24</v>
      </c>
      <c r="D368" s="2" t="s">
        <v>133</v>
      </c>
      <c r="E368" s="2">
        <v>4.79</v>
      </c>
      <c r="F368" s="3">
        <v>45249</v>
      </c>
      <c r="G368" s="3">
        <v>45478</v>
      </c>
      <c r="H368" s="2">
        <v>229</v>
      </c>
      <c r="I368" s="2">
        <v>1101338227</v>
      </c>
      <c r="J368" s="2" t="s">
        <v>50</v>
      </c>
      <c r="K368" s="2" t="s">
        <v>16</v>
      </c>
    </row>
    <row r="369" spans="1:11" ht="14.25" customHeight="1" x14ac:dyDescent="0.35">
      <c r="A369" s="2" t="s">
        <v>440</v>
      </c>
      <c r="B369" s="2" t="s">
        <v>18</v>
      </c>
      <c r="C369" s="2" t="s">
        <v>42</v>
      </c>
      <c r="D369" s="2" t="s">
        <v>135</v>
      </c>
      <c r="F369" s="3">
        <v>45192</v>
      </c>
      <c r="G369" s="3">
        <v>45361</v>
      </c>
      <c r="H369" s="2">
        <v>169</v>
      </c>
      <c r="I369" s="2">
        <v>1245018599</v>
      </c>
      <c r="J369" s="2" t="s">
        <v>33</v>
      </c>
      <c r="K369" s="2" t="s">
        <v>16</v>
      </c>
    </row>
    <row r="370" spans="1:11" ht="14.25" customHeight="1" x14ac:dyDescent="0.35">
      <c r="A370" s="2" t="s">
        <v>441</v>
      </c>
      <c r="B370" s="2" t="s">
        <v>18</v>
      </c>
      <c r="C370" s="2" t="s">
        <v>13</v>
      </c>
      <c r="D370" s="2" t="s">
        <v>143</v>
      </c>
      <c r="F370" s="3">
        <v>45268</v>
      </c>
      <c r="G370" s="3">
        <v>45413</v>
      </c>
      <c r="H370" s="2">
        <v>145</v>
      </c>
      <c r="I370" s="2">
        <v>4159520675</v>
      </c>
      <c r="J370" s="2" t="s">
        <v>26</v>
      </c>
      <c r="K370" s="2" t="s">
        <v>16</v>
      </c>
    </row>
    <row r="371" spans="1:11" ht="14.25" customHeight="1" x14ac:dyDescent="0.35">
      <c r="A371" s="2" t="s">
        <v>442</v>
      </c>
      <c r="B371" s="2" t="s">
        <v>18</v>
      </c>
      <c r="C371" s="2" t="s">
        <v>42</v>
      </c>
      <c r="D371" s="2" t="s">
        <v>135</v>
      </c>
      <c r="F371" s="3">
        <v>45008</v>
      </c>
      <c r="G371" s="3">
        <v>45268</v>
      </c>
      <c r="H371" s="2">
        <v>260</v>
      </c>
      <c r="I371" s="2">
        <v>1109098605</v>
      </c>
      <c r="J371" s="2" t="s">
        <v>33</v>
      </c>
      <c r="K371" s="2" t="s">
        <v>16</v>
      </c>
    </row>
    <row r="372" spans="1:11" ht="14.25" customHeight="1" x14ac:dyDescent="0.35">
      <c r="A372" s="2" t="s">
        <v>443</v>
      </c>
      <c r="B372" s="2" t="s">
        <v>35</v>
      </c>
      <c r="C372" s="2" t="s">
        <v>48</v>
      </c>
      <c r="D372" s="2" t="s">
        <v>49</v>
      </c>
      <c r="E372" s="2">
        <v>3.9</v>
      </c>
      <c r="F372" s="3">
        <v>45162</v>
      </c>
      <c r="G372" s="3">
        <v>45254</v>
      </c>
      <c r="H372" s="2">
        <v>92</v>
      </c>
      <c r="I372" s="2">
        <v>4389231268</v>
      </c>
      <c r="K372" s="2" t="s">
        <v>16</v>
      </c>
    </row>
    <row r="373" spans="1:11" ht="14.25" customHeight="1" x14ac:dyDescent="0.35">
      <c r="A373" s="2" t="s">
        <v>444</v>
      </c>
      <c r="B373" s="2" t="s">
        <v>60</v>
      </c>
      <c r="C373" s="2" t="s">
        <v>19</v>
      </c>
      <c r="D373" s="2" t="s">
        <v>87</v>
      </c>
      <c r="F373" s="3">
        <v>45009</v>
      </c>
      <c r="G373" s="3">
        <v>45316</v>
      </c>
      <c r="H373" s="2">
        <v>307</v>
      </c>
      <c r="I373" s="2">
        <v>1602590465</v>
      </c>
      <c r="J373" s="2" t="s">
        <v>33</v>
      </c>
      <c r="K373" s="2" t="s">
        <v>16</v>
      </c>
    </row>
    <row r="374" spans="1:11" ht="14.25" customHeight="1" x14ac:dyDescent="0.35">
      <c r="A374" s="2" t="s">
        <v>445</v>
      </c>
      <c r="B374" s="2" t="s">
        <v>12</v>
      </c>
      <c r="C374" s="2" t="s">
        <v>19</v>
      </c>
      <c r="D374" s="2" t="s">
        <v>28</v>
      </c>
      <c r="E374" s="2">
        <v>26.45</v>
      </c>
      <c r="F374" s="3">
        <v>45020</v>
      </c>
      <c r="G374" s="3">
        <v>45381</v>
      </c>
      <c r="H374" s="2">
        <v>361</v>
      </c>
      <c r="I374" s="2">
        <v>840003830</v>
      </c>
      <c r="J374" s="2" t="s">
        <v>26</v>
      </c>
      <c r="K374" s="2" t="s">
        <v>22</v>
      </c>
    </row>
    <row r="375" spans="1:11" ht="14.25" customHeight="1" x14ac:dyDescent="0.35">
      <c r="A375" s="2" t="s">
        <v>446</v>
      </c>
      <c r="B375" s="2" t="s">
        <v>30</v>
      </c>
      <c r="C375" s="2" t="s">
        <v>39</v>
      </c>
      <c r="D375" s="2" t="s">
        <v>40</v>
      </c>
      <c r="F375" s="3">
        <v>45369</v>
      </c>
      <c r="G375" s="3">
        <v>45191</v>
      </c>
      <c r="H375" s="2">
        <v>-178</v>
      </c>
      <c r="I375" s="2">
        <v>754872847</v>
      </c>
      <c r="J375" s="2" t="s">
        <v>67</v>
      </c>
      <c r="K375" s="2" t="s">
        <v>16</v>
      </c>
    </row>
    <row r="376" spans="1:11" ht="14.25" customHeight="1" x14ac:dyDescent="0.35">
      <c r="A376" s="2" t="s">
        <v>447</v>
      </c>
      <c r="B376" s="2" t="s">
        <v>35</v>
      </c>
      <c r="C376" s="2" t="s">
        <v>31</v>
      </c>
      <c r="D376" s="2" t="s">
        <v>91</v>
      </c>
      <c r="E376" s="2">
        <v>4.92</v>
      </c>
      <c r="F376" s="3">
        <v>44951</v>
      </c>
      <c r="G376" s="3">
        <v>45262</v>
      </c>
      <c r="H376" s="2">
        <v>311</v>
      </c>
      <c r="I376" s="2">
        <v>4303891111</v>
      </c>
      <c r="J376" s="2" t="s">
        <v>67</v>
      </c>
      <c r="K376" s="2" t="s">
        <v>16</v>
      </c>
    </row>
    <row r="377" spans="1:11" ht="14.25" customHeight="1" x14ac:dyDescent="0.35">
      <c r="A377" s="2" t="s">
        <v>448</v>
      </c>
      <c r="B377" s="2" t="s">
        <v>30</v>
      </c>
      <c r="C377" s="2" t="s">
        <v>31</v>
      </c>
      <c r="D377" s="2" t="s">
        <v>32</v>
      </c>
      <c r="F377" s="3">
        <v>45167</v>
      </c>
      <c r="G377" s="3">
        <v>45453</v>
      </c>
      <c r="H377" s="2">
        <v>286</v>
      </c>
      <c r="I377" s="2">
        <v>2996543076</v>
      </c>
      <c r="J377" s="2" t="s">
        <v>67</v>
      </c>
      <c r="K377" s="2" t="s">
        <v>16</v>
      </c>
    </row>
    <row r="378" spans="1:11" ht="14.25" customHeight="1" x14ac:dyDescent="0.35">
      <c r="A378" s="2" t="s">
        <v>449</v>
      </c>
      <c r="B378" s="2" t="s">
        <v>60</v>
      </c>
      <c r="C378" s="2" t="s">
        <v>36</v>
      </c>
      <c r="D378" s="2" t="s">
        <v>61</v>
      </c>
      <c r="F378" s="3">
        <v>45509</v>
      </c>
      <c r="G378" s="3">
        <v>45187</v>
      </c>
      <c r="H378" s="2">
        <v>-322</v>
      </c>
      <c r="I378" s="2">
        <v>2298809413</v>
      </c>
      <c r="J378" s="2" t="s">
        <v>67</v>
      </c>
      <c r="K378" s="2" t="s">
        <v>16</v>
      </c>
    </row>
    <row r="379" spans="1:11" ht="14.25" customHeight="1" x14ac:dyDescent="0.35">
      <c r="A379" s="2" t="s">
        <v>450</v>
      </c>
      <c r="B379" s="2" t="s">
        <v>12</v>
      </c>
      <c r="C379" s="2" t="s">
        <v>19</v>
      </c>
      <c r="D379" s="2" t="s">
        <v>28</v>
      </c>
      <c r="E379" s="2">
        <v>18.3</v>
      </c>
      <c r="F379" s="3">
        <v>45059</v>
      </c>
      <c r="G379" s="3">
        <v>45390</v>
      </c>
      <c r="H379" s="2">
        <v>331</v>
      </c>
      <c r="I379" s="2">
        <v>4700731298</v>
      </c>
      <c r="J379" s="2" t="s">
        <v>33</v>
      </c>
      <c r="K379" s="2" t="s">
        <v>22</v>
      </c>
    </row>
    <row r="380" spans="1:11" ht="14.25" customHeight="1" x14ac:dyDescent="0.35">
      <c r="A380" s="2" t="s">
        <v>451</v>
      </c>
      <c r="B380" s="2" t="s">
        <v>60</v>
      </c>
      <c r="C380" s="2" t="s">
        <v>48</v>
      </c>
      <c r="D380" s="2" t="s">
        <v>66</v>
      </c>
      <c r="F380" s="3">
        <v>44986</v>
      </c>
      <c r="G380" s="3">
        <v>45105</v>
      </c>
      <c r="H380" s="2">
        <v>119</v>
      </c>
      <c r="I380" s="2">
        <v>4655492935</v>
      </c>
      <c r="J380" s="2" t="s">
        <v>50</v>
      </c>
      <c r="K380" s="2" t="s">
        <v>16</v>
      </c>
    </row>
    <row r="381" spans="1:11" ht="14.25" customHeight="1" x14ac:dyDescent="0.35">
      <c r="A381" s="2" t="s">
        <v>452</v>
      </c>
      <c r="B381" s="2" t="s">
        <v>30</v>
      </c>
      <c r="C381" s="2" t="s">
        <v>39</v>
      </c>
      <c r="D381" s="2" t="s">
        <v>40</v>
      </c>
      <c r="F381" s="3">
        <v>45080</v>
      </c>
      <c r="G381" s="3">
        <v>45423</v>
      </c>
      <c r="H381" s="2">
        <v>343</v>
      </c>
      <c r="I381" s="2">
        <v>3094133672</v>
      </c>
      <c r="J381" s="2" t="s">
        <v>33</v>
      </c>
      <c r="K381" s="2" t="s">
        <v>22</v>
      </c>
    </row>
    <row r="382" spans="1:11" ht="14.25" customHeight="1" x14ac:dyDescent="0.35">
      <c r="A382" s="2" t="s">
        <v>453</v>
      </c>
      <c r="B382" s="2" t="s">
        <v>12</v>
      </c>
      <c r="C382" s="2" t="s">
        <v>48</v>
      </c>
      <c r="D382" s="2" t="s">
        <v>171</v>
      </c>
      <c r="E382" s="2">
        <v>13.16</v>
      </c>
      <c r="F382" s="3">
        <v>45143</v>
      </c>
      <c r="G382" s="3">
        <v>45201</v>
      </c>
      <c r="H382" s="2">
        <v>58</v>
      </c>
      <c r="I382" s="2">
        <v>1801438952</v>
      </c>
      <c r="J382" s="2" t="s">
        <v>33</v>
      </c>
      <c r="K382" s="2" t="s">
        <v>16</v>
      </c>
    </row>
    <row r="383" spans="1:11" ht="14.25" customHeight="1" x14ac:dyDescent="0.35">
      <c r="A383" s="2" t="s">
        <v>454</v>
      </c>
      <c r="B383" s="2" t="s">
        <v>35</v>
      </c>
      <c r="C383" s="2" t="s">
        <v>39</v>
      </c>
      <c r="D383" s="2" t="s">
        <v>145</v>
      </c>
      <c r="E383" s="2">
        <v>3.89</v>
      </c>
      <c r="F383" s="3">
        <v>45168</v>
      </c>
      <c r="G383" s="3">
        <v>45236</v>
      </c>
      <c r="H383" s="2">
        <v>68</v>
      </c>
      <c r="I383" s="2">
        <v>3654306193</v>
      </c>
      <c r="J383" s="2" t="s">
        <v>50</v>
      </c>
      <c r="K383" s="2" t="s">
        <v>16</v>
      </c>
    </row>
    <row r="384" spans="1:11" ht="14.25" customHeight="1" x14ac:dyDescent="0.35">
      <c r="A384" s="2" t="s">
        <v>455</v>
      </c>
      <c r="B384" s="2" t="s">
        <v>12</v>
      </c>
      <c r="C384" s="2" t="s">
        <v>31</v>
      </c>
      <c r="D384" s="2" t="s">
        <v>83</v>
      </c>
      <c r="E384" s="2">
        <v>44.18</v>
      </c>
      <c r="F384" s="3">
        <v>45055</v>
      </c>
      <c r="G384" s="3">
        <v>44950</v>
      </c>
      <c r="H384" s="2">
        <v>-105</v>
      </c>
      <c r="I384" s="2">
        <v>3158941776</v>
      </c>
      <c r="J384" s="2" t="s">
        <v>67</v>
      </c>
      <c r="K384" s="2" t="s">
        <v>16</v>
      </c>
    </row>
    <row r="385" spans="1:11" ht="14.25" customHeight="1" x14ac:dyDescent="0.35">
      <c r="A385" s="2" t="s">
        <v>456</v>
      </c>
      <c r="B385" s="2" t="s">
        <v>18</v>
      </c>
      <c r="C385" s="2" t="s">
        <v>39</v>
      </c>
      <c r="D385" s="2" t="s">
        <v>53</v>
      </c>
      <c r="F385" s="3">
        <v>45031</v>
      </c>
      <c r="G385" s="3">
        <v>45123</v>
      </c>
      <c r="H385" s="2">
        <v>92</v>
      </c>
      <c r="I385" s="2">
        <v>810544145</v>
      </c>
      <c r="J385" s="2" t="s">
        <v>33</v>
      </c>
      <c r="K385" s="2" t="s">
        <v>22</v>
      </c>
    </row>
    <row r="386" spans="1:11" ht="14.25" customHeight="1" x14ac:dyDescent="0.35">
      <c r="A386" s="2" t="s">
        <v>457</v>
      </c>
      <c r="B386" s="2" t="s">
        <v>60</v>
      </c>
      <c r="C386" s="2" t="s">
        <v>36</v>
      </c>
      <c r="D386" s="2" t="s">
        <v>61</v>
      </c>
      <c r="F386" s="3">
        <v>45009</v>
      </c>
      <c r="G386" s="3">
        <v>45280</v>
      </c>
      <c r="H386" s="2">
        <v>271</v>
      </c>
      <c r="I386" s="2">
        <v>1636890242</v>
      </c>
      <c r="J386" s="2" t="s">
        <v>33</v>
      </c>
      <c r="K386" s="2" t="s">
        <v>16</v>
      </c>
    </row>
    <row r="387" spans="1:11" ht="14.25" customHeight="1" x14ac:dyDescent="0.35">
      <c r="A387" s="2" t="s">
        <v>458</v>
      </c>
      <c r="B387" s="2" t="s">
        <v>30</v>
      </c>
      <c r="C387" s="2" t="s">
        <v>48</v>
      </c>
      <c r="D387" s="2" t="s">
        <v>101</v>
      </c>
      <c r="F387" s="3">
        <v>44950</v>
      </c>
      <c r="G387" s="3">
        <v>45023</v>
      </c>
      <c r="H387" s="2">
        <v>73</v>
      </c>
      <c r="I387" s="2">
        <v>778449433</v>
      </c>
      <c r="J387" s="2" t="s">
        <v>44</v>
      </c>
      <c r="K387" s="2" t="s">
        <v>22</v>
      </c>
    </row>
    <row r="388" spans="1:11" ht="14.25" customHeight="1" x14ac:dyDescent="0.35">
      <c r="A388" s="2" t="s">
        <v>459</v>
      </c>
      <c r="B388" s="2" t="s">
        <v>18</v>
      </c>
      <c r="C388" s="2" t="s">
        <v>24</v>
      </c>
      <c r="D388" s="2" t="s">
        <v>95</v>
      </c>
      <c r="F388" s="3">
        <v>45287</v>
      </c>
      <c r="G388" s="3">
        <v>45343</v>
      </c>
      <c r="H388" s="2">
        <v>56</v>
      </c>
      <c r="I388" s="2">
        <v>3520519105</v>
      </c>
      <c r="K388" s="2" t="s">
        <v>16</v>
      </c>
    </row>
    <row r="389" spans="1:11" ht="14.25" customHeight="1" x14ac:dyDescent="0.35">
      <c r="A389" s="2" t="s">
        <v>460</v>
      </c>
      <c r="B389" s="2" t="s">
        <v>12</v>
      </c>
      <c r="C389" s="2" t="s">
        <v>19</v>
      </c>
      <c r="D389" s="2" t="s">
        <v>28</v>
      </c>
      <c r="E389" s="2">
        <v>19.09</v>
      </c>
      <c r="F389" s="3">
        <v>45081</v>
      </c>
      <c r="G389" s="3">
        <v>45142</v>
      </c>
      <c r="H389" s="2">
        <v>61</v>
      </c>
      <c r="I389" s="2">
        <v>1332548604</v>
      </c>
      <c r="J389" s="2" t="s">
        <v>50</v>
      </c>
      <c r="K389" s="2" t="s">
        <v>22</v>
      </c>
    </row>
    <row r="390" spans="1:11" ht="14.25" customHeight="1" x14ac:dyDescent="0.35">
      <c r="A390" s="2" t="s">
        <v>461</v>
      </c>
      <c r="B390" s="2" t="s">
        <v>60</v>
      </c>
      <c r="C390" s="2" t="s">
        <v>13</v>
      </c>
      <c r="D390" s="2" t="s">
        <v>182</v>
      </c>
      <c r="F390" s="3">
        <v>45136</v>
      </c>
      <c r="G390" s="3">
        <v>45380</v>
      </c>
      <c r="H390" s="2">
        <v>244</v>
      </c>
      <c r="I390" s="2">
        <v>4394738122</v>
      </c>
      <c r="J390" s="2" t="s">
        <v>21</v>
      </c>
      <c r="K390" s="2" t="s">
        <v>22</v>
      </c>
    </row>
    <row r="391" spans="1:11" ht="14.25" customHeight="1" x14ac:dyDescent="0.35">
      <c r="A391" s="2" t="s">
        <v>462</v>
      </c>
      <c r="B391" s="2" t="s">
        <v>18</v>
      </c>
      <c r="C391" s="2" t="s">
        <v>24</v>
      </c>
      <c r="D391" s="2" t="s">
        <v>95</v>
      </c>
      <c r="F391" s="3">
        <v>45017</v>
      </c>
      <c r="G391" s="3">
        <v>45053</v>
      </c>
      <c r="H391" s="2">
        <v>36</v>
      </c>
      <c r="I391" s="2">
        <v>3940550451</v>
      </c>
      <c r="J391" s="2" t="s">
        <v>44</v>
      </c>
      <c r="K391" s="2" t="s">
        <v>16</v>
      </c>
    </row>
    <row r="392" spans="1:11" ht="14.25" customHeight="1" x14ac:dyDescent="0.35">
      <c r="A392" s="2" t="s">
        <v>463</v>
      </c>
      <c r="B392" s="2" t="s">
        <v>30</v>
      </c>
      <c r="C392" s="2" t="s">
        <v>31</v>
      </c>
      <c r="D392" s="2" t="s">
        <v>32</v>
      </c>
      <c r="F392" s="3">
        <v>45049</v>
      </c>
      <c r="G392" s="3">
        <v>45401</v>
      </c>
      <c r="H392" s="2">
        <v>352</v>
      </c>
      <c r="I392" s="2">
        <v>3935905756</v>
      </c>
      <c r="J392" s="2" t="s">
        <v>26</v>
      </c>
      <c r="K392" s="2" t="s">
        <v>16</v>
      </c>
    </row>
    <row r="393" spans="1:11" ht="14.25" customHeight="1" x14ac:dyDescent="0.35">
      <c r="A393" s="2" t="s">
        <v>464</v>
      </c>
      <c r="B393" s="2" t="s">
        <v>30</v>
      </c>
      <c r="C393" s="2" t="s">
        <v>19</v>
      </c>
      <c r="D393" s="2" t="s">
        <v>58</v>
      </c>
      <c r="F393" s="3">
        <v>45255</v>
      </c>
      <c r="G393" s="3">
        <v>45461</v>
      </c>
      <c r="H393" s="2">
        <v>206</v>
      </c>
      <c r="I393" s="2">
        <v>1346956957</v>
      </c>
      <c r="K393" s="2" t="s">
        <v>16</v>
      </c>
    </row>
    <row r="394" spans="1:11" ht="14.25" customHeight="1" x14ac:dyDescent="0.35">
      <c r="A394" s="2" t="s">
        <v>465</v>
      </c>
      <c r="B394" s="2" t="s">
        <v>30</v>
      </c>
      <c r="C394" s="2" t="s">
        <v>39</v>
      </c>
      <c r="D394" s="2" t="s">
        <v>40</v>
      </c>
      <c r="F394" s="3">
        <v>45194</v>
      </c>
      <c r="G394" s="3">
        <v>45231</v>
      </c>
      <c r="H394" s="2">
        <v>37</v>
      </c>
      <c r="I394" s="2">
        <v>1151068145</v>
      </c>
      <c r="J394" s="2" t="s">
        <v>67</v>
      </c>
      <c r="K394" s="2" t="s">
        <v>16</v>
      </c>
    </row>
    <row r="395" spans="1:11" ht="14.25" customHeight="1" x14ac:dyDescent="0.35">
      <c r="A395" s="2" t="s">
        <v>466</v>
      </c>
      <c r="B395" s="2" t="s">
        <v>60</v>
      </c>
      <c r="C395" s="2" t="s">
        <v>31</v>
      </c>
      <c r="D395" s="2" t="s">
        <v>111</v>
      </c>
      <c r="F395" s="3">
        <v>44935</v>
      </c>
      <c r="G395" s="3">
        <v>44971</v>
      </c>
      <c r="H395" s="2">
        <v>36</v>
      </c>
      <c r="I395" s="2">
        <v>3703019558</v>
      </c>
      <c r="J395" s="2" t="s">
        <v>44</v>
      </c>
      <c r="K395" s="2" t="s">
        <v>22</v>
      </c>
    </row>
    <row r="396" spans="1:11" ht="14.25" customHeight="1" x14ac:dyDescent="0.35">
      <c r="A396" s="2" t="s">
        <v>467</v>
      </c>
      <c r="B396" s="2" t="s">
        <v>18</v>
      </c>
      <c r="C396" s="2" t="s">
        <v>13</v>
      </c>
      <c r="D396" s="2" t="s">
        <v>143</v>
      </c>
      <c r="F396" s="3">
        <v>44939</v>
      </c>
      <c r="G396" s="3">
        <v>45185</v>
      </c>
      <c r="H396" s="2">
        <v>246</v>
      </c>
      <c r="I396" s="2">
        <v>4501329618</v>
      </c>
      <c r="J396" s="2" t="s">
        <v>26</v>
      </c>
      <c r="K396" s="2" t="s">
        <v>22</v>
      </c>
    </row>
    <row r="397" spans="1:11" ht="14.25" customHeight="1" x14ac:dyDescent="0.35">
      <c r="A397" s="2" t="s">
        <v>468</v>
      </c>
      <c r="B397" s="2" t="s">
        <v>12</v>
      </c>
      <c r="C397" s="2" t="s">
        <v>48</v>
      </c>
      <c r="D397" s="2" t="s">
        <v>171</v>
      </c>
      <c r="E397" s="2">
        <v>46.14</v>
      </c>
      <c r="F397" s="3">
        <v>45207</v>
      </c>
      <c r="G397" s="3">
        <v>45572</v>
      </c>
      <c r="H397" s="2">
        <v>365</v>
      </c>
      <c r="I397" s="2">
        <v>2360422703</v>
      </c>
      <c r="J397" s="2" t="s">
        <v>67</v>
      </c>
      <c r="K397" s="2" t="s">
        <v>22</v>
      </c>
    </row>
    <row r="398" spans="1:11" ht="14.25" customHeight="1" x14ac:dyDescent="0.35">
      <c r="A398" s="2" t="s">
        <v>469</v>
      </c>
      <c r="B398" s="2" t="s">
        <v>35</v>
      </c>
      <c r="C398" s="2" t="s">
        <v>36</v>
      </c>
      <c r="D398" s="2" t="s">
        <v>37</v>
      </c>
      <c r="E398" s="2">
        <v>4.58</v>
      </c>
      <c r="F398" s="3">
        <v>45055</v>
      </c>
      <c r="G398" s="3">
        <v>45273</v>
      </c>
      <c r="H398" s="2">
        <v>218</v>
      </c>
      <c r="I398" s="2">
        <v>1926029132</v>
      </c>
      <c r="J398" s="2" t="s">
        <v>26</v>
      </c>
      <c r="K398" s="2" t="s">
        <v>16</v>
      </c>
    </row>
    <row r="399" spans="1:11" ht="14.25" customHeight="1" x14ac:dyDescent="0.35">
      <c r="A399" s="2" t="s">
        <v>470</v>
      </c>
      <c r="B399" s="2" t="s">
        <v>30</v>
      </c>
      <c r="C399" s="2" t="s">
        <v>36</v>
      </c>
      <c r="D399" s="2" t="s">
        <v>93</v>
      </c>
      <c r="F399" s="3">
        <v>44941</v>
      </c>
      <c r="G399" s="3">
        <v>45095</v>
      </c>
      <c r="H399" s="2">
        <v>154</v>
      </c>
      <c r="I399" s="2">
        <v>3422170546</v>
      </c>
      <c r="K399" s="2" t="s">
        <v>16</v>
      </c>
    </row>
    <row r="400" spans="1:11" ht="14.25" customHeight="1" x14ac:dyDescent="0.35">
      <c r="A400" s="2" t="s">
        <v>471</v>
      </c>
      <c r="B400" s="2" t="s">
        <v>35</v>
      </c>
      <c r="C400" s="2" t="s">
        <v>24</v>
      </c>
      <c r="D400" s="2" t="s">
        <v>133</v>
      </c>
      <c r="E400" s="2">
        <v>4.0599999999999996</v>
      </c>
      <c r="F400" s="3">
        <v>45346</v>
      </c>
      <c r="G400" s="3">
        <v>45031</v>
      </c>
      <c r="H400" s="2">
        <v>-315</v>
      </c>
      <c r="I400" s="2">
        <v>3187951091</v>
      </c>
      <c r="J400" s="2" t="s">
        <v>50</v>
      </c>
      <c r="K400" s="2" t="s">
        <v>22</v>
      </c>
    </row>
    <row r="401" spans="1:11" ht="14.25" customHeight="1" x14ac:dyDescent="0.35">
      <c r="A401" s="2" t="s">
        <v>472</v>
      </c>
      <c r="B401" s="2" t="s">
        <v>60</v>
      </c>
      <c r="C401" s="2" t="s">
        <v>36</v>
      </c>
      <c r="D401" s="2" t="s">
        <v>61</v>
      </c>
      <c r="F401" s="3">
        <v>45057</v>
      </c>
      <c r="G401" s="3">
        <v>45261</v>
      </c>
      <c r="H401" s="2">
        <v>204</v>
      </c>
      <c r="I401" s="2">
        <v>1172184978</v>
      </c>
      <c r="J401" s="2" t="s">
        <v>21</v>
      </c>
      <c r="K401" s="2" t="s">
        <v>22</v>
      </c>
    </row>
    <row r="402" spans="1:11" ht="14.25" customHeight="1" x14ac:dyDescent="0.35">
      <c r="A402" s="2" t="s">
        <v>473</v>
      </c>
      <c r="B402" s="2" t="s">
        <v>35</v>
      </c>
      <c r="C402" s="2" t="s">
        <v>13</v>
      </c>
      <c r="D402" s="2" t="s">
        <v>78</v>
      </c>
      <c r="E402" s="2">
        <v>1.83</v>
      </c>
      <c r="F402" s="3">
        <v>45125</v>
      </c>
      <c r="G402" s="3">
        <v>45277</v>
      </c>
      <c r="H402" s="2">
        <v>152</v>
      </c>
      <c r="I402" s="2">
        <v>4574000268</v>
      </c>
      <c r="K402" s="2" t="s">
        <v>22</v>
      </c>
    </row>
    <row r="403" spans="1:11" ht="14.25" customHeight="1" x14ac:dyDescent="0.35">
      <c r="A403" s="2" t="s">
        <v>474</v>
      </c>
      <c r="B403" s="2" t="s">
        <v>12</v>
      </c>
      <c r="C403" s="2" t="s">
        <v>36</v>
      </c>
      <c r="D403" s="2" t="s">
        <v>46</v>
      </c>
      <c r="E403" s="2">
        <v>35.4</v>
      </c>
      <c r="F403" s="3">
        <v>45026</v>
      </c>
      <c r="G403" s="3">
        <v>45320</v>
      </c>
      <c r="H403" s="2">
        <v>294</v>
      </c>
      <c r="I403" s="2">
        <v>1270905259</v>
      </c>
      <c r="J403" s="2" t="s">
        <v>67</v>
      </c>
      <c r="K403" s="2" t="s">
        <v>22</v>
      </c>
    </row>
    <row r="404" spans="1:11" ht="14.25" customHeight="1" x14ac:dyDescent="0.35">
      <c r="A404" s="2" t="s">
        <v>475</v>
      </c>
      <c r="B404" s="2" t="s">
        <v>35</v>
      </c>
      <c r="C404" s="2" t="s">
        <v>31</v>
      </c>
      <c r="D404" s="2" t="s">
        <v>91</v>
      </c>
      <c r="E404" s="2">
        <v>1.42</v>
      </c>
      <c r="F404" s="3">
        <v>44994</v>
      </c>
      <c r="G404" s="3">
        <v>45231</v>
      </c>
      <c r="H404" s="2">
        <v>237</v>
      </c>
      <c r="I404" s="2">
        <v>3332041783</v>
      </c>
      <c r="J404" s="2" t="s">
        <v>44</v>
      </c>
      <c r="K404" s="2" t="s">
        <v>22</v>
      </c>
    </row>
    <row r="405" spans="1:11" ht="14.25" customHeight="1" x14ac:dyDescent="0.35">
      <c r="A405" s="2" t="s">
        <v>476</v>
      </c>
      <c r="B405" s="2" t="s">
        <v>60</v>
      </c>
      <c r="C405" s="2" t="s">
        <v>42</v>
      </c>
      <c r="D405" s="2" t="s">
        <v>154</v>
      </c>
      <c r="F405" s="3">
        <v>44990</v>
      </c>
      <c r="G405" s="3">
        <v>45311</v>
      </c>
      <c r="H405" s="2">
        <v>321</v>
      </c>
      <c r="I405" s="2">
        <v>2563343661</v>
      </c>
      <c r="J405" s="2" t="s">
        <v>44</v>
      </c>
      <c r="K405" s="2" t="s">
        <v>16</v>
      </c>
    </row>
    <row r="406" spans="1:11" ht="14.25" customHeight="1" x14ac:dyDescent="0.35">
      <c r="A406" s="2" t="s">
        <v>477</v>
      </c>
      <c r="B406" s="2" t="s">
        <v>60</v>
      </c>
      <c r="C406" s="2" t="s">
        <v>39</v>
      </c>
      <c r="D406" s="2" t="s">
        <v>185</v>
      </c>
      <c r="F406" s="3">
        <v>44965</v>
      </c>
      <c r="G406" s="3">
        <v>45066</v>
      </c>
      <c r="H406" s="2">
        <v>101</v>
      </c>
      <c r="I406" s="2">
        <v>1987658420</v>
      </c>
      <c r="J406" s="2" t="s">
        <v>44</v>
      </c>
      <c r="K406" s="2" t="s">
        <v>16</v>
      </c>
    </row>
    <row r="407" spans="1:11" ht="14.25" customHeight="1" x14ac:dyDescent="0.35">
      <c r="A407" s="2" t="s">
        <v>478</v>
      </c>
      <c r="B407" s="2" t="s">
        <v>18</v>
      </c>
      <c r="C407" s="2" t="s">
        <v>39</v>
      </c>
      <c r="D407" s="2" t="s">
        <v>53</v>
      </c>
      <c r="F407" s="3">
        <v>45187</v>
      </c>
      <c r="G407" s="3">
        <v>45493</v>
      </c>
      <c r="H407" s="2">
        <v>306</v>
      </c>
      <c r="I407" s="2">
        <v>2378015996</v>
      </c>
      <c r="J407" s="2" t="s">
        <v>26</v>
      </c>
      <c r="K407" s="2" t="s">
        <v>22</v>
      </c>
    </row>
    <row r="408" spans="1:11" ht="14.25" customHeight="1" x14ac:dyDescent="0.35">
      <c r="A408" s="2" t="s">
        <v>479</v>
      </c>
      <c r="B408" s="2" t="s">
        <v>60</v>
      </c>
      <c r="C408" s="2" t="s">
        <v>36</v>
      </c>
      <c r="D408" s="2" t="s">
        <v>61</v>
      </c>
      <c r="F408" s="3">
        <v>45395</v>
      </c>
      <c r="G408" s="3">
        <v>45132</v>
      </c>
      <c r="H408" s="2">
        <v>-263</v>
      </c>
      <c r="I408" s="2">
        <v>3512241019</v>
      </c>
      <c r="J408" s="2" t="s">
        <v>50</v>
      </c>
      <c r="K408" s="2" t="s">
        <v>22</v>
      </c>
    </row>
    <row r="409" spans="1:11" ht="14.25" customHeight="1" x14ac:dyDescent="0.35">
      <c r="A409" s="2" t="s">
        <v>480</v>
      </c>
      <c r="B409" s="2" t="s">
        <v>30</v>
      </c>
      <c r="C409" s="2" t="s">
        <v>13</v>
      </c>
      <c r="D409" s="2" t="s">
        <v>56</v>
      </c>
      <c r="F409" s="3">
        <v>45106</v>
      </c>
      <c r="G409" s="3">
        <v>45212</v>
      </c>
      <c r="H409" s="2">
        <v>106</v>
      </c>
      <c r="I409" s="2">
        <v>665731145</v>
      </c>
      <c r="J409" s="2" t="s">
        <v>15</v>
      </c>
      <c r="K409" s="2" t="s">
        <v>22</v>
      </c>
    </row>
    <row r="410" spans="1:11" ht="14.25" customHeight="1" x14ac:dyDescent="0.35">
      <c r="A410" s="2" t="s">
        <v>481</v>
      </c>
      <c r="B410" s="2" t="s">
        <v>18</v>
      </c>
      <c r="C410" s="2" t="s">
        <v>13</v>
      </c>
      <c r="D410" s="2" t="s">
        <v>143</v>
      </c>
      <c r="F410" s="3">
        <v>45099</v>
      </c>
      <c r="G410" s="3">
        <v>45245</v>
      </c>
      <c r="H410" s="2">
        <v>146</v>
      </c>
      <c r="I410" s="2">
        <v>2002675874</v>
      </c>
      <c r="J410" s="2" t="s">
        <v>15</v>
      </c>
      <c r="K410" s="2" t="s">
        <v>16</v>
      </c>
    </row>
    <row r="411" spans="1:11" ht="14.25" customHeight="1" x14ac:dyDescent="0.35">
      <c r="A411" s="2" t="s">
        <v>482</v>
      </c>
      <c r="B411" s="2" t="s">
        <v>30</v>
      </c>
      <c r="C411" s="2" t="s">
        <v>48</v>
      </c>
      <c r="D411" s="2" t="s">
        <v>101</v>
      </c>
      <c r="F411" s="3">
        <v>45220</v>
      </c>
      <c r="G411" s="3">
        <v>45327</v>
      </c>
      <c r="H411" s="2">
        <v>107</v>
      </c>
      <c r="I411" s="2">
        <v>3669779091</v>
      </c>
      <c r="J411" s="2" t="s">
        <v>67</v>
      </c>
      <c r="K411" s="2" t="s">
        <v>22</v>
      </c>
    </row>
    <row r="412" spans="1:11" ht="14.25" customHeight="1" x14ac:dyDescent="0.35">
      <c r="A412" s="2" t="s">
        <v>483</v>
      </c>
      <c r="B412" s="2" t="s">
        <v>60</v>
      </c>
      <c r="C412" s="2" t="s">
        <v>31</v>
      </c>
      <c r="D412" s="2" t="s">
        <v>111</v>
      </c>
      <c r="F412" s="3">
        <v>45081</v>
      </c>
      <c r="G412" s="3">
        <v>45386</v>
      </c>
      <c r="H412" s="2">
        <v>305</v>
      </c>
      <c r="I412" s="2">
        <v>2278178091</v>
      </c>
      <c r="J412" s="2" t="s">
        <v>67</v>
      </c>
      <c r="K412" s="2" t="s">
        <v>16</v>
      </c>
    </row>
    <row r="413" spans="1:11" ht="14.25" customHeight="1" x14ac:dyDescent="0.35">
      <c r="A413" s="2" t="s">
        <v>484</v>
      </c>
      <c r="B413" s="2" t="s">
        <v>18</v>
      </c>
      <c r="C413" s="2" t="s">
        <v>48</v>
      </c>
      <c r="D413" s="2" t="s">
        <v>121</v>
      </c>
      <c r="F413" s="3">
        <v>45133</v>
      </c>
      <c r="G413" s="3">
        <v>45429</v>
      </c>
      <c r="H413" s="2">
        <v>296</v>
      </c>
      <c r="I413" s="2">
        <v>615227784</v>
      </c>
      <c r="J413" s="2" t="s">
        <v>67</v>
      </c>
      <c r="K413" s="2" t="s">
        <v>16</v>
      </c>
    </row>
    <row r="414" spans="1:11" ht="14.25" customHeight="1" x14ac:dyDescent="0.35">
      <c r="A414" s="2" t="s">
        <v>485</v>
      </c>
      <c r="B414" s="2" t="s">
        <v>18</v>
      </c>
      <c r="C414" s="2" t="s">
        <v>36</v>
      </c>
      <c r="D414" s="2" t="s">
        <v>71</v>
      </c>
      <c r="F414" s="3">
        <v>45149</v>
      </c>
      <c r="G414" s="3">
        <v>45285</v>
      </c>
      <c r="H414" s="2">
        <v>136</v>
      </c>
      <c r="I414" s="2">
        <v>4852625379</v>
      </c>
      <c r="J414" s="2" t="s">
        <v>44</v>
      </c>
      <c r="K414" s="2" t="s">
        <v>22</v>
      </c>
    </row>
    <row r="415" spans="1:11" ht="14.25" customHeight="1" x14ac:dyDescent="0.35">
      <c r="A415" s="2" t="s">
        <v>486</v>
      </c>
      <c r="B415" s="2" t="s">
        <v>30</v>
      </c>
      <c r="C415" s="2" t="s">
        <v>39</v>
      </c>
      <c r="D415" s="2" t="s">
        <v>40</v>
      </c>
      <c r="F415" s="3">
        <v>45188</v>
      </c>
      <c r="G415" s="3">
        <v>45245</v>
      </c>
      <c r="H415" s="2">
        <v>57</v>
      </c>
      <c r="I415" s="2">
        <v>2025433107</v>
      </c>
      <c r="J415" s="2" t="s">
        <v>50</v>
      </c>
      <c r="K415" s="2" t="s">
        <v>22</v>
      </c>
    </row>
    <row r="416" spans="1:11" ht="14.25" customHeight="1" x14ac:dyDescent="0.35">
      <c r="A416" s="2" t="s">
        <v>487</v>
      </c>
      <c r="B416" s="2" t="s">
        <v>18</v>
      </c>
      <c r="C416" s="2" t="s">
        <v>31</v>
      </c>
      <c r="D416" s="2" t="s">
        <v>74</v>
      </c>
      <c r="F416" s="3">
        <v>45118</v>
      </c>
      <c r="G416" s="3">
        <v>45452</v>
      </c>
      <c r="H416" s="2">
        <v>334</v>
      </c>
      <c r="I416" s="2">
        <v>4445741010</v>
      </c>
      <c r="J416" s="2" t="s">
        <v>67</v>
      </c>
      <c r="K416" s="2" t="s">
        <v>22</v>
      </c>
    </row>
    <row r="417" spans="1:11" ht="14.25" customHeight="1" x14ac:dyDescent="0.35">
      <c r="A417" s="2" t="s">
        <v>488</v>
      </c>
      <c r="B417" s="2" t="s">
        <v>60</v>
      </c>
      <c r="C417" s="2" t="s">
        <v>24</v>
      </c>
      <c r="D417" s="2" t="s">
        <v>80</v>
      </c>
      <c r="F417" s="3">
        <v>45159</v>
      </c>
      <c r="G417" s="3">
        <v>45272</v>
      </c>
      <c r="H417" s="2">
        <v>113</v>
      </c>
      <c r="I417" s="2">
        <v>2848920877</v>
      </c>
      <c r="J417" s="2" t="s">
        <v>50</v>
      </c>
      <c r="K417" s="2" t="s">
        <v>16</v>
      </c>
    </row>
    <row r="418" spans="1:11" ht="14.25" customHeight="1" x14ac:dyDescent="0.35">
      <c r="A418" s="2" t="s">
        <v>489</v>
      </c>
      <c r="B418" s="2" t="s">
        <v>18</v>
      </c>
      <c r="C418" s="2" t="s">
        <v>48</v>
      </c>
      <c r="D418" s="2" t="s">
        <v>121</v>
      </c>
      <c r="F418" s="3">
        <v>45260</v>
      </c>
      <c r="G418" s="3">
        <v>45384</v>
      </c>
      <c r="H418" s="2">
        <v>124</v>
      </c>
      <c r="I418" s="2">
        <v>3100655734</v>
      </c>
      <c r="J418" s="2" t="s">
        <v>67</v>
      </c>
      <c r="K418" s="2" t="s">
        <v>16</v>
      </c>
    </row>
    <row r="419" spans="1:11" ht="14.25" customHeight="1" x14ac:dyDescent="0.35">
      <c r="A419" s="2" t="s">
        <v>490</v>
      </c>
      <c r="B419" s="2" t="s">
        <v>60</v>
      </c>
      <c r="C419" s="2" t="s">
        <v>48</v>
      </c>
      <c r="D419" s="2" t="s">
        <v>66</v>
      </c>
      <c r="F419" s="3">
        <v>45284</v>
      </c>
      <c r="G419" s="3">
        <v>45473</v>
      </c>
      <c r="H419" s="2">
        <v>189</v>
      </c>
      <c r="I419" s="2">
        <v>1586028533</v>
      </c>
      <c r="J419" s="2" t="s">
        <v>21</v>
      </c>
      <c r="K419" s="2" t="s">
        <v>16</v>
      </c>
    </row>
    <row r="420" spans="1:11" ht="14.25" customHeight="1" x14ac:dyDescent="0.35">
      <c r="A420" s="2" t="s">
        <v>491</v>
      </c>
      <c r="B420" s="2" t="s">
        <v>30</v>
      </c>
      <c r="C420" s="2" t="s">
        <v>36</v>
      </c>
      <c r="D420" s="2" t="s">
        <v>93</v>
      </c>
      <c r="F420" s="3">
        <v>45178</v>
      </c>
      <c r="G420" s="3">
        <v>45279</v>
      </c>
      <c r="H420" s="2">
        <v>101</v>
      </c>
      <c r="I420" s="2">
        <v>913733820</v>
      </c>
      <c r="J420" s="2" t="s">
        <v>33</v>
      </c>
      <c r="K420" s="2" t="s">
        <v>22</v>
      </c>
    </row>
    <row r="421" spans="1:11" ht="14.25" customHeight="1" x14ac:dyDescent="0.35">
      <c r="A421" s="2" t="s">
        <v>492</v>
      </c>
      <c r="B421" s="2" t="s">
        <v>60</v>
      </c>
      <c r="C421" s="2" t="s">
        <v>19</v>
      </c>
      <c r="D421" s="2" t="s">
        <v>87</v>
      </c>
      <c r="F421" s="3">
        <v>44947</v>
      </c>
      <c r="G421" s="3">
        <v>45177</v>
      </c>
      <c r="H421" s="2">
        <v>230</v>
      </c>
      <c r="I421" s="2">
        <v>860825264</v>
      </c>
      <c r="J421" s="2" t="s">
        <v>33</v>
      </c>
      <c r="K421" s="2" t="s">
        <v>22</v>
      </c>
    </row>
    <row r="422" spans="1:11" ht="14.25" customHeight="1" x14ac:dyDescent="0.35">
      <c r="A422" s="2" t="s">
        <v>493</v>
      </c>
      <c r="B422" s="2" t="s">
        <v>30</v>
      </c>
      <c r="C422" s="2" t="s">
        <v>24</v>
      </c>
      <c r="D422" s="2" t="s">
        <v>85</v>
      </c>
      <c r="F422" s="3">
        <v>45160</v>
      </c>
      <c r="G422" s="3">
        <v>45197</v>
      </c>
      <c r="H422" s="2">
        <v>37</v>
      </c>
      <c r="I422" s="2">
        <v>4819772203</v>
      </c>
      <c r="K422" s="2" t="s">
        <v>16</v>
      </c>
    </row>
    <row r="423" spans="1:11" ht="14.25" customHeight="1" x14ac:dyDescent="0.35">
      <c r="A423" s="2" t="s">
        <v>494</v>
      </c>
      <c r="B423" s="2" t="s">
        <v>35</v>
      </c>
      <c r="C423" s="2" t="s">
        <v>39</v>
      </c>
      <c r="D423" s="2" t="s">
        <v>145</v>
      </c>
      <c r="E423" s="2">
        <v>4.79</v>
      </c>
      <c r="F423" s="3">
        <v>44928</v>
      </c>
      <c r="G423" s="3">
        <v>45271</v>
      </c>
      <c r="H423" s="2">
        <v>343</v>
      </c>
      <c r="I423" s="2">
        <v>2052551598</v>
      </c>
      <c r="K423" s="2" t="s">
        <v>16</v>
      </c>
    </row>
    <row r="424" spans="1:11" ht="14.25" customHeight="1" x14ac:dyDescent="0.35">
      <c r="A424" s="2" t="s">
        <v>495</v>
      </c>
      <c r="B424" s="2" t="s">
        <v>18</v>
      </c>
      <c r="C424" s="2" t="s">
        <v>48</v>
      </c>
      <c r="D424" s="2" t="s">
        <v>121</v>
      </c>
      <c r="F424" s="3">
        <v>45259</v>
      </c>
      <c r="G424" s="3">
        <v>45457</v>
      </c>
      <c r="H424" s="2">
        <v>198</v>
      </c>
      <c r="I424" s="2">
        <v>4162093936</v>
      </c>
      <c r="J424" s="2" t="s">
        <v>26</v>
      </c>
      <c r="K424" s="2" t="s">
        <v>16</v>
      </c>
    </row>
    <row r="425" spans="1:11" ht="14.25" customHeight="1" x14ac:dyDescent="0.35">
      <c r="A425" s="2" t="s">
        <v>496</v>
      </c>
      <c r="B425" s="2" t="s">
        <v>18</v>
      </c>
      <c r="C425" s="2" t="s">
        <v>24</v>
      </c>
      <c r="D425" s="2" t="s">
        <v>95</v>
      </c>
      <c r="F425" s="3">
        <v>44949</v>
      </c>
      <c r="G425" s="3">
        <v>44986</v>
      </c>
      <c r="H425" s="2">
        <v>37</v>
      </c>
      <c r="I425" s="2">
        <v>2552168451</v>
      </c>
      <c r="J425" s="2" t="s">
        <v>15</v>
      </c>
      <c r="K425" s="2" t="s">
        <v>22</v>
      </c>
    </row>
    <row r="426" spans="1:11" ht="14.25" customHeight="1" x14ac:dyDescent="0.35">
      <c r="A426" s="2" t="s">
        <v>497</v>
      </c>
      <c r="B426" s="2" t="s">
        <v>60</v>
      </c>
      <c r="C426" s="2" t="s">
        <v>24</v>
      </c>
      <c r="D426" s="2" t="s">
        <v>80</v>
      </c>
      <c r="F426" s="3">
        <v>45045</v>
      </c>
      <c r="G426" s="3">
        <v>45404</v>
      </c>
      <c r="H426" s="2">
        <v>359</v>
      </c>
      <c r="I426" s="2">
        <v>916485139</v>
      </c>
      <c r="J426" s="2" t="s">
        <v>26</v>
      </c>
      <c r="K426" s="2" t="s">
        <v>16</v>
      </c>
    </row>
    <row r="427" spans="1:11" ht="14.25" customHeight="1" x14ac:dyDescent="0.35">
      <c r="A427" s="2" t="s">
        <v>498</v>
      </c>
      <c r="B427" s="2" t="s">
        <v>30</v>
      </c>
      <c r="C427" s="2" t="s">
        <v>31</v>
      </c>
      <c r="D427" s="2" t="s">
        <v>32</v>
      </c>
      <c r="F427" s="3">
        <v>44991</v>
      </c>
      <c r="G427" s="3">
        <v>45269</v>
      </c>
      <c r="H427" s="2">
        <v>278</v>
      </c>
      <c r="I427" s="2">
        <v>1299752291</v>
      </c>
      <c r="J427" s="2" t="s">
        <v>15</v>
      </c>
      <c r="K427" s="2" t="s">
        <v>22</v>
      </c>
    </row>
    <row r="428" spans="1:11" ht="14.25" customHeight="1" x14ac:dyDescent="0.35">
      <c r="A428" s="2" t="s">
        <v>499</v>
      </c>
      <c r="B428" s="2" t="s">
        <v>60</v>
      </c>
      <c r="C428" s="2" t="s">
        <v>36</v>
      </c>
      <c r="D428" s="2" t="s">
        <v>61</v>
      </c>
      <c r="F428" s="3">
        <v>45073</v>
      </c>
      <c r="G428" s="3">
        <v>45368</v>
      </c>
      <c r="H428" s="2">
        <v>295</v>
      </c>
      <c r="I428" s="2">
        <v>4191553187</v>
      </c>
      <c r="J428" s="2" t="s">
        <v>67</v>
      </c>
      <c r="K428" s="2" t="s">
        <v>16</v>
      </c>
    </row>
    <row r="429" spans="1:11" ht="14.25" customHeight="1" x14ac:dyDescent="0.35">
      <c r="A429" s="2" t="s">
        <v>500</v>
      </c>
      <c r="B429" s="2" t="s">
        <v>30</v>
      </c>
      <c r="C429" s="2" t="s">
        <v>48</v>
      </c>
      <c r="D429" s="2" t="s">
        <v>101</v>
      </c>
      <c r="F429" s="3">
        <v>44942</v>
      </c>
      <c r="G429" s="3">
        <v>45034</v>
      </c>
      <c r="H429" s="2">
        <v>92</v>
      </c>
      <c r="I429" s="2">
        <v>893084011</v>
      </c>
      <c r="K429" s="2" t="s">
        <v>16</v>
      </c>
    </row>
    <row r="430" spans="1:11" ht="14.25" customHeight="1" x14ac:dyDescent="0.35">
      <c r="A430" s="2" t="s">
        <v>501</v>
      </c>
      <c r="B430" s="2" t="s">
        <v>12</v>
      </c>
      <c r="C430" s="2" t="s">
        <v>31</v>
      </c>
      <c r="D430" s="2" t="s">
        <v>83</v>
      </c>
      <c r="E430" s="2">
        <v>10.46</v>
      </c>
      <c r="F430" s="3">
        <v>45206</v>
      </c>
      <c r="G430" s="3">
        <v>45293</v>
      </c>
      <c r="H430" s="2">
        <v>87</v>
      </c>
      <c r="I430" s="2">
        <v>3966057508</v>
      </c>
      <c r="J430" s="2" t="s">
        <v>50</v>
      </c>
      <c r="K430" s="2" t="s">
        <v>16</v>
      </c>
    </row>
    <row r="431" spans="1:11" ht="14.25" customHeight="1" x14ac:dyDescent="0.35">
      <c r="A431" s="2" t="s">
        <v>502</v>
      </c>
      <c r="B431" s="2" t="s">
        <v>18</v>
      </c>
      <c r="C431" s="2" t="s">
        <v>13</v>
      </c>
      <c r="D431" s="2" t="s">
        <v>143</v>
      </c>
      <c r="F431" s="3">
        <v>45000</v>
      </c>
      <c r="G431" s="3">
        <v>45038</v>
      </c>
      <c r="H431" s="2">
        <v>38</v>
      </c>
      <c r="I431" s="2">
        <v>1022543599</v>
      </c>
      <c r="J431" s="2" t="s">
        <v>44</v>
      </c>
      <c r="K431" s="2" t="s">
        <v>22</v>
      </c>
    </row>
    <row r="432" spans="1:11" ht="14.25" customHeight="1" x14ac:dyDescent="0.35">
      <c r="A432" s="2" t="s">
        <v>503</v>
      </c>
      <c r="B432" s="2" t="s">
        <v>30</v>
      </c>
      <c r="C432" s="2" t="s">
        <v>24</v>
      </c>
      <c r="D432" s="2" t="s">
        <v>85</v>
      </c>
      <c r="F432" s="3">
        <v>45254</v>
      </c>
      <c r="G432" s="3">
        <v>45547</v>
      </c>
      <c r="H432" s="2">
        <v>293</v>
      </c>
      <c r="I432" s="2">
        <v>3864266476</v>
      </c>
      <c r="J432" s="2" t="s">
        <v>26</v>
      </c>
      <c r="K432" s="2" t="s">
        <v>22</v>
      </c>
    </row>
    <row r="433" spans="1:11" ht="14.25" customHeight="1" x14ac:dyDescent="0.35">
      <c r="A433" s="2" t="s">
        <v>504</v>
      </c>
      <c r="B433" s="2" t="s">
        <v>30</v>
      </c>
      <c r="C433" s="2" t="s">
        <v>39</v>
      </c>
      <c r="D433" s="2" t="s">
        <v>40</v>
      </c>
      <c r="F433" s="3">
        <v>45262</v>
      </c>
      <c r="G433" s="3">
        <v>45476</v>
      </c>
      <c r="H433" s="2">
        <v>214</v>
      </c>
      <c r="I433" s="2">
        <v>1843611851</v>
      </c>
      <c r="J433" s="2" t="s">
        <v>26</v>
      </c>
      <c r="K433" s="2" t="s">
        <v>22</v>
      </c>
    </row>
    <row r="434" spans="1:11" ht="14.25" customHeight="1" x14ac:dyDescent="0.35">
      <c r="A434" s="2" t="s">
        <v>505</v>
      </c>
      <c r="B434" s="2" t="s">
        <v>12</v>
      </c>
      <c r="C434" s="2" t="s">
        <v>48</v>
      </c>
      <c r="D434" s="2" t="s">
        <v>171</v>
      </c>
      <c r="E434" s="2">
        <v>19.53</v>
      </c>
      <c r="F434" s="3">
        <v>45035</v>
      </c>
      <c r="G434" s="3">
        <v>45179</v>
      </c>
      <c r="H434" s="2">
        <v>144</v>
      </c>
      <c r="I434" s="2">
        <v>3728646829</v>
      </c>
      <c r="J434" s="2" t="s">
        <v>33</v>
      </c>
      <c r="K434" s="2" t="s">
        <v>16</v>
      </c>
    </row>
    <row r="435" spans="1:11" ht="14.25" customHeight="1" x14ac:dyDescent="0.35">
      <c r="A435" s="2" t="s">
        <v>506</v>
      </c>
      <c r="B435" s="2" t="s">
        <v>35</v>
      </c>
      <c r="C435" s="2" t="s">
        <v>36</v>
      </c>
      <c r="D435" s="2" t="s">
        <v>37</v>
      </c>
      <c r="E435" s="2">
        <v>3.18</v>
      </c>
      <c r="F435" s="3">
        <v>45084</v>
      </c>
      <c r="G435" s="3">
        <v>45379</v>
      </c>
      <c r="H435" s="2">
        <v>295</v>
      </c>
      <c r="I435" s="2">
        <v>1964339229</v>
      </c>
      <c r="J435" s="2" t="s">
        <v>44</v>
      </c>
      <c r="K435" s="2" t="s">
        <v>22</v>
      </c>
    </row>
    <row r="436" spans="1:11" ht="14.25" customHeight="1" x14ac:dyDescent="0.35">
      <c r="A436" s="2" t="s">
        <v>507</v>
      </c>
      <c r="B436" s="2" t="s">
        <v>35</v>
      </c>
      <c r="C436" s="2" t="s">
        <v>24</v>
      </c>
      <c r="D436" s="2" t="s">
        <v>133</v>
      </c>
      <c r="E436" s="2">
        <v>1.29</v>
      </c>
      <c r="F436" s="3">
        <v>45282</v>
      </c>
      <c r="G436" s="3">
        <v>45595</v>
      </c>
      <c r="H436" s="2">
        <v>313</v>
      </c>
      <c r="I436" s="2">
        <v>3759910602</v>
      </c>
      <c r="J436" s="2" t="s">
        <v>26</v>
      </c>
      <c r="K436" s="2" t="s">
        <v>16</v>
      </c>
    </row>
    <row r="437" spans="1:11" ht="14.25" customHeight="1" x14ac:dyDescent="0.35">
      <c r="A437" s="2" t="s">
        <v>508</v>
      </c>
      <c r="B437" s="2" t="s">
        <v>35</v>
      </c>
      <c r="C437" s="2" t="s">
        <v>36</v>
      </c>
      <c r="D437" s="2" t="s">
        <v>37</v>
      </c>
      <c r="E437" s="2">
        <v>4.6500000000000004</v>
      </c>
      <c r="F437" s="3">
        <v>45289</v>
      </c>
      <c r="G437" s="3">
        <v>45346</v>
      </c>
      <c r="H437" s="2">
        <v>57</v>
      </c>
      <c r="I437" s="2">
        <v>4649545365</v>
      </c>
      <c r="J437" s="2" t="s">
        <v>21</v>
      </c>
      <c r="K437" s="2" t="s">
        <v>22</v>
      </c>
    </row>
    <row r="438" spans="1:11" ht="14.25" customHeight="1" x14ac:dyDescent="0.35">
      <c r="A438" s="2" t="s">
        <v>509</v>
      </c>
      <c r="B438" s="2" t="s">
        <v>18</v>
      </c>
      <c r="C438" s="2" t="s">
        <v>31</v>
      </c>
      <c r="D438" s="2" t="s">
        <v>74</v>
      </c>
      <c r="F438" s="3">
        <v>45195</v>
      </c>
      <c r="G438" s="3">
        <v>45533</v>
      </c>
      <c r="H438" s="2">
        <v>338</v>
      </c>
      <c r="I438" s="2">
        <v>3601576385</v>
      </c>
      <c r="J438" s="2" t="s">
        <v>44</v>
      </c>
      <c r="K438" s="2" t="s">
        <v>16</v>
      </c>
    </row>
    <row r="439" spans="1:11" ht="14.25" customHeight="1" x14ac:dyDescent="0.35">
      <c r="A439" s="2" t="s">
        <v>510</v>
      </c>
      <c r="B439" s="2" t="s">
        <v>30</v>
      </c>
      <c r="C439" s="2" t="s">
        <v>24</v>
      </c>
      <c r="D439" s="2" t="s">
        <v>85</v>
      </c>
      <c r="F439" s="3">
        <v>45056</v>
      </c>
      <c r="G439" s="3">
        <v>45387</v>
      </c>
      <c r="H439" s="2">
        <v>331</v>
      </c>
      <c r="I439" s="2">
        <v>946747297</v>
      </c>
      <c r="J439" s="2" t="s">
        <v>26</v>
      </c>
      <c r="K439" s="2" t="s">
        <v>16</v>
      </c>
    </row>
    <row r="440" spans="1:11" ht="14.25" customHeight="1" x14ac:dyDescent="0.35">
      <c r="A440" s="2" t="s">
        <v>511</v>
      </c>
      <c r="B440" s="2" t="s">
        <v>18</v>
      </c>
      <c r="C440" s="2" t="s">
        <v>39</v>
      </c>
      <c r="D440" s="2" t="s">
        <v>53</v>
      </c>
      <c r="F440" s="3">
        <v>45334</v>
      </c>
      <c r="G440" s="3">
        <v>45178</v>
      </c>
      <c r="H440" s="2">
        <v>-156</v>
      </c>
      <c r="I440" s="2">
        <v>4264707991</v>
      </c>
      <c r="J440" s="2" t="s">
        <v>26</v>
      </c>
      <c r="K440" s="2" t="s">
        <v>16</v>
      </c>
    </row>
    <row r="441" spans="1:11" ht="14.25" customHeight="1" x14ac:dyDescent="0.35">
      <c r="A441" s="2" t="s">
        <v>512</v>
      </c>
      <c r="B441" s="2" t="s">
        <v>12</v>
      </c>
      <c r="C441" s="2" t="s">
        <v>24</v>
      </c>
      <c r="D441" s="2" t="s">
        <v>25</v>
      </c>
      <c r="E441" s="2">
        <v>31.68</v>
      </c>
      <c r="F441" s="3">
        <v>45247</v>
      </c>
      <c r="G441" s="3">
        <v>45499</v>
      </c>
      <c r="H441" s="2">
        <v>252</v>
      </c>
      <c r="I441" s="2">
        <v>3418041353</v>
      </c>
      <c r="J441" s="2" t="s">
        <v>33</v>
      </c>
      <c r="K441" s="2" t="s">
        <v>16</v>
      </c>
    </row>
    <row r="442" spans="1:11" ht="14.25" customHeight="1" x14ac:dyDescent="0.35">
      <c r="A442" s="2" t="s">
        <v>513</v>
      </c>
      <c r="B442" s="2" t="s">
        <v>60</v>
      </c>
      <c r="C442" s="2" t="s">
        <v>39</v>
      </c>
      <c r="D442" s="2" t="s">
        <v>185</v>
      </c>
      <c r="F442" s="3">
        <v>45245</v>
      </c>
      <c r="G442" s="3">
        <v>45348</v>
      </c>
      <c r="H442" s="2">
        <v>103</v>
      </c>
      <c r="I442" s="2">
        <v>1737272830</v>
      </c>
      <c r="J442" s="2" t="s">
        <v>26</v>
      </c>
      <c r="K442" s="2" t="s">
        <v>22</v>
      </c>
    </row>
    <row r="443" spans="1:11" ht="14.25" customHeight="1" x14ac:dyDescent="0.35">
      <c r="A443" s="2" t="s">
        <v>514</v>
      </c>
      <c r="B443" s="2" t="s">
        <v>18</v>
      </c>
      <c r="C443" s="2" t="s">
        <v>19</v>
      </c>
      <c r="D443" s="2" t="s">
        <v>20</v>
      </c>
      <c r="F443" s="3">
        <v>45078</v>
      </c>
      <c r="G443" s="3">
        <v>45296</v>
      </c>
      <c r="H443" s="2">
        <v>218</v>
      </c>
      <c r="I443" s="2">
        <v>2021755297</v>
      </c>
      <c r="J443" s="2" t="s">
        <v>26</v>
      </c>
      <c r="K443" s="2" t="s">
        <v>16</v>
      </c>
    </row>
    <row r="444" spans="1:11" ht="14.25" customHeight="1" x14ac:dyDescent="0.35">
      <c r="A444" s="2" t="s">
        <v>515</v>
      </c>
      <c r="B444" s="2" t="s">
        <v>30</v>
      </c>
      <c r="C444" s="2" t="s">
        <v>39</v>
      </c>
      <c r="D444" s="2" t="s">
        <v>40</v>
      </c>
      <c r="F444" s="3">
        <v>45205</v>
      </c>
      <c r="G444" s="3">
        <v>45283</v>
      </c>
      <c r="H444" s="2">
        <v>78</v>
      </c>
      <c r="I444" s="2">
        <v>3118618659</v>
      </c>
      <c r="J444" s="2" t="s">
        <v>44</v>
      </c>
      <c r="K444" s="2" t="s">
        <v>16</v>
      </c>
    </row>
    <row r="445" spans="1:11" ht="14.25" customHeight="1" x14ac:dyDescent="0.35">
      <c r="A445" s="2" t="s">
        <v>516</v>
      </c>
      <c r="B445" s="2" t="s">
        <v>18</v>
      </c>
      <c r="C445" s="2" t="s">
        <v>42</v>
      </c>
      <c r="D445" s="2" t="s">
        <v>135</v>
      </c>
      <c r="F445" s="3">
        <v>45286</v>
      </c>
      <c r="G445" s="3">
        <v>45368</v>
      </c>
      <c r="H445" s="2">
        <v>82</v>
      </c>
      <c r="I445" s="2">
        <v>2916469277</v>
      </c>
      <c r="J445" s="2" t="s">
        <v>26</v>
      </c>
      <c r="K445" s="2" t="s">
        <v>22</v>
      </c>
    </row>
    <row r="446" spans="1:11" ht="14.25" customHeight="1" x14ac:dyDescent="0.35">
      <c r="A446" s="2" t="s">
        <v>517</v>
      </c>
      <c r="B446" s="2" t="s">
        <v>60</v>
      </c>
      <c r="C446" s="2" t="s">
        <v>42</v>
      </c>
      <c r="D446" s="2" t="s">
        <v>154</v>
      </c>
      <c r="F446" s="3">
        <v>44975</v>
      </c>
      <c r="G446" s="3">
        <v>45256</v>
      </c>
      <c r="H446" s="2">
        <v>281</v>
      </c>
      <c r="I446" s="2">
        <v>3034599826</v>
      </c>
      <c r="J446" s="2" t="s">
        <v>21</v>
      </c>
      <c r="K446" s="2" t="s">
        <v>16</v>
      </c>
    </row>
    <row r="447" spans="1:11" ht="14.25" customHeight="1" x14ac:dyDescent="0.35">
      <c r="A447" s="2" t="s">
        <v>518</v>
      </c>
      <c r="B447" s="2" t="s">
        <v>35</v>
      </c>
      <c r="C447" s="2" t="s">
        <v>42</v>
      </c>
      <c r="D447" s="2" t="s">
        <v>69</v>
      </c>
      <c r="E447" s="2">
        <v>1.87</v>
      </c>
      <c r="F447" s="3">
        <v>44946</v>
      </c>
      <c r="G447" s="3">
        <v>45105</v>
      </c>
      <c r="H447" s="2">
        <v>159</v>
      </c>
      <c r="I447" s="2">
        <v>1640651583</v>
      </c>
      <c r="J447" s="2" t="s">
        <v>15</v>
      </c>
      <c r="K447" s="2" t="s">
        <v>22</v>
      </c>
    </row>
    <row r="448" spans="1:11" ht="14.25" customHeight="1" x14ac:dyDescent="0.35">
      <c r="A448" s="2" t="s">
        <v>519</v>
      </c>
      <c r="B448" s="2" t="s">
        <v>18</v>
      </c>
      <c r="C448" s="2" t="s">
        <v>24</v>
      </c>
      <c r="D448" s="2" t="s">
        <v>95</v>
      </c>
      <c r="F448" s="3">
        <v>45125</v>
      </c>
      <c r="G448" s="3">
        <v>45327</v>
      </c>
      <c r="H448" s="2">
        <v>202</v>
      </c>
      <c r="I448" s="2">
        <v>2941417536</v>
      </c>
      <c r="K448" s="2" t="s">
        <v>16</v>
      </c>
    </row>
    <row r="449" spans="1:11" ht="14.25" customHeight="1" x14ac:dyDescent="0.35">
      <c r="A449" s="2" t="s">
        <v>520</v>
      </c>
      <c r="B449" s="2" t="s">
        <v>60</v>
      </c>
      <c r="C449" s="2" t="s">
        <v>36</v>
      </c>
      <c r="D449" s="2" t="s">
        <v>61</v>
      </c>
      <c r="F449" s="3">
        <v>45140</v>
      </c>
      <c r="G449" s="3">
        <v>45473</v>
      </c>
      <c r="H449" s="2">
        <v>333</v>
      </c>
      <c r="I449" s="2">
        <v>4050332377</v>
      </c>
      <c r="J449" s="2" t="s">
        <v>26</v>
      </c>
      <c r="K449" s="2" t="s">
        <v>16</v>
      </c>
    </row>
    <row r="450" spans="1:11" ht="14.25" customHeight="1" x14ac:dyDescent="0.35">
      <c r="A450" s="2" t="s">
        <v>521</v>
      </c>
      <c r="B450" s="2" t="s">
        <v>18</v>
      </c>
      <c r="C450" s="2" t="s">
        <v>48</v>
      </c>
      <c r="D450" s="2" t="s">
        <v>121</v>
      </c>
      <c r="F450" s="3">
        <v>45221</v>
      </c>
      <c r="G450" s="3">
        <v>45307</v>
      </c>
      <c r="H450" s="2">
        <v>86</v>
      </c>
      <c r="I450" s="2">
        <v>1329006371</v>
      </c>
      <c r="J450" s="2" t="s">
        <v>50</v>
      </c>
      <c r="K450" s="2" t="s">
        <v>16</v>
      </c>
    </row>
    <row r="451" spans="1:11" ht="14.25" customHeight="1" x14ac:dyDescent="0.35">
      <c r="A451" s="2" t="s">
        <v>522</v>
      </c>
      <c r="B451" s="2" t="s">
        <v>18</v>
      </c>
      <c r="C451" s="2" t="s">
        <v>36</v>
      </c>
      <c r="D451" s="2" t="s">
        <v>71</v>
      </c>
      <c r="F451" s="3">
        <v>45001</v>
      </c>
      <c r="G451" s="3">
        <v>45173</v>
      </c>
      <c r="H451" s="2">
        <v>172</v>
      </c>
      <c r="I451" s="2">
        <v>699243364</v>
      </c>
      <c r="J451" s="2" t="s">
        <v>50</v>
      </c>
      <c r="K451" s="2" t="s">
        <v>22</v>
      </c>
    </row>
    <row r="452" spans="1:11" ht="14.25" customHeight="1" x14ac:dyDescent="0.35">
      <c r="A452" s="2" t="s">
        <v>523</v>
      </c>
      <c r="B452" s="2" t="s">
        <v>12</v>
      </c>
      <c r="C452" s="2" t="s">
        <v>24</v>
      </c>
      <c r="D452" s="2" t="s">
        <v>25</v>
      </c>
      <c r="E452" s="2">
        <v>32.380000000000003</v>
      </c>
      <c r="F452" s="3">
        <v>45234</v>
      </c>
      <c r="G452" s="3">
        <v>45264</v>
      </c>
      <c r="H452" s="2">
        <v>30</v>
      </c>
      <c r="I452" s="2">
        <v>3221123870</v>
      </c>
      <c r="J452" s="2" t="s">
        <v>44</v>
      </c>
      <c r="K452" s="2" t="s">
        <v>16</v>
      </c>
    </row>
    <row r="453" spans="1:11" ht="14.25" customHeight="1" x14ac:dyDescent="0.35">
      <c r="A453" s="2" t="s">
        <v>524</v>
      </c>
      <c r="B453" s="2" t="s">
        <v>18</v>
      </c>
      <c r="C453" s="2" t="s">
        <v>39</v>
      </c>
      <c r="D453" s="2" t="s">
        <v>53</v>
      </c>
      <c r="F453" s="3">
        <v>45022</v>
      </c>
      <c r="G453" s="3">
        <v>45248</v>
      </c>
      <c r="H453" s="2">
        <v>226</v>
      </c>
      <c r="I453" s="2">
        <v>3025213250</v>
      </c>
      <c r="J453" s="2" t="s">
        <v>67</v>
      </c>
      <c r="K453" s="2" t="s">
        <v>22</v>
      </c>
    </row>
    <row r="454" spans="1:11" ht="14.25" customHeight="1" x14ac:dyDescent="0.35">
      <c r="A454" s="2" t="s">
        <v>525</v>
      </c>
      <c r="B454" s="2" t="s">
        <v>18</v>
      </c>
      <c r="C454" s="2" t="s">
        <v>31</v>
      </c>
      <c r="D454" s="2" t="s">
        <v>74</v>
      </c>
      <c r="F454" s="3">
        <v>45010</v>
      </c>
      <c r="G454" s="3">
        <v>45049</v>
      </c>
      <c r="H454" s="2">
        <v>39</v>
      </c>
      <c r="I454" s="2">
        <v>2380180098</v>
      </c>
      <c r="J454" s="2" t="s">
        <v>26</v>
      </c>
      <c r="K454" s="2" t="s">
        <v>16</v>
      </c>
    </row>
    <row r="455" spans="1:11" ht="14.25" customHeight="1" x14ac:dyDescent="0.35">
      <c r="A455" s="2" t="s">
        <v>526</v>
      </c>
      <c r="B455" s="2" t="s">
        <v>30</v>
      </c>
      <c r="C455" s="2" t="s">
        <v>36</v>
      </c>
      <c r="D455" s="2" t="s">
        <v>93</v>
      </c>
      <c r="F455" s="3">
        <v>45263</v>
      </c>
      <c r="G455" s="3">
        <v>45306</v>
      </c>
      <c r="H455" s="2">
        <v>43</v>
      </c>
      <c r="I455" s="2">
        <v>2796806458</v>
      </c>
      <c r="J455" s="2" t="s">
        <v>44</v>
      </c>
      <c r="K455" s="2" t="s">
        <v>22</v>
      </c>
    </row>
    <row r="456" spans="1:11" ht="14.25" customHeight="1" x14ac:dyDescent="0.35">
      <c r="A456" s="2" t="s">
        <v>527</v>
      </c>
      <c r="B456" s="2" t="s">
        <v>18</v>
      </c>
      <c r="C456" s="2" t="s">
        <v>19</v>
      </c>
      <c r="D456" s="2" t="s">
        <v>20</v>
      </c>
      <c r="F456" s="3">
        <v>45265</v>
      </c>
      <c r="G456" s="3">
        <v>45562</v>
      </c>
      <c r="H456" s="2">
        <v>297</v>
      </c>
      <c r="I456" s="2">
        <v>3809777591</v>
      </c>
      <c r="J456" s="2" t="s">
        <v>33</v>
      </c>
      <c r="K456" s="2" t="s">
        <v>22</v>
      </c>
    </row>
    <row r="457" spans="1:11" ht="14.25" customHeight="1" x14ac:dyDescent="0.35">
      <c r="A457" s="2" t="s">
        <v>528</v>
      </c>
      <c r="B457" s="2" t="s">
        <v>12</v>
      </c>
      <c r="C457" s="2" t="s">
        <v>48</v>
      </c>
      <c r="D457" s="2" t="s">
        <v>171</v>
      </c>
      <c r="E457" s="2">
        <v>32.14</v>
      </c>
      <c r="F457" s="3">
        <v>45266</v>
      </c>
      <c r="G457" s="3">
        <v>45425</v>
      </c>
      <c r="H457" s="2">
        <v>159</v>
      </c>
      <c r="I457" s="2">
        <v>4345181073</v>
      </c>
      <c r="J457" s="2" t="s">
        <v>67</v>
      </c>
      <c r="K457" s="2" t="s">
        <v>16</v>
      </c>
    </row>
    <row r="458" spans="1:11" ht="14.25" customHeight="1" x14ac:dyDescent="0.35">
      <c r="A458" s="2" t="s">
        <v>529</v>
      </c>
      <c r="B458" s="2" t="s">
        <v>30</v>
      </c>
      <c r="C458" s="2" t="s">
        <v>31</v>
      </c>
      <c r="D458" s="2" t="s">
        <v>32</v>
      </c>
      <c r="F458" s="3">
        <v>44996</v>
      </c>
      <c r="G458" s="3">
        <v>45203</v>
      </c>
      <c r="H458" s="2">
        <v>207</v>
      </c>
      <c r="I458" s="2">
        <v>2974114626</v>
      </c>
      <c r="J458" s="2" t="s">
        <v>21</v>
      </c>
      <c r="K458" s="2" t="s">
        <v>16</v>
      </c>
    </row>
    <row r="459" spans="1:11" ht="14.25" customHeight="1" x14ac:dyDescent="0.35">
      <c r="A459" s="2" t="s">
        <v>530</v>
      </c>
      <c r="B459" s="2" t="s">
        <v>60</v>
      </c>
      <c r="C459" s="2" t="s">
        <v>13</v>
      </c>
      <c r="D459" s="2" t="s">
        <v>182</v>
      </c>
      <c r="F459" s="3">
        <v>44996</v>
      </c>
      <c r="G459" s="3">
        <v>45181</v>
      </c>
      <c r="H459" s="2">
        <v>185</v>
      </c>
      <c r="I459" s="2">
        <v>2350386163</v>
      </c>
      <c r="J459" s="2" t="s">
        <v>50</v>
      </c>
      <c r="K459" s="2" t="s">
        <v>22</v>
      </c>
    </row>
    <row r="460" spans="1:11" ht="14.25" customHeight="1" x14ac:dyDescent="0.35">
      <c r="A460" s="2" t="s">
        <v>531</v>
      </c>
      <c r="B460" s="2" t="s">
        <v>35</v>
      </c>
      <c r="C460" s="2" t="s">
        <v>19</v>
      </c>
      <c r="D460" s="2" t="s">
        <v>97</v>
      </c>
      <c r="E460" s="2">
        <v>4.42</v>
      </c>
      <c r="F460" s="3">
        <v>45230</v>
      </c>
      <c r="G460" s="3">
        <v>45310</v>
      </c>
      <c r="H460" s="2">
        <v>80</v>
      </c>
      <c r="I460" s="2">
        <v>1558846110</v>
      </c>
      <c r="J460" s="2" t="s">
        <v>67</v>
      </c>
      <c r="K460" s="2" t="s">
        <v>22</v>
      </c>
    </row>
    <row r="461" spans="1:11" ht="14.25" customHeight="1" x14ac:dyDescent="0.35">
      <c r="A461" s="2" t="s">
        <v>532</v>
      </c>
      <c r="B461" s="2" t="s">
        <v>30</v>
      </c>
      <c r="C461" s="2" t="s">
        <v>42</v>
      </c>
      <c r="D461" s="2" t="s">
        <v>43</v>
      </c>
      <c r="F461" s="3">
        <v>45140</v>
      </c>
      <c r="G461" s="3">
        <v>45487</v>
      </c>
      <c r="H461" s="2">
        <v>347</v>
      </c>
      <c r="I461" s="2">
        <v>3606184174</v>
      </c>
      <c r="J461" s="2" t="s">
        <v>44</v>
      </c>
      <c r="K461" s="2" t="s">
        <v>22</v>
      </c>
    </row>
    <row r="462" spans="1:11" ht="14.25" customHeight="1" x14ac:dyDescent="0.35">
      <c r="A462" s="2" t="s">
        <v>533</v>
      </c>
      <c r="B462" s="2" t="s">
        <v>60</v>
      </c>
      <c r="C462" s="2" t="s">
        <v>42</v>
      </c>
      <c r="D462" s="2" t="s">
        <v>154</v>
      </c>
      <c r="F462" s="3">
        <v>45237</v>
      </c>
      <c r="G462" s="3">
        <v>45413</v>
      </c>
      <c r="H462" s="2">
        <v>176</v>
      </c>
      <c r="I462" s="2">
        <v>3774483706</v>
      </c>
      <c r="J462" s="2" t="s">
        <v>15</v>
      </c>
      <c r="K462" s="2" t="s">
        <v>16</v>
      </c>
    </row>
    <row r="463" spans="1:11" ht="14.25" customHeight="1" x14ac:dyDescent="0.35">
      <c r="A463" s="2" t="s">
        <v>534</v>
      </c>
      <c r="B463" s="2" t="s">
        <v>60</v>
      </c>
      <c r="C463" s="2" t="s">
        <v>24</v>
      </c>
      <c r="D463" s="2" t="s">
        <v>80</v>
      </c>
      <c r="F463" s="3">
        <v>45045</v>
      </c>
      <c r="G463" s="3">
        <v>45150</v>
      </c>
      <c r="H463" s="2">
        <v>105</v>
      </c>
      <c r="I463" s="2">
        <v>3448791185</v>
      </c>
      <c r="J463" s="2" t="s">
        <v>33</v>
      </c>
      <c r="K463" s="2" t="s">
        <v>16</v>
      </c>
    </row>
    <row r="464" spans="1:11" ht="14.25" customHeight="1" x14ac:dyDescent="0.35">
      <c r="A464" s="2" t="s">
        <v>535</v>
      </c>
      <c r="B464" s="2" t="s">
        <v>12</v>
      </c>
      <c r="C464" s="2" t="s">
        <v>19</v>
      </c>
      <c r="D464" s="2" t="s">
        <v>28</v>
      </c>
      <c r="E464" s="2">
        <v>33.380000000000003</v>
      </c>
      <c r="F464" s="3">
        <v>44979</v>
      </c>
      <c r="G464" s="3">
        <v>45058</v>
      </c>
      <c r="H464" s="2">
        <v>79</v>
      </c>
      <c r="I464" s="2">
        <v>3589886462</v>
      </c>
      <c r="J464" s="2" t="s">
        <v>44</v>
      </c>
      <c r="K464" s="2" t="s">
        <v>16</v>
      </c>
    </row>
    <row r="465" spans="1:11" ht="14.25" customHeight="1" x14ac:dyDescent="0.35">
      <c r="A465" s="2" t="s">
        <v>536</v>
      </c>
      <c r="B465" s="2" t="s">
        <v>35</v>
      </c>
      <c r="C465" s="2" t="s">
        <v>13</v>
      </c>
      <c r="D465" s="2" t="s">
        <v>78</v>
      </c>
      <c r="E465" s="2">
        <v>4.34</v>
      </c>
      <c r="F465" s="3">
        <v>45286</v>
      </c>
      <c r="G465" s="3">
        <v>45570</v>
      </c>
      <c r="H465" s="2">
        <v>284</v>
      </c>
      <c r="I465" s="2">
        <v>1664798924</v>
      </c>
      <c r="J465" s="2" t="s">
        <v>50</v>
      </c>
      <c r="K465" s="2" t="s">
        <v>22</v>
      </c>
    </row>
    <row r="466" spans="1:11" ht="14.25" customHeight="1" x14ac:dyDescent="0.35">
      <c r="A466" s="2" t="s">
        <v>537</v>
      </c>
      <c r="B466" s="2" t="s">
        <v>35</v>
      </c>
      <c r="C466" s="2" t="s">
        <v>31</v>
      </c>
      <c r="D466" s="2" t="s">
        <v>91</v>
      </c>
      <c r="E466" s="2">
        <v>4.62</v>
      </c>
      <c r="F466" s="3">
        <v>45074</v>
      </c>
      <c r="G466" s="3">
        <v>45215</v>
      </c>
      <c r="H466" s="2">
        <v>141</v>
      </c>
      <c r="I466" s="2">
        <v>1877425962</v>
      </c>
      <c r="J466" s="2" t="s">
        <v>15</v>
      </c>
      <c r="K466" s="2" t="s">
        <v>16</v>
      </c>
    </row>
    <row r="467" spans="1:11" ht="14.25" customHeight="1" x14ac:dyDescent="0.35">
      <c r="A467" s="2" t="s">
        <v>538</v>
      </c>
      <c r="B467" s="2" t="s">
        <v>60</v>
      </c>
      <c r="C467" s="2" t="s">
        <v>39</v>
      </c>
      <c r="D467" s="2" t="s">
        <v>185</v>
      </c>
      <c r="F467" s="3">
        <v>45131</v>
      </c>
      <c r="G467" s="3">
        <v>45271</v>
      </c>
      <c r="H467" s="2">
        <v>140</v>
      </c>
      <c r="I467" s="2">
        <v>2599801376</v>
      </c>
      <c r="J467" s="2" t="s">
        <v>44</v>
      </c>
      <c r="K467" s="2" t="s">
        <v>22</v>
      </c>
    </row>
    <row r="468" spans="1:11" ht="14.25" customHeight="1" x14ac:dyDescent="0.35">
      <c r="A468" s="2" t="s">
        <v>539</v>
      </c>
      <c r="B468" s="2" t="s">
        <v>30</v>
      </c>
      <c r="C468" s="2" t="s">
        <v>42</v>
      </c>
      <c r="D468" s="2" t="s">
        <v>43</v>
      </c>
      <c r="F468" s="3">
        <v>45090</v>
      </c>
      <c r="G468" s="3">
        <v>45220</v>
      </c>
      <c r="H468" s="2">
        <v>130</v>
      </c>
      <c r="I468" s="2">
        <v>2133270368</v>
      </c>
      <c r="J468" s="2" t="s">
        <v>67</v>
      </c>
      <c r="K468" s="2" t="s">
        <v>16</v>
      </c>
    </row>
    <row r="469" spans="1:11" ht="14.25" customHeight="1" x14ac:dyDescent="0.35">
      <c r="A469" s="2" t="s">
        <v>540</v>
      </c>
      <c r="B469" s="2" t="s">
        <v>35</v>
      </c>
      <c r="C469" s="2" t="s">
        <v>31</v>
      </c>
      <c r="D469" s="2" t="s">
        <v>91</v>
      </c>
      <c r="E469" s="2">
        <v>2.89</v>
      </c>
      <c r="F469" s="3">
        <v>45128</v>
      </c>
      <c r="G469" s="3">
        <v>45492</v>
      </c>
      <c r="H469" s="2">
        <v>364</v>
      </c>
      <c r="I469" s="2">
        <v>2510829740</v>
      </c>
      <c r="J469" s="2" t="s">
        <v>33</v>
      </c>
      <c r="K469" s="2" t="s">
        <v>16</v>
      </c>
    </row>
    <row r="470" spans="1:11" ht="14.25" customHeight="1" x14ac:dyDescent="0.35">
      <c r="A470" s="2" t="s">
        <v>541</v>
      </c>
      <c r="B470" s="2" t="s">
        <v>60</v>
      </c>
      <c r="C470" s="2" t="s">
        <v>48</v>
      </c>
      <c r="D470" s="2" t="s">
        <v>66</v>
      </c>
      <c r="F470" s="3">
        <v>45116</v>
      </c>
      <c r="G470" s="3">
        <v>45350</v>
      </c>
      <c r="H470" s="2">
        <v>234</v>
      </c>
      <c r="I470" s="2">
        <v>4924858410</v>
      </c>
      <c r="J470" s="2" t="s">
        <v>15</v>
      </c>
      <c r="K470" s="2" t="s">
        <v>22</v>
      </c>
    </row>
    <row r="471" spans="1:11" ht="14.25" customHeight="1" x14ac:dyDescent="0.35">
      <c r="A471" s="2" t="s">
        <v>542</v>
      </c>
      <c r="B471" s="2" t="s">
        <v>18</v>
      </c>
      <c r="C471" s="2" t="s">
        <v>31</v>
      </c>
      <c r="D471" s="2" t="s">
        <v>74</v>
      </c>
      <c r="F471" s="3">
        <v>45286</v>
      </c>
      <c r="G471" s="3">
        <v>45044</v>
      </c>
      <c r="H471" s="2">
        <v>-242</v>
      </c>
      <c r="I471" s="2">
        <v>4408514128</v>
      </c>
      <c r="J471" s="2" t="s">
        <v>26</v>
      </c>
      <c r="K471" s="2" t="s">
        <v>16</v>
      </c>
    </row>
    <row r="472" spans="1:11" ht="14.25" customHeight="1" x14ac:dyDescent="0.35">
      <c r="A472" s="2" t="s">
        <v>543</v>
      </c>
      <c r="B472" s="2" t="s">
        <v>35</v>
      </c>
      <c r="C472" s="2" t="s">
        <v>31</v>
      </c>
      <c r="D472" s="2" t="s">
        <v>91</v>
      </c>
      <c r="E472" s="2">
        <v>3.76</v>
      </c>
      <c r="F472" s="3">
        <v>45222</v>
      </c>
      <c r="G472" s="3">
        <v>45341</v>
      </c>
      <c r="H472" s="2">
        <v>119</v>
      </c>
      <c r="I472" s="2">
        <v>2978704235</v>
      </c>
      <c r="J472" s="2" t="s">
        <v>26</v>
      </c>
      <c r="K472" s="2" t="s">
        <v>16</v>
      </c>
    </row>
    <row r="473" spans="1:11" ht="14.25" customHeight="1" x14ac:dyDescent="0.35">
      <c r="A473" s="2" t="s">
        <v>544</v>
      </c>
      <c r="B473" s="2" t="s">
        <v>60</v>
      </c>
      <c r="C473" s="2" t="s">
        <v>42</v>
      </c>
      <c r="D473" s="2" t="s">
        <v>154</v>
      </c>
      <c r="F473" s="3">
        <v>45078</v>
      </c>
      <c r="G473" s="3">
        <v>45220</v>
      </c>
      <c r="H473" s="2">
        <v>142</v>
      </c>
      <c r="I473" s="2">
        <v>3175397973</v>
      </c>
      <c r="K473" s="2" t="s">
        <v>22</v>
      </c>
    </row>
    <row r="474" spans="1:11" ht="14.25" customHeight="1" x14ac:dyDescent="0.35">
      <c r="A474" s="2" t="s">
        <v>545</v>
      </c>
      <c r="B474" s="2" t="s">
        <v>12</v>
      </c>
      <c r="C474" s="2" t="s">
        <v>36</v>
      </c>
      <c r="D474" s="2" t="s">
        <v>46</v>
      </c>
      <c r="E474" s="2">
        <v>22.64</v>
      </c>
      <c r="F474" s="3">
        <v>45008</v>
      </c>
      <c r="G474" s="3">
        <v>45121</v>
      </c>
      <c r="H474" s="2">
        <v>113</v>
      </c>
      <c r="I474" s="2">
        <v>1901580512</v>
      </c>
      <c r="J474" s="2" t="s">
        <v>15</v>
      </c>
      <c r="K474" s="2" t="s">
        <v>22</v>
      </c>
    </row>
    <row r="475" spans="1:11" ht="14.25" customHeight="1" x14ac:dyDescent="0.35">
      <c r="A475" s="2" t="s">
        <v>546</v>
      </c>
      <c r="B475" s="2" t="s">
        <v>60</v>
      </c>
      <c r="C475" s="2" t="s">
        <v>19</v>
      </c>
      <c r="D475" s="2" t="s">
        <v>87</v>
      </c>
      <c r="F475" s="3">
        <v>45285</v>
      </c>
      <c r="G475" s="3">
        <v>45567</v>
      </c>
      <c r="H475" s="2">
        <v>282</v>
      </c>
      <c r="I475" s="2">
        <v>3264449998</v>
      </c>
      <c r="J475" s="2" t="s">
        <v>50</v>
      </c>
      <c r="K475" s="2" t="s">
        <v>16</v>
      </c>
    </row>
    <row r="476" spans="1:11" ht="14.25" customHeight="1" x14ac:dyDescent="0.35">
      <c r="A476" s="2" t="s">
        <v>547</v>
      </c>
      <c r="B476" s="2" t="s">
        <v>18</v>
      </c>
      <c r="C476" s="2" t="s">
        <v>36</v>
      </c>
      <c r="D476" s="2" t="s">
        <v>71</v>
      </c>
      <c r="F476" s="3">
        <v>45284</v>
      </c>
      <c r="G476" s="3">
        <v>45536</v>
      </c>
      <c r="H476" s="2">
        <v>252</v>
      </c>
      <c r="I476" s="2">
        <v>1763975986</v>
      </c>
      <c r="J476" s="2" t="s">
        <v>15</v>
      </c>
      <c r="K476" s="2" t="s">
        <v>16</v>
      </c>
    </row>
    <row r="477" spans="1:11" ht="14.25" customHeight="1" x14ac:dyDescent="0.35">
      <c r="A477" s="2" t="s">
        <v>548</v>
      </c>
      <c r="B477" s="2" t="s">
        <v>30</v>
      </c>
      <c r="C477" s="2" t="s">
        <v>36</v>
      </c>
      <c r="D477" s="2" t="s">
        <v>93</v>
      </c>
      <c r="F477" s="3">
        <v>45113</v>
      </c>
      <c r="G477" s="3">
        <v>45253</v>
      </c>
      <c r="H477" s="2">
        <v>140</v>
      </c>
      <c r="I477" s="2">
        <v>4957028228</v>
      </c>
      <c r="J477" s="2" t="s">
        <v>50</v>
      </c>
      <c r="K477" s="2" t="s">
        <v>22</v>
      </c>
    </row>
    <row r="478" spans="1:11" ht="14.25" customHeight="1" x14ac:dyDescent="0.35">
      <c r="A478" s="2" t="s">
        <v>549</v>
      </c>
      <c r="B478" s="2" t="s">
        <v>18</v>
      </c>
      <c r="C478" s="2" t="s">
        <v>48</v>
      </c>
      <c r="D478" s="2" t="s">
        <v>121</v>
      </c>
      <c r="F478" s="3">
        <v>45202</v>
      </c>
      <c r="G478" s="3">
        <v>45387</v>
      </c>
      <c r="H478" s="2">
        <v>185</v>
      </c>
      <c r="I478" s="2">
        <v>3770486736</v>
      </c>
      <c r="J478" s="2" t="s">
        <v>15</v>
      </c>
      <c r="K478" s="2" t="s">
        <v>16</v>
      </c>
    </row>
    <row r="479" spans="1:11" ht="14.25" customHeight="1" x14ac:dyDescent="0.35">
      <c r="A479" s="2" t="s">
        <v>550</v>
      </c>
      <c r="B479" s="2" t="s">
        <v>18</v>
      </c>
      <c r="C479" s="2" t="s">
        <v>24</v>
      </c>
      <c r="D479" s="2" t="s">
        <v>95</v>
      </c>
      <c r="F479" s="3">
        <v>45143</v>
      </c>
      <c r="G479" s="3">
        <v>45254</v>
      </c>
      <c r="H479" s="2">
        <v>111</v>
      </c>
      <c r="I479" s="2">
        <v>3476318267</v>
      </c>
      <c r="J479" s="2" t="s">
        <v>15</v>
      </c>
      <c r="K479" s="2" t="s">
        <v>22</v>
      </c>
    </row>
    <row r="480" spans="1:11" ht="14.25" customHeight="1" x14ac:dyDescent="0.35">
      <c r="A480" s="2" t="s">
        <v>551</v>
      </c>
      <c r="B480" s="2" t="s">
        <v>35</v>
      </c>
      <c r="C480" s="2" t="s">
        <v>19</v>
      </c>
      <c r="D480" s="2" t="s">
        <v>97</v>
      </c>
      <c r="E480" s="2">
        <v>0.79</v>
      </c>
      <c r="F480" s="3">
        <v>44969</v>
      </c>
      <c r="G480" s="3">
        <v>45030</v>
      </c>
      <c r="H480" s="2">
        <v>61</v>
      </c>
      <c r="I480" s="2">
        <v>3418797400</v>
      </c>
      <c r="J480" s="2" t="s">
        <v>44</v>
      </c>
      <c r="K480" s="2" t="s">
        <v>16</v>
      </c>
    </row>
    <row r="481" spans="1:11" ht="14.25" customHeight="1" x14ac:dyDescent="0.35">
      <c r="A481" s="2" t="s">
        <v>552</v>
      </c>
      <c r="B481" s="2" t="s">
        <v>30</v>
      </c>
      <c r="C481" s="2" t="s">
        <v>13</v>
      </c>
      <c r="D481" s="2" t="s">
        <v>56</v>
      </c>
      <c r="F481" s="3">
        <v>45117</v>
      </c>
      <c r="G481" s="3">
        <v>45156</v>
      </c>
      <c r="H481" s="2">
        <v>39</v>
      </c>
      <c r="I481" s="2">
        <v>3386766731</v>
      </c>
      <c r="J481" s="2" t="s">
        <v>26</v>
      </c>
      <c r="K481" s="2" t="s">
        <v>22</v>
      </c>
    </row>
    <row r="482" spans="1:11" ht="14.25" customHeight="1" x14ac:dyDescent="0.35">
      <c r="A482" s="2" t="s">
        <v>553</v>
      </c>
      <c r="B482" s="2" t="s">
        <v>12</v>
      </c>
      <c r="C482" s="2" t="s">
        <v>42</v>
      </c>
      <c r="D482" s="2" t="s">
        <v>63</v>
      </c>
      <c r="E482" s="2">
        <v>47.53</v>
      </c>
      <c r="F482" s="3">
        <v>45157</v>
      </c>
      <c r="G482" s="3">
        <v>45305</v>
      </c>
      <c r="H482" s="2">
        <v>148</v>
      </c>
      <c r="I482" s="2">
        <v>3753861728</v>
      </c>
      <c r="K482" s="2" t="s">
        <v>16</v>
      </c>
    </row>
    <row r="483" spans="1:11" ht="14.25" customHeight="1" x14ac:dyDescent="0.35">
      <c r="A483" s="2" t="s">
        <v>554</v>
      </c>
      <c r="B483" s="2" t="s">
        <v>30</v>
      </c>
      <c r="C483" s="2" t="s">
        <v>31</v>
      </c>
      <c r="D483" s="2" t="s">
        <v>32</v>
      </c>
      <c r="F483" s="3">
        <v>45098</v>
      </c>
      <c r="G483" s="3">
        <v>45292</v>
      </c>
      <c r="H483" s="2">
        <v>194</v>
      </c>
      <c r="I483" s="2">
        <v>3661371880</v>
      </c>
      <c r="J483" s="2" t="s">
        <v>26</v>
      </c>
      <c r="K483" s="2" t="s">
        <v>22</v>
      </c>
    </row>
    <row r="484" spans="1:11" ht="14.25" customHeight="1" x14ac:dyDescent="0.35">
      <c r="A484" s="2" t="s">
        <v>555</v>
      </c>
      <c r="B484" s="2" t="s">
        <v>60</v>
      </c>
      <c r="C484" s="2" t="s">
        <v>19</v>
      </c>
      <c r="D484" s="2" t="s">
        <v>87</v>
      </c>
      <c r="F484" s="3">
        <v>45283</v>
      </c>
      <c r="G484" s="3">
        <v>45588</v>
      </c>
      <c r="H484" s="2">
        <v>305</v>
      </c>
      <c r="I484" s="2">
        <v>2187637997</v>
      </c>
      <c r="J484" s="2" t="s">
        <v>15</v>
      </c>
      <c r="K484" s="2" t="s">
        <v>16</v>
      </c>
    </row>
    <row r="485" spans="1:11" ht="14.25" customHeight="1" x14ac:dyDescent="0.35">
      <c r="A485" s="2" t="s">
        <v>556</v>
      </c>
      <c r="B485" s="2" t="s">
        <v>60</v>
      </c>
      <c r="C485" s="2" t="s">
        <v>24</v>
      </c>
      <c r="D485" s="2" t="s">
        <v>80</v>
      </c>
      <c r="F485" s="3">
        <v>44927</v>
      </c>
      <c r="G485" s="3">
        <v>45062</v>
      </c>
      <c r="H485" s="2">
        <v>135</v>
      </c>
      <c r="I485" s="2">
        <v>4726372711</v>
      </c>
      <c r="K485" s="2" t="s">
        <v>22</v>
      </c>
    </row>
    <row r="486" spans="1:11" ht="14.25" customHeight="1" x14ac:dyDescent="0.35">
      <c r="A486" s="2" t="s">
        <v>557</v>
      </c>
      <c r="B486" s="2" t="s">
        <v>30</v>
      </c>
      <c r="C486" s="2" t="s">
        <v>24</v>
      </c>
      <c r="D486" s="2" t="s">
        <v>85</v>
      </c>
      <c r="F486" s="3">
        <v>45121</v>
      </c>
      <c r="G486" s="3">
        <v>45161</v>
      </c>
      <c r="H486" s="2">
        <v>40</v>
      </c>
      <c r="I486" s="2">
        <v>1759227411</v>
      </c>
      <c r="J486" s="2" t="s">
        <v>15</v>
      </c>
      <c r="K486" s="2" t="s">
        <v>22</v>
      </c>
    </row>
    <row r="487" spans="1:11" ht="14.25" customHeight="1" x14ac:dyDescent="0.35">
      <c r="A487" s="2" t="s">
        <v>558</v>
      </c>
      <c r="B487" s="2" t="s">
        <v>30</v>
      </c>
      <c r="C487" s="2" t="s">
        <v>13</v>
      </c>
      <c r="D487" s="2" t="s">
        <v>56</v>
      </c>
      <c r="F487" s="3">
        <v>45211</v>
      </c>
      <c r="G487" s="3">
        <v>45297</v>
      </c>
      <c r="H487" s="2">
        <v>86</v>
      </c>
      <c r="I487" s="2">
        <v>4243309922</v>
      </c>
      <c r="K487" s="2" t="s">
        <v>16</v>
      </c>
    </row>
    <row r="488" spans="1:11" ht="14.25" customHeight="1" x14ac:dyDescent="0.35">
      <c r="A488" s="2" t="s">
        <v>559</v>
      </c>
      <c r="B488" s="2" t="s">
        <v>18</v>
      </c>
      <c r="C488" s="2" t="s">
        <v>42</v>
      </c>
      <c r="D488" s="2" t="s">
        <v>135</v>
      </c>
      <c r="F488" s="3">
        <v>45016</v>
      </c>
      <c r="G488" s="3">
        <v>45248</v>
      </c>
      <c r="H488" s="2">
        <v>232</v>
      </c>
      <c r="I488" s="2">
        <v>759851962</v>
      </c>
      <c r="J488" s="2" t="s">
        <v>67</v>
      </c>
      <c r="K488" s="2" t="s">
        <v>16</v>
      </c>
    </row>
    <row r="489" spans="1:11" ht="14.25" customHeight="1" x14ac:dyDescent="0.35">
      <c r="A489" s="2" t="s">
        <v>560</v>
      </c>
      <c r="B489" s="2" t="s">
        <v>35</v>
      </c>
      <c r="C489" s="2" t="s">
        <v>13</v>
      </c>
      <c r="D489" s="2" t="s">
        <v>78</v>
      </c>
      <c r="E489" s="2">
        <v>1.29</v>
      </c>
      <c r="F489" s="3">
        <v>45154</v>
      </c>
      <c r="G489" s="3">
        <v>45341</v>
      </c>
      <c r="H489" s="2">
        <v>187</v>
      </c>
      <c r="I489" s="2">
        <v>3346172318</v>
      </c>
      <c r="J489" s="2" t="s">
        <v>21</v>
      </c>
      <c r="K489" s="2" t="s">
        <v>22</v>
      </c>
    </row>
    <row r="490" spans="1:11" ht="14.25" customHeight="1" x14ac:dyDescent="0.35">
      <c r="A490" s="2" t="s">
        <v>561</v>
      </c>
      <c r="B490" s="2" t="s">
        <v>60</v>
      </c>
      <c r="C490" s="2" t="s">
        <v>19</v>
      </c>
      <c r="D490" s="2" t="s">
        <v>87</v>
      </c>
      <c r="F490" s="3">
        <v>45262</v>
      </c>
      <c r="G490" s="3">
        <v>45620</v>
      </c>
      <c r="H490" s="2">
        <v>358</v>
      </c>
      <c r="I490" s="2">
        <v>3842662557</v>
      </c>
      <c r="J490" s="2" t="s">
        <v>26</v>
      </c>
      <c r="K490" s="2" t="s">
        <v>22</v>
      </c>
    </row>
    <row r="491" spans="1:11" ht="14.25" customHeight="1" x14ac:dyDescent="0.35">
      <c r="A491" s="2" t="s">
        <v>562</v>
      </c>
      <c r="B491" s="2" t="s">
        <v>35</v>
      </c>
      <c r="C491" s="2" t="s">
        <v>39</v>
      </c>
      <c r="D491" s="2" t="s">
        <v>145</v>
      </c>
      <c r="E491" s="2">
        <v>0.21</v>
      </c>
      <c r="F491" s="3">
        <v>44961</v>
      </c>
      <c r="G491" s="3">
        <v>45078</v>
      </c>
      <c r="H491" s="2">
        <v>117</v>
      </c>
      <c r="I491" s="2">
        <v>1717769032</v>
      </c>
      <c r="J491" s="2" t="s">
        <v>44</v>
      </c>
      <c r="K491" s="2" t="s">
        <v>22</v>
      </c>
    </row>
    <row r="492" spans="1:11" ht="14.25" customHeight="1" x14ac:dyDescent="0.35">
      <c r="A492" s="2" t="s">
        <v>563</v>
      </c>
      <c r="B492" s="2" t="s">
        <v>18</v>
      </c>
      <c r="C492" s="2" t="s">
        <v>48</v>
      </c>
      <c r="D492" s="2" t="s">
        <v>121</v>
      </c>
      <c r="F492" s="3">
        <v>44994</v>
      </c>
      <c r="G492" s="3">
        <v>45074</v>
      </c>
      <c r="H492" s="2">
        <v>80</v>
      </c>
      <c r="I492" s="2">
        <v>4895841826</v>
      </c>
      <c r="J492" s="2" t="s">
        <v>50</v>
      </c>
      <c r="K492" s="2" t="s">
        <v>16</v>
      </c>
    </row>
    <row r="493" spans="1:11" ht="14.25" customHeight="1" x14ac:dyDescent="0.35">
      <c r="A493" s="2" t="s">
        <v>564</v>
      </c>
      <c r="B493" s="2" t="s">
        <v>30</v>
      </c>
      <c r="C493" s="2" t="s">
        <v>31</v>
      </c>
      <c r="D493" s="2" t="s">
        <v>32</v>
      </c>
      <c r="F493" s="3">
        <v>44944</v>
      </c>
      <c r="G493" s="3">
        <v>45284</v>
      </c>
      <c r="H493" s="2">
        <v>340</v>
      </c>
      <c r="I493" s="2">
        <v>3377631127</v>
      </c>
      <c r="J493" s="2" t="s">
        <v>26</v>
      </c>
      <c r="K493" s="2" t="s">
        <v>22</v>
      </c>
    </row>
    <row r="494" spans="1:11" ht="14.25" customHeight="1" x14ac:dyDescent="0.35">
      <c r="A494" s="2" t="s">
        <v>565</v>
      </c>
      <c r="B494" s="2" t="s">
        <v>30</v>
      </c>
      <c r="C494" s="2" t="s">
        <v>48</v>
      </c>
      <c r="D494" s="2" t="s">
        <v>101</v>
      </c>
      <c r="F494" s="3">
        <v>45099</v>
      </c>
      <c r="G494" s="3">
        <v>45254</v>
      </c>
      <c r="H494" s="2">
        <v>155</v>
      </c>
      <c r="I494" s="2">
        <v>663542001</v>
      </c>
      <c r="J494" s="2" t="s">
        <v>15</v>
      </c>
      <c r="K494" s="2" t="s">
        <v>16</v>
      </c>
    </row>
    <row r="495" spans="1:11" ht="14.25" customHeight="1" x14ac:dyDescent="0.35">
      <c r="A495" s="2" t="s">
        <v>566</v>
      </c>
      <c r="B495" s="2" t="s">
        <v>12</v>
      </c>
      <c r="C495" s="2" t="s">
        <v>36</v>
      </c>
      <c r="D495" s="2" t="s">
        <v>46</v>
      </c>
      <c r="E495" s="2">
        <v>15.25</v>
      </c>
      <c r="F495" s="3">
        <v>45148</v>
      </c>
      <c r="G495" s="3">
        <v>45259</v>
      </c>
      <c r="H495" s="2">
        <v>111</v>
      </c>
      <c r="I495" s="2">
        <v>3003196759</v>
      </c>
      <c r="J495" s="2" t="s">
        <v>44</v>
      </c>
      <c r="K495" s="2" t="s">
        <v>16</v>
      </c>
    </row>
    <row r="496" spans="1:11" ht="14.25" customHeight="1" x14ac:dyDescent="0.35">
      <c r="A496" s="2" t="s">
        <v>567</v>
      </c>
      <c r="B496" s="2" t="s">
        <v>18</v>
      </c>
      <c r="C496" s="2" t="s">
        <v>36</v>
      </c>
      <c r="D496" s="2" t="s">
        <v>71</v>
      </c>
      <c r="F496" s="3">
        <v>45013</v>
      </c>
      <c r="G496" s="3">
        <v>45095</v>
      </c>
      <c r="H496" s="2">
        <v>82</v>
      </c>
      <c r="I496" s="2">
        <v>3822455475</v>
      </c>
      <c r="J496" s="2" t="s">
        <v>26</v>
      </c>
      <c r="K496" s="2" t="s">
        <v>16</v>
      </c>
    </row>
    <row r="497" spans="1:11" ht="14.25" customHeight="1" x14ac:dyDescent="0.35">
      <c r="A497" s="2" t="s">
        <v>568</v>
      </c>
      <c r="B497" s="2" t="s">
        <v>60</v>
      </c>
      <c r="C497" s="2" t="s">
        <v>13</v>
      </c>
      <c r="D497" s="2" t="s">
        <v>182</v>
      </c>
      <c r="F497" s="3">
        <v>45137</v>
      </c>
      <c r="G497" s="3">
        <v>45248</v>
      </c>
      <c r="H497" s="2">
        <v>111</v>
      </c>
      <c r="I497" s="2">
        <v>649207809</v>
      </c>
      <c r="J497" s="2" t="s">
        <v>21</v>
      </c>
      <c r="K497" s="2" t="s">
        <v>22</v>
      </c>
    </row>
    <row r="498" spans="1:11" ht="14.25" customHeight="1" x14ac:dyDescent="0.35">
      <c r="A498" s="2" t="s">
        <v>569</v>
      </c>
      <c r="B498" s="2" t="s">
        <v>60</v>
      </c>
      <c r="C498" s="2" t="s">
        <v>36</v>
      </c>
      <c r="D498" s="2" t="s">
        <v>61</v>
      </c>
      <c r="F498" s="3">
        <v>45010</v>
      </c>
      <c r="G498" s="3">
        <v>45091</v>
      </c>
      <c r="H498" s="2">
        <v>81</v>
      </c>
      <c r="I498" s="2">
        <v>879010819</v>
      </c>
      <c r="K498" s="2" t="s">
        <v>22</v>
      </c>
    </row>
    <row r="499" spans="1:11" ht="14.25" customHeight="1" x14ac:dyDescent="0.35">
      <c r="A499" s="2" t="s">
        <v>570</v>
      </c>
      <c r="B499" s="2" t="s">
        <v>18</v>
      </c>
      <c r="C499" s="2" t="s">
        <v>24</v>
      </c>
      <c r="D499" s="2" t="s">
        <v>95</v>
      </c>
      <c r="F499" s="3">
        <v>45240</v>
      </c>
      <c r="G499" s="3">
        <v>45346</v>
      </c>
      <c r="H499" s="2">
        <v>106</v>
      </c>
      <c r="I499" s="2">
        <v>777445759</v>
      </c>
      <c r="J499" s="2" t="s">
        <v>50</v>
      </c>
      <c r="K499" s="2" t="s">
        <v>16</v>
      </c>
    </row>
    <row r="500" spans="1:11" ht="14.25" customHeight="1" x14ac:dyDescent="0.35">
      <c r="A500" s="2" t="s">
        <v>571</v>
      </c>
      <c r="B500" s="2" t="s">
        <v>18</v>
      </c>
      <c r="C500" s="2" t="s">
        <v>19</v>
      </c>
      <c r="D500" s="2" t="s">
        <v>20</v>
      </c>
      <c r="F500" s="3">
        <v>45272</v>
      </c>
      <c r="G500" s="3">
        <v>45553</v>
      </c>
      <c r="H500" s="2">
        <v>281</v>
      </c>
      <c r="I500" s="2">
        <v>2086976641</v>
      </c>
      <c r="J500" s="2" t="s">
        <v>50</v>
      </c>
      <c r="K500" s="2" t="s">
        <v>16</v>
      </c>
    </row>
    <row r="501" spans="1:11" ht="14.25" customHeight="1" x14ac:dyDescent="0.35">
      <c r="A501" s="2" t="s">
        <v>572</v>
      </c>
      <c r="B501" s="2" t="s">
        <v>30</v>
      </c>
      <c r="C501" s="2" t="s">
        <v>42</v>
      </c>
      <c r="D501" s="2" t="s">
        <v>43</v>
      </c>
      <c r="F501" s="3">
        <v>45129</v>
      </c>
      <c r="G501" s="3">
        <v>44945</v>
      </c>
      <c r="H501" s="2">
        <v>-184</v>
      </c>
      <c r="I501" s="2">
        <v>663692182</v>
      </c>
      <c r="J501" s="2" t="s">
        <v>67</v>
      </c>
      <c r="K501" s="2" t="s">
        <v>22</v>
      </c>
    </row>
    <row r="502" spans="1:11" ht="14.25" customHeight="1" x14ac:dyDescent="0.35"/>
    <row r="503" spans="1:11" ht="14.25" customHeight="1" x14ac:dyDescent="0.35"/>
    <row r="504" spans="1:11" ht="14.25" customHeight="1" x14ac:dyDescent="0.35"/>
    <row r="505" spans="1:11" ht="14.25" customHeight="1" x14ac:dyDescent="0.35"/>
    <row r="506" spans="1:11" ht="14.25" customHeight="1" x14ac:dyDescent="0.35"/>
    <row r="507" spans="1:11" ht="14.25" customHeight="1" x14ac:dyDescent="0.35"/>
    <row r="508" spans="1:11" ht="14.25" customHeight="1" x14ac:dyDescent="0.35"/>
    <row r="509" spans="1:11" ht="14.25" customHeight="1" x14ac:dyDescent="0.35"/>
    <row r="510" spans="1:11" ht="14.25" customHeight="1" x14ac:dyDescent="0.35"/>
    <row r="511" spans="1:11" ht="14.25" customHeight="1" x14ac:dyDescent="0.35"/>
    <row r="512" spans="1:11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K501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89" sqref="H489"/>
    </sheetView>
  </sheetViews>
  <sheetFormatPr defaultColWidth="14.453125" defaultRowHeight="15" customHeight="1" x14ac:dyDescent="0.35"/>
  <cols>
    <col min="1" max="1" width="13.453125" customWidth="1"/>
    <col min="2" max="2" width="15.26953125" customWidth="1"/>
    <col min="3" max="3" width="9.453125" customWidth="1"/>
    <col min="4" max="4" width="35.54296875" customWidth="1"/>
    <col min="5" max="5" width="16.54296875" customWidth="1"/>
    <col min="6" max="6" width="17.54296875" customWidth="1"/>
    <col min="7" max="7" width="16.54296875" customWidth="1"/>
    <col min="8" max="8" width="30.08984375" customWidth="1"/>
    <col min="9" max="9" width="17.08984375" customWidth="1"/>
    <col min="10" max="10" width="19.54296875" customWidth="1"/>
    <col min="11" max="11" width="13.7265625" customWidth="1"/>
    <col min="12" max="12" width="20.453125" customWidth="1"/>
    <col min="13" max="13" width="20.81640625" customWidth="1"/>
    <col min="14" max="14" width="21.81640625" customWidth="1"/>
    <col min="15" max="15" width="16.54296875" customWidth="1"/>
    <col min="16" max="16" width="17.7265625" customWidth="1"/>
    <col min="17" max="17" width="20.54296875" customWidth="1"/>
    <col min="18" max="18" width="18.08984375" customWidth="1"/>
    <col min="19" max="19" width="17.453125" customWidth="1"/>
    <col min="20" max="22" width="20.7265625" customWidth="1"/>
    <col min="23" max="23" width="21.7265625" customWidth="1"/>
    <col min="24" max="24" width="16.453125" customWidth="1"/>
  </cols>
  <sheetData>
    <row r="1" spans="1:2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8" t="s">
        <v>11</v>
      </c>
      <c r="B2" s="8" t="s">
        <v>35</v>
      </c>
      <c r="C2" s="8" t="s">
        <v>36</v>
      </c>
      <c r="D2" s="8" t="s">
        <v>37</v>
      </c>
      <c r="E2" s="9">
        <v>44927</v>
      </c>
      <c r="F2" s="9">
        <v>44994</v>
      </c>
      <c r="G2" s="10">
        <v>649208256</v>
      </c>
      <c r="H2" s="8" t="s">
        <v>573</v>
      </c>
    </row>
    <row r="3" spans="1:24" ht="14.25" customHeight="1" x14ac:dyDescent="0.35">
      <c r="A3" s="8" t="s">
        <v>574</v>
      </c>
      <c r="B3" s="8" t="s">
        <v>35</v>
      </c>
      <c r="C3" s="8" t="s">
        <v>48</v>
      </c>
      <c r="D3" s="8" t="s">
        <v>49</v>
      </c>
      <c r="E3" s="9">
        <v>45319</v>
      </c>
      <c r="F3" s="9">
        <v>45323</v>
      </c>
      <c r="G3" s="10">
        <v>326999652</v>
      </c>
      <c r="H3" s="8" t="s">
        <v>44</v>
      </c>
    </row>
    <row r="4" spans="1:24" ht="14.25" customHeight="1" x14ac:dyDescent="0.35">
      <c r="A4" s="8" t="s">
        <v>17</v>
      </c>
      <c r="B4" s="8" t="s">
        <v>60</v>
      </c>
      <c r="C4" s="8" t="s">
        <v>24</v>
      </c>
      <c r="D4" s="8" t="s">
        <v>575</v>
      </c>
      <c r="E4" s="9">
        <v>44927</v>
      </c>
      <c r="F4" s="9">
        <v>45062</v>
      </c>
      <c r="G4" s="10">
        <v>3474309188</v>
      </c>
      <c r="H4" s="8" t="s">
        <v>44</v>
      </c>
    </row>
    <row r="5" spans="1:24" ht="14.25" customHeight="1" x14ac:dyDescent="0.35">
      <c r="A5" s="8" t="s">
        <v>576</v>
      </c>
      <c r="B5" s="8" t="s">
        <v>18</v>
      </c>
      <c r="C5" s="8" t="s">
        <v>39</v>
      </c>
      <c r="D5" s="8" t="s">
        <v>577</v>
      </c>
      <c r="E5" s="9">
        <v>45320</v>
      </c>
      <c r="F5" s="9">
        <v>45336</v>
      </c>
      <c r="G5" s="10">
        <v>8587951510</v>
      </c>
      <c r="H5" s="8" t="s">
        <v>44</v>
      </c>
    </row>
    <row r="6" spans="1:24" ht="14.25" customHeight="1" x14ac:dyDescent="0.35">
      <c r="A6" s="8" t="s">
        <v>23</v>
      </c>
      <c r="B6" s="8" t="s">
        <v>12</v>
      </c>
      <c r="C6" s="8" t="s">
        <v>36</v>
      </c>
      <c r="D6" s="8" t="s">
        <v>578</v>
      </c>
      <c r="E6" s="9">
        <v>44928</v>
      </c>
      <c r="F6" s="9">
        <v>45239</v>
      </c>
      <c r="G6" s="10">
        <v>191505827</v>
      </c>
      <c r="H6" s="11"/>
    </row>
    <row r="7" spans="1:24" ht="14.25" customHeight="1" x14ac:dyDescent="0.35">
      <c r="A7" s="8" t="s">
        <v>579</v>
      </c>
      <c r="B7" s="8" t="s">
        <v>18</v>
      </c>
      <c r="C7" s="8" t="s">
        <v>13</v>
      </c>
      <c r="D7" s="8" t="s">
        <v>580</v>
      </c>
      <c r="E7" s="9">
        <v>45323</v>
      </c>
      <c r="F7" s="9">
        <v>45343</v>
      </c>
      <c r="G7" s="10">
        <v>8016851785</v>
      </c>
      <c r="H7" s="8" t="s">
        <v>581</v>
      </c>
    </row>
    <row r="8" spans="1:24" ht="14.25" customHeight="1" x14ac:dyDescent="0.35">
      <c r="A8" s="8" t="s">
        <v>27</v>
      </c>
      <c r="B8" s="8" t="s">
        <v>60</v>
      </c>
      <c r="C8" s="8" t="s">
        <v>13</v>
      </c>
      <c r="D8" s="8" t="s">
        <v>582</v>
      </c>
      <c r="E8" s="9">
        <v>44928</v>
      </c>
      <c r="F8" s="9">
        <v>45006</v>
      </c>
      <c r="G8" s="10">
        <v>3979021821</v>
      </c>
      <c r="H8" s="8" t="s">
        <v>50</v>
      </c>
    </row>
    <row r="9" spans="1:24" ht="14.25" customHeight="1" x14ac:dyDescent="0.35">
      <c r="A9" s="8" t="s">
        <v>583</v>
      </c>
      <c r="B9" s="8" t="s">
        <v>18</v>
      </c>
      <c r="C9" s="8" t="s">
        <v>39</v>
      </c>
      <c r="D9" s="8" t="s">
        <v>577</v>
      </c>
      <c r="E9" s="9">
        <v>45325</v>
      </c>
      <c r="F9" s="12">
        <v>45342</v>
      </c>
      <c r="G9" s="10">
        <v>2153093275</v>
      </c>
      <c r="H9" s="8" t="s">
        <v>581</v>
      </c>
    </row>
    <row r="10" spans="1:24" ht="14.25" customHeight="1" x14ac:dyDescent="0.35">
      <c r="A10" s="8" t="s">
        <v>29</v>
      </c>
      <c r="B10" s="8" t="s">
        <v>35</v>
      </c>
      <c r="C10" s="8" t="s">
        <v>39</v>
      </c>
      <c r="D10" s="8" t="s">
        <v>145</v>
      </c>
      <c r="E10" s="9">
        <v>44928</v>
      </c>
      <c r="F10" s="9">
        <v>45271</v>
      </c>
      <c r="G10" s="10">
        <v>683556997</v>
      </c>
      <c r="H10" s="8" t="s">
        <v>21</v>
      </c>
    </row>
    <row r="11" spans="1:24" ht="14.25" customHeight="1" x14ac:dyDescent="0.35">
      <c r="A11" s="8" t="s">
        <v>584</v>
      </c>
      <c r="B11" s="8" t="s">
        <v>30</v>
      </c>
      <c r="C11" s="8" t="s">
        <v>31</v>
      </c>
      <c r="D11" s="8" t="s">
        <v>585</v>
      </c>
      <c r="E11" s="9">
        <v>45327</v>
      </c>
      <c r="F11" s="9">
        <v>45353</v>
      </c>
      <c r="G11" s="10">
        <v>4636324090</v>
      </c>
      <c r="H11" s="8" t="s">
        <v>573</v>
      </c>
    </row>
    <row r="12" spans="1:24" ht="14.25" customHeight="1" x14ac:dyDescent="0.35">
      <c r="A12" s="8" t="s">
        <v>34</v>
      </c>
      <c r="B12" s="8" t="s">
        <v>35</v>
      </c>
      <c r="C12" s="8" t="s">
        <v>13</v>
      </c>
      <c r="D12" s="8" t="s">
        <v>78</v>
      </c>
      <c r="E12" s="9">
        <v>44929</v>
      </c>
      <c r="F12" s="9">
        <v>45230</v>
      </c>
      <c r="G12" s="10">
        <v>663835414</v>
      </c>
      <c r="H12" s="8" t="s">
        <v>67</v>
      </c>
    </row>
    <row r="13" spans="1:24" ht="14.25" customHeight="1" x14ac:dyDescent="0.35">
      <c r="A13" s="8" t="s">
        <v>586</v>
      </c>
      <c r="B13" s="8" t="s">
        <v>35</v>
      </c>
      <c r="C13" s="8" t="s">
        <v>36</v>
      </c>
      <c r="D13" s="8" t="s">
        <v>37</v>
      </c>
      <c r="E13" s="9">
        <v>45329</v>
      </c>
      <c r="F13" s="9">
        <v>45360</v>
      </c>
      <c r="G13" s="10">
        <v>698540517</v>
      </c>
      <c r="H13" s="8" t="s">
        <v>21</v>
      </c>
    </row>
    <row r="14" spans="1:24" ht="14.25" customHeight="1" x14ac:dyDescent="0.35">
      <c r="A14" s="8" t="s">
        <v>38</v>
      </c>
      <c r="B14" s="8" t="s">
        <v>60</v>
      </c>
      <c r="C14" s="8" t="s">
        <v>42</v>
      </c>
      <c r="D14" s="8" t="s">
        <v>587</v>
      </c>
      <c r="E14" s="9">
        <v>44929</v>
      </c>
      <c r="F14" s="9">
        <v>45261</v>
      </c>
      <c r="G14" s="10">
        <v>2423693734</v>
      </c>
      <c r="H14" s="8" t="s">
        <v>50</v>
      </c>
    </row>
    <row r="15" spans="1:24" ht="14.25" customHeight="1" x14ac:dyDescent="0.35">
      <c r="A15" s="8" t="s">
        <v>588</v>
      </c>
      <c r="B15" s="8" t="s">
        <v>35</v>
      </c>
      <c r="C15" s="8" t="s">
        <v>24</v>
      </c>
      <c r="D15" s="8" t="s">
        <v>133</v>
      </c>
      <c r="E15" s="9">
        <v>45330</v>
      </c>
      <c r="F15" s="9">
        <v>45337</v>
      </c>
      <c r="G15" s="10">
        <v>313131839</v>
      </c>
      <c r="H15" s="8" t="s">
        <v>50</v>
      </c>
    </row>
    <row r="16" spans="1:24" ht="14.25" customHeight="1" x14ac:dyDescent="0.35">
      <c r="A16" s="8" t="s">
        <v>41</v>
      </c>
      <c r="B16" s="8" t="s">
        <v>12</v>
      </c>
      <c r="C16" s="8" t="s">
        <v>36</v>
      </c>
      <c r="D16" s="8" t="s">
        <v>578</v>
      </c>
      <c r="E16" s="9">
        <v>44929</v>
      </c>
      <c r="F16" s="9">
        <v>45041</v>
      </c>
      <c r="G16" s="10">
        <v>281077623</v>
      </c>
      <c r="H16" s="8" t="s">
        <v>581</v>
      </c>
    </row>
    <row r="17" spans="1:8" ht="14.25" customHeight="1" x14ac:dyDescent="0.35">
      <c r="A17" s="8" t="s">
        <v>589</v>
      </c>
      <c r="B17" s="8" t="s">
        <v>30</v>
      </c>
      <c r="C17" s="8" t="s">
        <v>39</v>
      </c>
      <c r="D17" s="8" t="s">
        <v>590</v>
      </c>
      <c r="E17" s="9">
        <v>45330</v>
      </c>
      <c r="F17" s="9">
        <v>45386</v>
      </c>
      <c r="G17" s="10">
        <v>921085536</v>
      </c>
      <c r="H17" s="8" t="s">
        <v>67</v>
      </c>
    </row>
    <row r="18" spans="1:8" ht="14.25" customHeight="1" x14ac:dyDescent="0.35">
      <c r="A18" s="8" t="s">
        <v>45</v>
      </c>
      <c r="B18" s="8" t="s">
        <v>12</v>
      </c>
      <c r="C18" s="8" t="s">
        <v>39</v>
      </c>
      <c r="D18" s="8" t="s">
        <v>591</v>
      </c>
      <c r="E18" s="9">
        <v>44930</v>
      </c>
      <c r="F18" s="9">
        <v>45182</v>
      </c>
      <c r="G18" s="10">
        <v>241214887</v>
      </c>
      <c r="H18" s="8" t="s">
        <v>67</v>
      </c>
    </row>
    <row r="19" spans="1:8" ht="14.25" customHeight="1" x14ac:dyDescent="0.35">
      <c r="A19" s="8" t="s">
        <v>592</v>
      </c>
      <c r="B19" s="8" t="s">
        <v>35</v>
      </c>
      <c r="C19" s="8" t="s">
        <v>36</v>
      </c>
      <c r="D19" s="8" t="s">
        <v>37</v>
      </c>
      <c r="E19" s="9">
        <v>45334</v>
      </c>
      <c r="F19" s="9">
        <v>45351</v>
      </c>
      <c r="G19" s="10">
        <v>425861681</v>
      </c>
      <c r="H19" s="8" t="s">
        <v>50</v>
      </c>
    </row>
    <row r="20" spans="1:8" ht="14.25" customHeight="1" x14ac:dyDescent="0.35">
      <c r="A20" s="8" t="s">
        <v>47</v>
      </c>
      <c r="B20" s="8" t="s">
        <v>12</v>
      </c>
      <c r="C20" s="8" t="s">
        <v>31</v>
      </c>
      <c r="D20" s="8" t="s">
        <v>593</v>
      </c>
      <c r="E20" s="9">
        <v>44930</v>
      </c>
      <c r="F20" s="9">
        <v>45244</v>
      </c>
      <c r="G20" s="10">
        <v>749126801</v>
      </c>
      <c r="H20" s="8" t="s">
        <v>573</v>
      </c>
    </row>
    <row r="21" spans="1:8" ht="14.25" customHeight="1" x14ac:dyDescent="0.35">
      <c r="A21" s="8" t="s">
        <v>594</v>
      </c>
      <c r="B21" s="8" t="s">
        <v>30</v>
      </c>
      <c r="C21" s="8" t="s">
        <v>31</v>
      </c>
      <c r="D21" s="8" t="s">
        <v>595</v>
      </c>
      <c r="E21" s="9">
        <v>45335</v>
      </c>
      <c r="F21" s="9">
        <v>45386</v>
      </c>
      <c r="G21" s="10">
        <v>6584342537</v>
      </c>
      <c r="H21" s="8" t="s">
        <v>581</v>
      </c>
    </row>
    <row r="22" spans="1:8" ht="14.25" customHeight="1" x14ac:dyDescent="0.35">
      <c r="A22" s="8" t="s">
        <v>51</v>
      </c>
      <c r="B22" s="8" t="s">
        <v>35</v>
      </c>
      <c r="C22" s="8" t="s">
        <v>24</v>
      </c>
      <c r="D22" s="8" t="s">
        <v>133</v>
      </c>
      <c r="E22" s="9">
        <v>44931</v>
      </c>
      <c r="F22" s="9">
        <v>44968</v>
      </c>
      <c r="G22" s="10">
        <v>536495065</v>
      </c>
      <c r="H22" s="8" t="s">
        <v>44</v>
      </c>
    </row>
    <row r="23" spans="1:8" ht="14.25" customHeight="1" x14ac:dyDescent="0.35">
      <c r="A23" s="8" t="s">
        <v>596</v>
      </c>
      <c r="B23" s="8" t="s">
        <v>60</v>
      </c>
      <c r="C23" s="8" t="s">
        <v>36</v>
      </c>
      <c r="D23" s="8" t="s">
        <v>597</v>
      </c>
      <c r="E23" s="9">
        <v>45336</v>
      </c>
      <c r="F23" s="9">
        <v>45336</v>
      </c>
      <c r="G23" s="10">
        <v>3981092285</v>
      </c>
      <c r="H23" s="8" t="s">
        <v>50</v>
      </c>
    </row>
    <row r="24" spans="1:8" ht="14.25" customHeight="1" x14ac:dyDescent="0.35">
      <c r="A24" s="8" t="s">
        <v>52</v>
      </c>
      <c r="B24" s="8" t="s">
        <v>35</v>
      </c>
      <c r="C24" s="8" t="s">
        <v>42</v>
      </c>
      <c r="D24" s="8" t="s">
        <v>69</v>
      </c>
      <c r="E24" s="9">
        <v>44932</v>
      </c>
      <c r="F24" s="9">
        <v>45108</v>
      </c>
      <c r="G24" s="10">
        <v>341629572</v>
      </c>
      <c r="H24" s="8" t="s">
        <v>44</v>
      </c>
    </row>
    <row r="25" spans="1:8" ht="14.25" customHeight="1" x14ac:dyDescent="0.35">
      <c r="A25" s="8" t="s">
        <v>598</v>
      </c>
      <c r="B25" s="8" t="s">
        <v>35</v>
      </c>
      <c r="C25" s="8" t="s">
        <v>13</v>
      </c>
      <c r="D25" s="8" t="s">
        <v>78</v>
      </c>
      <c r="E25" s="9">
        <v>45337</v>
      </c>
      <c r="F25" s="9">
        <v>45342</v>
      </c>
      <c r="G25" s="10">
        <v>603837273</v>
      </c>
      <c r="H25" s="8" t="s">
        <v>67</v>
      </c>
    </row>
    <row r="26" spans="1:8" ht="14.25" customHeight="1" x14ac:dyDescent="0.35">
      <c r="A26" s="8" t="s">
        <v>54</v>
      </c>
      <c r="B26" s="8" t="s">
        <v>60</v>
      </c>
      <c r="C26" s="8" t="s">
        <v>31</v>
      </c>
      <c r="D26" s="8" t="s">
        <v>599</v>
      </c>
      <c r="E26" s="9">
        <v>44935</v>
      </c>
      <c r="F26" s="9">
        <v>44971</v>
      </c>
      <c r="G26" s="10">
        <v>4534202846</v>
      </c>
      <c r="H26" s="8" t="s">
        <v>44</v>
      </c>
    </row>
    <row r="27" spans="1:8" ht="14.25" customHeight="1" x14ac:dyDescent="0.35">
      <c r="A27" s="8" t="s">
        <v>600</v>
      </c>
      <c r="B27" s="8" t="s">
        <v>35</v>
      </c>
      <c r="C27" s="8" t="s">
        <v>42</v>
      </c>
      <c r="D27" s="8" t="s">
        <v>69</v>
      </c>
      <c r="E27" s="9">
        <v>45338</v>
      </c>
      <c r="F27" s="9">
        <v>45346</v>
      </c>
      <c r="G27" s="10">
        <v>257898943</v>
      </c>
      <c r="H27" s="8" t="s">
        <v>581</v>
      </c>
    </row>
    <row r="28" spans="1:8" ht="14.25" customHeight="1" x14ac:dyDescent="0.35">
      <c r="A28" s="8" t="s">
        <v>55</v>
      </c>
      <c r="B28" s="8" t="s">
        <v>35</v>
      </c>
      <c r="C28" s="8" t="s">
        <v>42</v>
      </c>
      <c r="D28" s="8" t="s">
        <v>69</v>
      </c>
      <c r="E28" s="9">
        <v>44936</v>
      </c>
      <c r="F28" s="9">
        <v>45295</v>
      </c>
      <c r="G28" s="10">
        <v>489065831</v>
      </c>
      <c r="H28" s="8" t="s">
        <v>21</v>
      </c>
    </row>
    <row r="29" spans="1:8" ht="14.25" customHeight="1" x14ac:dyDescent="0.35">
      <c r="A29" s="8" t="s">
        <v>601</v>
      </c>
      <c r="B29" s="8" t="s">
        <v>12</v>
      </c>
      <c r="C29" s="8" t="s">
        <v>48</v>
      </c>
      <c r="D29" s="8" t="s">
        <v>602</v>
      </c>
      <c r="E29" s="9">
        <v>45339</v>
      </c>
      <c r="F29" s="9">
        <v>45379</v>
      </c>
      <c r="G29" s="10">
        <v>545662746</v>
      </c>
      <c r="H29" s="8" t="s">
        <v>21</v>
      </c>
    </row>
    <row r="30" spans="1:8" ht="14.25" customHeight="1" x14ac:dyDescent="0.35">
      <c r="A30" s="8" t="s">
        <v>57</v>
      </c>
      <c r="B30" s="8" t="s">
        <v>12</v>
      </c>
      <c r="C30" s="8" t="s">
        <v>42</v>
      </c>
      <c r="D30" s="8" t="s">
        <v>603</v>
      </c>
      <c r="E30" s="9">
        <v>44938</v>
      </c>
      <c r="F30" s="9">
        <v>44985</v>
      </c>
      <c r="G30" s="10">
        <v>486357978</v>
      </c>
      <c r="H30" s="11"/>
    </row>
    <row r="31" spans="1:8" ht="14.25" customHeight="1" x14ac:dyDescent="0.35">
      <c r="A31" s="8" t="s">
        <v>604</v>
      </c>
      <c r="B31" s="8" t="s">
        <v>12</v>
      </c>
      <c r="C31" s="8" t="s">
        <v>48</v>
      </c>
      <c r="D31" s="8" t="s">
        <v>602</v>
      </c>
      <c r="E31" s="9">
        <v>45340</v>
      </c>
      <c r="F31" s="9">
        <v>45371</v>
      </c>
      <c r="G31" s="10">
        <v>810414368</v>
      </c>
      <c r="H31" s="8" t="s">
        <v>33</v>
      </c>
    </row>
    <row r="32" spans="1:8" ht="14.25" customHeight="1" x14ac:dyDescent="0.35">
      <c r="A32" s="8" t="s">
        <v>59</v>
      </c>
      <c r="B32" s="8" t="s">
        <v>12</v>
      </c>
      <c r="C32" s="8" t="s">
        <v>13</v>
      </c>
      <c r="D32" s="8" t="s">
        <v>605</v>
      </c>
      <c r="E32" s="9">
        <v>44938</v>
      </c>
      <c r="F32" s="9">
        <v>45262</v>
      </c>
      <c r="G32" s="10">
        <v>341929482</v>
      </c>
      <c r="H32" s="8" t="s">
        <v>581</v>
      </c>
    </row>
    <row r="33" spans="1:8" ht="14.25" customHeight="1" x14ac:dyDescent="0.35">
      <c r="A33" s="8" t="s">
        <v>606</v>
      </c>
      <c r="B33" s="8" t="s">
        <v>12</v>
      </c>
      <c r="C33" s="8" t="s">
        <v>31</v>
      </c>
      <c r="D33" s="8" t="s">
        <v>593</v>
      </c>
      <c r="E33" s="9">
        <v>45341</v>
      </c>
      <c r="F33" s="9">
        <v>45388</v>
      </c>
      <c r="G33" s="10">
        <v>599466235</v>
      </c>
      <c r="H33" s="8" t="s">
        <v>581</v>
      </c>
    </row>
    <row r="34" spans="1:8" ht="14.25" customHeight="1" x14ac:dyDescent="0.35">
      <c r="A34" s="8" t="s">
        <v>62</v>
      </c>
      <c r="B34" s="8" t="s">
        <v>18</v>
      </c>
      <c r="C34" s="8" t="s">
        <v>13</v>
      </c>
      <c r="D34" s="8" t="s">
        <v>580</v>
      </c>
      <c r="E34" s="9">
        <v>44939</v>
      </c>
      <c r="F34" s="9">
        <v>45185</v>
      </c>
      <c r="G34" s="10">
        <v>4929333305</v>
      </c>
      <c r="H34" s="8" t="s">
        <v>581</v>
      </c>
    </row>
    <row r="35" spans="1:8" ht="14.25" customHeight="1" x14ac:dyDescent="0.35">
      <c r="A35" s="8" t="s">
        <v>607</v>
      </c>
      <c r="B35" s="8" t="s">
        <v>35</v>
      </c>
      <c r="C35" s="8" t="s">
        <v>36</v>
      </c>
      <c r="D35" s="8" t="s">
        <v>37</v>
      </c>
      <c r="E35" s="9">
        <v>45341</v>
      </c>
      <c r="F35" s="9">
        <v>45350</v>
      </c>
      <c r="G35" s="10">
        <v>333089653</v>
      </c>
      <c r="H35" s="8" t="s">
        <v>67</v>
      </c>
    </row>
    <row r="36" spans="1:8" ht="14.25" customHeight="1" x14ac:dyDescent="0.35">
      <c r="A36" s="8" t="s">
        <v>64</v>
      </c>
      <c r="B36" s="8" t="s">
        <v>35</v>
      </c>
      <c r="C36" s="8" t="s">
        <v>13</v>
      </c>
      <c r="D36" s="8" t="s">
        <v>78</v>
      </c>
      <c r="E36" s="9">
        <v>44940</v>
      </c>
      <c r="F36" s="9">
        <v>45043</v>
      </c>
      <c r="G36" s="10">
        <v>523689841</v>
      </c>
      <c r="H36" s="8" t="s">
        <v>50</v>
      </c>
    </row>
    <row r="37" spans="1:8" ht="14.25" customHeight="1" x14ac:dyDescent="0.35">
      <c r="A37" s="8" t="s">
        <v>608</v>
      </c>
      <c r="B37" s="8" t="s">
        <v>60</v>
      </c>
      <c r="C37" s="8" t="s">
        <v>36</v>
      </c>
      <c r="D37" s="8" t="s">
        <v>597</v>
      </c>
      <c r="E37" s="9">
        <v>45341</v>
      </c>
      <c r="F37" s="9">
        <v>45406</v>
      </c>
      <c r="G37" s="10">
        <v>3757312666</v>
      </c>
      <c r="H37" s="8" t="s">
        <v>67</v>
      </c>
    </row>
    <row r="38" spans="1:8" ht="14.25" customHeight="1" x14ac:dyDescent="0.35">
      <c r="A38" s="8" t="s">
        <v>65</v>
      </c>
      <c r="B38" s="8" t="s">
        <v>60</v>
      </c>
      <c r="C38" s="8" t="s">
        <v>42</v>
      </c>
      <c r="D38" s="8" t="s">
        <v>587</v>
      </c>
      <c r="E38" s="9">
        <v>44940</v>
      </c>
      <c r="F38" s="9">
        <v>45206</v>
      </c>
      <c r="G38" s="10">
        <v>3894709817</v>
      </c>
      <c r="H38" s="8" t="s">
        <v>581</v>
      </c>
    </row>
    <row r="39" spans="1:8" ht="14.25" customHeight="1" x14ac:dyDescent="0.35">
      <c r="A39" s="8" t="s">
        <v>609</v>
      </c>
      <c r="B39" s="8" t="s">
        <v>12</v>
      </c>
      <c r="C39" s="8" t="s">
        <v>24</v>
      </c>
      <c r="D39" s="8" t="s">
        <v>610</v>
      </c>
      <c r="E39" s="9">
        <v>45343</v>
      </c>
      <c r="F39" s="9">
        <v>45382</v>
      </c>
      <c r="G39" s="10">
        <v>462876320</v>
      </c>
      <c r="H39" s="11"/>
    </row>
    <row r="40" spans="1:8" ht="14.25" customHeight="1" x14ac:dyDescent="0.35">
      <c r="A40" s="8" t="s">
        <v>68</v>
      </c>
      <c r="B40" s="8" t="s">
        <v>30</v>
      </c>
      <c r="C40" s="8" t="s">
        <v>39</v>
      </c>
      <c r="D40" s="8" t="s">
        <v>590</v>
      </c>
      <c r="E40" s="9">
        <v>44941</v>
      </c>
      <c r="F40" s="9">
        <v>45188</v>
      </c>
      <c r="G40" s="10">
        <v>4532376815</v>
      </c>
      <c r="H40" s="8" t="s">
        <v>50</v>
      </c>
    </row>
    <row r="41" spans="1:8" ht="14.25" customHeight="1" x14ac:dyDescent="0.35">
      <c r="A41" s="8" t="s">
        <v>611</v>
      </c>
      <c r="B41" s="8" t="s">
        <v>30</v>
      </c>
      <c r="C41" s="8" t="s">
        <v>24</v>
      </c>
      <c r="D41" s="8" t="s">
        <v>612</v>
      </c>
      <c r="E41" s="9">
        <v>45346</v>
      </c>
      <c r="F41" s="9">
        <v>45398</v>
      </c>
      <c r="G41" s="10">
        <v>3821117140</v>
      </c>
      <c r="H41" s="8" t="s">
        <v>50</v>
      </c>
    </row>
    <row r="42" spans="1:8" ht="14.25" customHeight="1" x14ac:dyDescent="0.35">
      <c r="A42" s="8" t="s">
        <v>70</v>
      </c>
      <c r="B42" s="8" t="s">
        <v>60</v>
      </c>
      <c r="C42" s="8" t="s">
        <v>31</v>
      </c>
      <c r="D42" s="8" t="s">
        <v>613</v>
      </c>
      <c r="E42" s="9">
        <v>44941</v>
      </c>
      <c r="F42" s="9">
        <v>45290</v>
      </c>
      <c r="G42" s="10">
        <v>4159855566</v>
      </c>
      <c r="H42" s="8" t="s">
        <v>33</v>
      </c>
    </row>
    <row r="43" spans="1:8" ht="14.25" customHeight="1" x14ac:dyDescent="0.35">
      <c r="A43" s="8" t="s">
        <v>72</v>
      </c>
      <c r="B43" s="8" t="s">
        <v>30</v>
      </c>
      <c r="C43" s="8" t="s">
        <v>36</v>
      </c>
      <c r="D43" s="8" t="s">
        <v>614</v>
      </c>
      <c r="E43" s="9">
        <v>44941</v>
      </c>
      <c r="F43" s="9">
        <v>45095</v>
      </c>
      <c r="G43" s="10">
        <v>4492886828</v>
      </c>
      <c r="H43" s="8" t="s">
        <v>50</v>
      </c>
    </row>
    <row r="44" spans="1:8" ht="14.25" customHeight="1" x14ac:dyDescent="0.35">
      <c r="A44" s="8" t="s">
        <v>73</v>
      </c>
      <c r="B44" s="8" t="s">
        <v>30</v>
      </c>
      <c r="C44" s="8" t="s">
        <v>48</v>
      </c>
      <c r="D44" s="8" t="s">
        <v>615</v>
      </c>
      <c r="E44" s="9">
        <v>44942</v>
      </c>
      <c r="F44" s="9">
        <v>45034</v>
      </c>
      <c r="G44" s="10">
        <v>1424729417</v>
      </c>
      <c r="H44" s="8" t="s">
        <v>581</v>
      </c>
    </row>
    <row r="45" spans="1:8" ht="14.25" customHeight="1" x14ac:dyDescent="0.35">
      <c r="A45" s="8" t="s">
        <v>75</v>
      </c>
      <c r="B45" s="8" t="s">
        <v>30</v>
      </c>
      <c r="C45" s="8" t="s">
        <v>31</v>
      </c>
      <c r="D45" s="8" t="s">
        <v>595</v>
      </c>
      <c r="E45" s="9">
        <v>44943</v>
      </c>
      <c r="F45" s="9">
        <v>45027</v>
      </c>
      <c r="G45" s="10">
        <v>1425616276</v>
      </c>
      <c r="H45" s="8" t="s">
        <v>44</v>
      </c>
    </row>
    <row r="46" spans="1:8" ht="14.25" customHeight="1" x14ac:dyDescent="0.35">
      <c r="A46" s="8" t="s">
        <v>76</v>
      </c>
      <c r="B46" s="8" t="s">
        <v>12</v>
      </c>
      <c r="C46" s="8" t="s">
        <v>36</v>
      </c>
      <c r="D46" s="8" t="s">
        <v>578</v>
      </c>
      <c r="E46" s="9">
        <v>44943</v>
      </c>
      <c r="F46" s="9">
        <v>45136</v>
      </c>
      <c r="G46" s="10">
        <v>307413755</v>
      </c>
      <c r="H46" s="8" t="s">
        <v>44</v>
      </c>
    </row>
    <row r="47" spans="1:8" ht="14.25" customHeight="1" x14ac:dyDescent="0.35">
      <c r="A47" s="8" t="s">
        <v>77</v>
      </c>
      <c r="B47" s="8" t="s">
        <v>30</v>
      </c>
      <c r="C47" s="8" t="s">
        <v>31</v>
      </c>
      <c r="D47" s="8" t="s">
        <v>595</v>
      </c>
      <c r="E47" s="9">
        <v>44944</v>
      </c>
      <c r="F47" s="9">
        <v>45113</v>
      </c>
      <c r="G47" s="10">
        <v>6929733135</v>
      </c>
      <c r="H47" s="8" t="s">
        <v>33</v>
      </c>
    </row>
    <row r="48" spans="1:8" ht="14.25" customHeight="1" x14ac:dyDescent="0.35">
      <c r="A48" s="8" t="s">
        <v>79</v>
      </c>
      <c r="B48" s="8" t="s">
        <v>30</v>
      </c>
      <c r="C48" s="8" t="s">
        <v>31</v>
      </c>
      <c r="D48" s="8" t="s">
        <v>585</v>
      </c>
      <c r="E48" s="9">
        <v>44944</v>
      </c>
      <c r="F48" s="9">
        <v>45284</v>
      </c>
      <c r="G48" s="10">
        <v>1567712170</v>
      </c>
      <c r="H48" s="8" t="s">
        <v>581</v>
      </c>
    </row>
    <row r="49" spans="1:8" ht="14.25" customHeight="1" x14ac:dyDescent="0.35">
      <c r="A49" s="8" t="s">
        <v>81</v>
      </c>
      <c r="B49" s="8" t="s">
        <v>30</v>
      </c>
      <c r="C49" s="8" t="s">
        <v>39</v>
      </c>
      <c r="D49" s="8" t="s">
        <v>590</v>
      </c>
      <c r="E49" s="9">
        <v>44945</v>
      </c>
      <c r="F49" s="9">
        <v>45037</v>
      </c>
      <c r="G49" s="10">
        <v>3020860458</v>
      </c>
      <c r="H49" s="8" t="s">
        <v>581</v>
      </c>
    </row>
    <row r="50" spans="1:8" ht="14.25" customHeight="1" x14ac:dyDescent="0.35">
      <c r="A50" s="8" t="s">
        <v>82</v>
      </c>
      <c r="B50" s="8" t="s">
        <v>35</v>
      </c>
      <c r="C50" s="8" t="s">
        <v>42</v>
      </c>
      <c r="D50" s="8" t="s">
        <v>69</v>
      </c>
      <c r="E50" s="9">
        <v>44946</v>
      </c>
      <c r="F50" s="9">
        <v>45105</v>
      </c>
      <c r="G50" s="10">
        <v>443234047</v>
      </c>
      <c r="H50" s="8" t="s">
        <v>573</v>
      </c>
    </row>
    <row r="51" spans="1:8" ht="14.25" customHeight="1" x14ac:dyDescent="0.35">
      <c r="A51" s="8" t="s">
        <v>84</v>
      </c>
      <c r="B51" s="8" t="s">
        <v>60</v>
      </c>
      <c r="C51" s="8" t="s">
        <v>19</v>
      </c>
      <c r="D51" s="8" t="s">
        <v>616</v>
      </c>
      <c r="E51" s="9">
        <v>44947</v>
      </c>
      <c r="F51" s="9">
        <v>45177</v>
      </c>
      <c r="G51" s="10">
        <v>4609627000</v>
      </c>
      <c r="H51" s="8" t="s">
        <v>33</v>
      </c>
    </row>
    <row r="52" spans="1:8" ht="14.25" customHeight="1" x14ac:dyDescent="0.35">
      <c r="A52" s="8" t="s">
        <v>86</v>
      </c>
      <c r="B52" s="8" t="s">
        <v>12</v>
      </c>
      <c r="C52" s="8" t="s">
        <v>36</v>
      </c>
      <c r="D52" s="8" t="s">
        <v>578</v>
      </c>
      <c r="E52" s="9">
        <v>44948</v>
      </c>
      <c r="F52" s="9">
        <v>45054</v>
      </c>
      <c r="G52" s="10">
        <v>995204213</v>
      </c>
      <c r="H52" s="8" t="s">
        <v>581</v>
      </c>
    </row>
    <row r="53" spans="1:8" ht="14.25" customHeight="1" x14ac:dyDescent="0.35">
      <c r="A53" s="8" t="s">
        <v>88</v>
      </c>
      <c r="B53" s="8" t="s">
        <v>60</v>
      </c>
      <c r="C53" s="8" t="s">
        <v>42</v>
      </c>
      <c r="D53" s="8" t="s">
        <v>617</v>
      </c>
      <c r="E53" s="9">
        <v>44949</v>
      </c>
      <c r="F53" s="9">
        <v>45041</v>
      </c>
      <c r="G53" s="10">
        <v>3867579335</v>
      </c>
      <c r="H53" s="8" t="s">
        <v>50</v>
      </c>
    </row>
    <row r="54" spans="1:8" ht="14.25" customHeight="1" x14ac:dyDescent="0.35">
      <c r="A54" s="8" t="s">
        <v>89</v>
      </c>
      <c r="B54" s="8" t="s">
        <v>18</v>
      </c>
      <c r="C54" s="8" t="s">
        <v>24</v>
      </c>
      <c r="D54" s="8" t="s">
        <v>618</v>
      </c>
      <c r="E54" s="9">
        <v>44949</v>
      </c>
      <c r="F54" s="9">
        <v>44986</v>
      </c>
      <c r="G54" s="10">
        <v>8428412586</v>
      </c>
      <c r="H54" s="8" t="s">
        <v>573</v>
      </c>
    </row>
    <row r="55" spans="1:8" ht="14.25" customHeight="1" x14ac:dyDescent="0.35">
      <c r="A55" s="8" t="s">
        <v>90</v>
      </c>
      <c r="B55" s="8" t="s">
        <v>60</v>
      </c>
      <c r="C55" s="8" t="s">
        <v>13</v>
      </c>
      <c r="D55" s="8" t="s">
        <v>619</v>
      </c>
      <c r="E55" s="9">
        <v>44950</v>
      </c>
      <c r="F55" s="9">
        <v>45078</v>
      </c>
      <c r="G55" s="10">
        <v>2004784321</v>
      </c>
      <c r="H55" s="8" t="s">
        <v>21</v>
      </c>
    </row>
    <row r="56" spans="1:8" ht="14.25" customHeight="1" x14ac:dyDescent="0.35">
      <c r="A56" s="8" t="s">
        <v>92</v>
      </c>
      <c r="B56" s="8" t="s">
        <v>30</v>
      </c>
      <c r="C56" s="8" t="s">
        <v>48</v>
      </c>
      <c r="D56" s="8" t="s">
        <v>620</v>
      </c>
      <c r="E56" s="9">
        <v>44950</v>
      </c>
      <c r="F56" s="9">
        <v>45023</v>
      </c>
      <c r="G56" s="10">
        <v>2364631347</v>
      </c>
      <c r="H56" s="8" t="s">
        <v>44</v>
      </c>
    </row>
    <row r="57" spans="1:8" ht="14.25" customHeight="1" x14ac:dyDescent="0.35">
      <c r="A57" s="8" t="s">
        <v>94</v>
      </c>
      <c r="B57" s="8" t="s">
        <v>30</v>
      </c>
      <c r="C57" s="8" t="s">
        <v>31</v>
      </c>
      <c r="D57" s="8" t="s">
        <v>585</v>
      </c>
      <c r="E57" s="9">
        <v>44951</v>
      </c>
      <c r="F57" s="9">
        <v>45187</v>
      </c>
      <c r="G57" s="10">
        <v>7177546505</v>
      </c>
      <c r="H57" s="8" t="s">
        <v>21</v>
      </c>
    </row>
    <row r="58" spans="1:8" ht="14.25" customHeight="1" x14ac:dyDescent="0.35">
      <c r="A58" s="8" t="s">
        <v>96</v>
      </c>
      <c r="B58" s="8" t="s">
        <v>35</v>
      </c>
      <c r="C58" s="8" t="s">
        <v>31</v>
      </c>
      <c r="D58" s="8" t="s">
        <v>91</v>
      </c>
      <c r="E58" s="9">
        <v>44951</v>
      </c>
      <c r="F58" s="9">
        <v>45262</v>
      </c>
      <c r="G58" s="10">
        <v>420827734</v>
      </c>
      <c r="H58" s="8" t="s">
        <v>67</v>
      </c>
    </row>
    <row r="59" spans="1:8" ht="14.25" customHeight="1" x14ac:dyDescent="0.35">
      <c r="A59" s="8" t="s">
        <v>98</v>
      </c>
      <c r="B59" s="8" t="s">
        <v>35</v>
      </c>
      <c r="C59" s="8" t="s">
        <v>13</v>
      </c>
      <c r="D59" s="8" t="s">
        <v>78</v>
      </c>
      <c r="E59" s="9">
        <v>44954</v>
      </c>
      <c r="F59" s="9">
        <v>45186</v>
      </c>
      <c r="G59" s="10">
        <v>382266210</v>
      </c>
      <c r="H59" s="11"/>
    </row>
    <row r="60" spans="1:8" ht="14.25" customHeight="1" x14ac:dyDescent="0.35">
      <c r="A60" s="8" t="s">
        <v>99</v>
      </c>
      <c r="B60" s="8" t="s">
        <v>60</v>
      </c>
      <c r="C60" s="8" t="s">
        <v>31</v>
      </c>
      <c r="D60" s="8" t="s">
        <v>599</v>
      </c>
      <c r="E60" s="9">
        <v>44954</v>
      </c>
      <c r="F60" s="9">
        <v>45220</v>
      </c>
      <c r="G60" s="10">
        <v>1545241955</v>
      </c>
      <c r="H60" s="8" t="s">
        <v>44</v>
      </c>
    </row>
    <row r="61" spans="1:8" ht="14.25" customHeight="1" x14ac:dyDescent="0.35">
      <c r="A61" s="8" t="s">
        <v>100</v>
      </c>
      <c r="B61" s="8" t="s">
        <v>18</v>
      </c>
      <c r="C61" s="8" t="s">
        <v>42</v>
      </c>
      <c r="D61" s="8" t="s">
        <v>621</v>
      </c>
      <c r="E61" s="9">
        <v>44954</v>
      </c>
      <c r="F61" s="9">
        <v>45158</v>
      </c>
      <c r="G61" s="10">
        <v>6831252497</v>
      </c>
      <c r="H61" s="8" t="s">
        <v>21</v>
      </c>
    </row>
    <row r="62" spans="1:8" ht="14.25" customHeight="1" x14ac:dyDescent="0.35">
      <c r="A62" s="8" t="s">
        <v>102</v>
      </c>
      <c r="B62" s="8" t="s">
        <v>30</v>
      </c>
      <c r="C62" s="8" t="s">
        <v>31</v>
      </c>
      <c r="D62" s="8" t="s">
        <v>585</v>
      </c>
      <c r="E62" s="9">
        <v>44955</v>
      </c>
      <c r="F62" s="9">
        <v>45116</v>
      </c>
      <c r="G62" s="10">
        <v>3703277131</v>
      </c>
      <c r="H62" s="11"/>
    </row>
    <row r="63" spans="1:8" ht="14.25" customHeight="1" x14ac:dyDescent="0.35">
      <c r="A63" s="8" t="s">
        <v>103</v>
      </c>
      <c r="B63" s="8" t="s">
        <v>60</v>
      </c>
      <c r="C63" s="8" t="s">
        <v>48</v>
      </c>
      <c r="D63" s="8" t="s">
        <v>622</v>
      </c>
      <c r="E63" s="9">
        <v>44958</v>
      </c>
      <c r="F63" s="9">
        <v>45158</v>
      </c>
      <c r="G63" s="10">
        <v>3678391600</v>
      </c>
      <c r="H63" s="8" t="s">
        <v>67</v>
      </c>
    </row>
    <row r="64" spans="1:8" ht="14.25" customHeight="1" x14ac:dyDescent="0.35">
      <c r="A64" s="8" t="s">
        <v>104</v>
      </c>
      <c r="B64" s="8" t="s">
        <v>12</v>
      </c>
      <c r="C64" s="8" t="s">
        <v>36</v>
      </c>
      <c r="D64" s="8" t="s">
        <v>578</v>
      </c>
      <c r="E64" s="9">
        <v>44959</v>
      </c>
      <c r="F64" s="9">
        <v>45258</v>
      </c>
      <c r="G64" s="10">
        <v>888014731</v>
      </c>
      <c r="H64" s="8" t="s">
        <v>67</v>
      </c>
    </row>
    <row r="65" spans="1:8" ht="14.25" customHeight="1" x14ac:dyDescent="0.35">
      <c r="A65" s="8" t="s">
        <v>105</v>
      </c>
      <c r="B65" s="8" t="s">
        <v>12</v>
      </c>
      <c r="C65" s="8" t="s">
        <v>39</v>
      </c>
      <c r="D65" s="8" t="s">
        <v>591</v>
      </c>
      <c r="E65" s="9">
        <v>44959</v>
      </c>
      <c r="F65" s="9">
        <v>45150</v>
      </c>
      <c r="G65" s="10">
        <v>593629020</v>
      </c>
      <c r="H65" s="8" t="s">
        <v>50</v>
      </c>
    </row>
    <row r="66" spans="1:8" ht="14.25" customHeight="1" x14ac:dyDescent="0.35">
      <c r="A66" s="8" t="s">
        <v>106</v>
      </c>
      <c r="B66" s="8" t="s">
        <v>30</v>
      </c>
      <c r="C66" s="8" t="s">
        <v>19</v>
      </c>
      <c r="D66" s="8" t="s">
        <v>623</v>
      </c>
      <c r="E66" s="9">
        <v>44959</v>
      </c>
      <c r="F66" s="9">
        <v>45167</v>
      </c>
      <c r="G66" s="10">
        <v>5835541492</v>
      </c>
      <c r="H66" s="11"/>
    </row>
    <row r="67" spans="1:8" ht="14.25" customHeight="1" x14ac:dyDescent="0.35">
      <c r="A67" s="8" t="s">
        <v>107</v>
      </c>
      <c r="B67" s="8" t="s">
        <v>35</v>
      </c>
      <c r="C67" s="8" t="s">
        <v>36</v>
      </c>
      <c r="D67" s="8" t="s">
        <v>37</v>
      </c>
      <c r="E67" s="9">
        <v>44960</v>
      </c>
      <c r="F67" s="9">
        <v>45303</v>
      </c>
      <c r="G67" s="10">
        <v>213457440</v>
      </c>
      <c r="H67" s="8" t="s">
        <v>21</v>
      </c>
    </row>
    <row r="68" spans="1:8" ht="14.25" customHeight="1" x14ac:dyDescent="0.35">
      <c r="A68" s="8" t="s">
        <v>108</v>
      </c>
      <c r="B68" s="8" t="s">
        <v>35</v>
      </c>
      <c r="C68" s="8" t="s">
        <v>39</v>
      </c>
      <c r="D68" s="8" t="s">
        <v>145</v>
      </c>
      <c r="E68" s="9">
        <v>44961</v>
      </c>
      <c r="F68" s="9">
        <v>45065</v>
      </c>
      <c r="G68" s="10">
        <v>327569561</v>
      </c>
      <c r="H68" s="8" t="s">
        <v>21</v>
      </c>
    </row>
    <row r="69" spans="1:8" ht="14.25" customHeight="1" x14ac:dyDescent="0.35">
      <c r="A69" s="8" t="s">
        <v>109</v>
      </c>
      <c r="B69" s="8" t="s">
        <v>35</v>
      </c>
      <c r="C69" s="8" t="s">
        <v>39</v>
      </c>
      <c r="D69" s="8" t="s">
        <v>145</v>
      </c>
      <c r="E69" s="9">
        <v>44961</v>
      </c>
      <c r="F69" s="9">
        <v>45078</v>
      </c>
      <c r="G69" s="10">
        <v>705483967</v>
      </c>
      <c r="H69" s="8" t="s">
        <v>44</v>
      </c>
    </row>
    <row r="70" spans="1:8" ht="14.25" customHeight="1" x14ac:dyDescent="0.35">
      <c r="A70" s="8" t="s">
        <v>110</v>
      </c>
      <c r="B70" s="8" t="s">
        <v>30</v>
      </c>
      <c r="C70" s="8" t="s">
        <v>19</v>
      </c>
      <c r="D70" s="8" t="s">
        <v>624</v>
      </c>
      <c r="E70" s="9">
        <v>44963</v>
      </c>
      <c r="F70" s="9">
        <v>45048</v>
      </c>
      <c r="G70" s="10">
        <v>3447782131</v>
      </c>
      <c r="H70" s="8" t="s">
        <v>50</v>
      </c>
    </row>
    <row r="71" spans="1:8" ht="14.25" customHeight="1" x14ac:dyDescent="0.35">
      <c r="A71" s="8" t="s">
        <v>112</v>
      </c>
      <c r="B71" s="8" t="s">
        <v>60</v>
      </c>
      <c r="C71" s="8" t="s">
        <v>24</v>
      </c>
      <c r="D71" s="8" t="s">
        <v>575</v>
      </c>
      <c r="E71" s="9">
        <v>44963</v>
      </c>
      <c r="F71" s="9">
        <v>45313</v>
      </c>
      <c r="G71" s="10">
        <v>2635808219</v>
      </c>
      <c r="H71" s="8" t="s">
        <v>67</v>
      </c>
    </row>
    <row r="72" spans="1:8" ht="14.25" customHeight="1" x14ac:dyDescent="0.35">
      <c r="A72" s="8" t="s">
        <v>113</v>
      </c>
      <c r="B72" s="8" t="s">
        <v>60</v>
      </c>
      <c r="C72" s="8" t="s">
        <v>48</v>
      </c>
      <c r="D72" s="8" t="s">
        <v>625</v>
      </c>
      <c r="E72" s="9">
        <v>44965</v>
      </c>
      <c r="F72" s="9">
        <v>45267</v>
      </c>
      <c r="G72" s="10">
        <v>2011712412</v>
      </c>
      <c r="H72" s="8" t="s">
        <v>50</v>
      </c>
    </row>
    <row r="73" spans="1:8" ht="14.25" customHeight="1" x14ac:dyDescent="0.35">
      <c r="A73" s="8" t="s">
        <v>114</v>
      </c>
      <c r="B73" s="8" t="s">
        <v>60</v>
      </c>
      <c r="C73" s="8" t="s">
        <v>39</v>
      </c>
      <c r="D73" s="8" t="s">
        <v>626</v>
      </c>
      <c r="E73" s="9">
        <v>44965</v>
      </c>
      <c r="F73" s="9">
        <v>45066</v>
      </c>
      <c r="G73" s="10">
        <v>3202495526</v>
      </c>
      <c r="H73" s="8" t="s">
        <v>44</v>
      </c>
    </row>
    <row r="74" spans="1:8" ht="14.25" customHeight="1" x14ac:dyDescent="0.35">
      <c r="A74" s="8" t="s">
        <v>115</v>
      </c>
      <c r="B74" s="8" t="s">
        <v>60</v>
      </c>
      <c r="C74" s="8" t="s">
        <v>48</v>
      </c>
      <c r="D74" s="8" t="s">
        <v>622</v>
      </c>
      <c r="E74" s="9">
        <v>44967</v>
      </c>
      <c r="F74" s="9">
        <v>45260</v>
      </c>
      <c r="G74" s="10">
        <v>1655558865</v>
      </c>
      <c r="H74" s="8" t="s">
        <v>67</v>
      </c>
    </row>
    <row r="75" spans="1:8" ht="14.25" customHeight="1" x14ac:dyDescent="0.35">
      <c r="A75" s="8" t="s">
        <v>116</v>
      </c>
      <c r="B75" s="8" t="s">
        <v>60</v>
      </c>
      <c r="C75" s="8" t="s">
        <v>36</v>
      </c>
      <c r="D75" s="8" t="s">
        <v>597</v>
      </c>
      <c r="E75" s="9">
        <v>44967</v>
      </c>
      <c r="F75" s="9">
        <v>45099</v>
      </c>
      <c r="G75" s="10">
        <v>4806787932</v>
      </c>
      <c r="H75" s="8" t="s">
        <v>44</v>
      </c>
    </row>
    <row r="76" spans="1:8" ht="14.25" customHeight="1" x14ac:dyDescent="0.35">
      <c r="A76" s="8" t="s">
        <v>117</v>
      </c>
      <c r="B76" s="8" t="s">
        <v>12</v>
      </c>
      <c r="C76" s="8" t="s">
        <v>13</v>
      </c>
      <c r="D76" s="8" t="s">
        <v>605</v>
      </c>
      <c r="E76" s="9">
        <v>44968</v>
      </c>
      <c r="F76" s="9">
        <v>45329</v>
      </c>
      <c r="G76" s="10">
        <v>699551361</v>
      </c>
      <c r="H76" s="8" t="s">
        <v>21</v>
      </c>
    </row>
    <row r="77" spans="1:8" ht="14.25" customHeight="1" x14ac:dyDescent="0.35">
      <c r="A77" s="8" t="s">
        <v>118</v>
      </c>
      <c r="B77" s="8" t="s">
        <v>35</v>
      </c>
      <c r="C77" s="8" t="s">
        <v>31</v>
      </c>
      <c r="D77" s="8" t="s">
        <v>91</v>
      </c>
      <c r="E77" s="9">
        <v>44968</v>
      </c>
      <c r="F77" s="9">
        <v>45186</v>
      </c>
      <c r="G77" s="10">
        <v>363997813</v>
      </c>
      <c r="H77" s="8" t="s">
        <v>581</v>
      </c>
    </row>
    <row r="78" spans="1:8" ht="14.25" customHeight="1" x14ac:dyDescent="0.35">
      <c r="A78" s="8" t="s">
        <v>119</v>
      </c>
      <c r="B78" s="8" t="s">
        <v>12</v>
      </c>
      <c r="C78" s="8" t="s">
        <v>24</v>
      </c>
      <c r="D78" s="8" t="s">
        <v>610</v>
      </c>
      <c r="E78" s="9">
        <v>44969</v>
      </c>
      <c r="F78" s="9">
        <v>45123</v>
      </c>
      <c r="G78" s="10">
        <v>926922328</v>
      </c>
      <c r="H78" s="8" t="s">
        <v>33</v>
      </c>
    </row>
    <row r="79" spans="1:8" ht="14.25" customHeight="1" x14ac:dyDescent="0.35">
      <c r="A79" s="8" t="s">
        <v>120</v>
      </c>
      <c r="B79" s="11"/>
      <c r="C79" s="11"/>
      <c r="D79" s="11"/>
      <c r="E79" s="9">
        <v>44969</v>
      </c>
      <c r="F79" s="9">
        <v>45030</v>
      </c>
      <c r="G79" s="10">
        <v>314690070</v>
      </c>
      <c r="H79" s="8" t="s">
        <v>44</v>
      </c>
    </row>
    <row r="80" spans="1:8" ht="14.25" customHeight="1" x14ac:dyDescent="0.35">
      <c r="A80" s="8" t="s">
        <v>122</v>
      </c>
      <c r="B80" s="8" t="s">
        <v>35</v>
      </c>
      <c r="C80" s="8" t="s">
        <v>48</v>
      </c>
      <c r="D80" s="8" t="s">
        <v>49</v>
      </c>
      <c r="E80" s="9">
        <v>44971</v>
      </c>
      <c r="F80" s="9">
        <v>45232</v>
      </c>
      <c r="G80" s="10">
        <v>708312743</v>
      </c>
      <c r="H80" s="8" t="s">
        <v>50</v>
      </c>
    </row>
    <row r="81" spans="1:8" ht="14.25" customHeight="1" x14ac:dyDescent="0.35">
      <c r="A81" s="8" t="s">
        <v>123</v>
      </c>
      <c r="B81" s="8" t="s">
        <v>35</v>
      </c>
      <c r="C81" s="8" t="s">
        <v>42</v>
      </c>
      <c r="D81" s="8" t="s">
        <v>69</v>
      </c>
      <c r="E81" s="9">
        <v>44971</v>
      </c>
      <c r="F81" s="9">
        <v>45228</v>
      </c>
      <c r="G81" s="10">
        <v>419037113</v>
      </c>
      <c r="H81" s="8" t="s">
        <v>21</v>
      </c>
    </row>
    <row r="82" spans="1:8" ht="14.25" customHeight="1" x14ac:dyDescent="0.35">
      <c r="A82" s="8" t="s">
        <v>124</v>
      </c>
      <c r="B82" s="8" t="s">
        <v>35</v>
      </c>
      <c r="C82" s="8" t="s">
        <v>39</v>
      </c>
      <c r="D82" s="8" t="s">
        <v>145</v>
      </c>
      <c r="E82" s="9">
        <v>44972</v>
      </c>
      <c r="F82" s="9">
        <v>45130</v>
      </c>
      <c r="G82" s="10">
        <v>500841363</v>
      </c>
      <c r="H82" s="8" t="s">
        <v>581</v>
      </c>
    </row>
    <row r="83" spans="1:8" ht="14.25" customHeight="1" x14ac:dyDescent="0.35">
      <c r="A83" s="8" t="s">
        <v>125</v>
      </c>
      <c r="B83" s="8" t="s">
        <v>12</v>
      </c>
      <c r="C83" s="8" t="s">
        <v>39</v>
      </c>
      <c r="D83" s="8" t="s">
        <v>591</v>
      </c>
      <c r="E83" s="9">
        <v>44973</v>
      </c>
      <c r="F83" s="9">
        <v>45289</v>
      </c>
      <c r="G83" s="10">
        <v>209304110</v>
      </c>
      <c r="H83" s="8" t="s">
        <v>581</v>
      </c>
    </row>
    <row r="84" spans="1:8" ht="14.25" customHeight="1" x14ac:dyDescent="0.35">
      <c r="A84" s="8" t="s">
        <v>126</v>
      </c>
      <c r="B84" s="8" t="s">
        <v>30</v>
      </c>
      <c r="C84" s="8" t="s">
        <v>42</v>
      </c>
      <c r="D84" s="8" t="s">
        <v>627</v>
      </c>
      <c r="E84" s="9">
        <v>44974</v>
      </c>
      <c r="F84" s="9">
        <v>45082</v>
      </c>
      <c r="G84" s="10">
        <v>3686469051</v>
      </c>
      <c r="H84" s="8" t="s">
        <v>581</v>
      </c>
    </row>
    <row r="85" spans="1:8" ht="14.25" customHeight="1" x14ac:dyDescent="0.35">
      <c r="A85" s="8" t="s">
        <v>127</v>
      </c>
      <c r="B85" s="8" t="s">
        <v>12</v>
      </c>
      <c r="C85" s="8" t="s">
        <v>36</v>
      </c>
      <c r="D85" s="8" t="s">
        <v>578</v>
      </c>
      <c r="E85" s="9">
        <v>44974</v>
      </c>
      <c r="F85" s="9">
        <v>45112</v>
      </c>
      <c r="G85" s="10">
        <v>353290709</v>
      </c>
      <c r="H85" s="8" t="s">
        <v>573</v>
      </c>
    </row>
    <row r="86" spans="1:8" ht="14.25" customHeight="1" x14ac:dyDescent="0.35">
      <c r="A86" s="8" t="s">
        <v>128</v>
      </c>
      <c r="B86" s="8" t="s">
        <v>18</v>
      </c>
      <c r="C86" s="8" t="s">
        <v>39</v>
      </c>
      <c r="D86" s="8" t="s">
        <v>577</v>
      </c>
      <c r="E86" s="9">
        <v>44974</v>
      </c>
      <c r="F86" s="9">
        <v>45230</v>
      </c>
      <c r="G86" s="10">
        <v>8935017863</v>
      </c>
      <c r="H86" s="8" t="s">
        <v>21</v>
      </c>
    </row>
    <row r="87" spans="1:8" ht="14.25" customHeight="1" x14ac:dyDescent="0.35">
      <c r="A87" s="8" t="s">
        <v>129</v>
      </c>
      <c r="B87" s="8" t="s">
        <v>30</v>
      </c>
      <c r="C87" s="8" t="s">
        <v>31</v>
      </c>
      <c r="D87" s="8" t="s">
        <v>585</v>
      </c>
      <c r="E87" s="9">
        <v>44975</v>
      </c>
      <c r="F87" s="9">
        <v>45193</v>
      </c>
      <c r="G87" s="10">
        <v>5518454926</v>
      </c>
      <c r="H87" s="8" t="s">
        <v>33</v>
      </c>
    </row>
    <row r="88" spans="1:8" ht="14.25" customHeight="1" x14ac:dyDescent="0.35">
      <c r="A88" s="8" t="s">
        <v>130</v>
      </c>
      <c r="B88" s="8" t="s">
        <v>60</v>
      </c>
      <c r="C88" s="8" t="s">
        <v>42</v>
      </c>
      <c r="D88" s="8" t="s">
        <v>617</v>
      </c>
      <c r="E88" s="9">
        <v>44975</v>
      </c>
      <c r="F88" s="9">
        <v>45256</v>
      </c>
      <c r="G88" s="10">
        <v>3367495384</v>
      </c>
      <c r="H88" s="11"/>
    </row>
    <row r="89" spans="1:8" ht="14.25" customHeight="1" x14ac:dyDescent="0.35">
      <c r="A89" s="8" t="s">
        <v>131</v>
      </c>
      <c r="B89" s="8" t="s">
        <v>60</v>
      </c>
      <c r="C89" s="8" t="s">
        <v>36</v>
      </c>
      <c r="D89" s="8" t="s">
        <v>628</v>
      </c>
      <c r="E89" s="9">
        <v>44976</v>
      </c>
      <c r="F89" s="9">
        <v>45307</v>
      </c>
      <c r="G89" s="10">
        <v>2293993253</v>
      </c>
      <c r="H89" s="8" t="s">
        <v>33</v>
      </c>
    </row>
    <row r="90" spans="1:8" ht="14.25" customHeight="1" x14ac:dyDescent="0.35">
      <c r="A90" s="8" t="s">
        <v>132</v>
      </c>
      <c r="B90" s="8" t="s">
        <v>60</v>
      </c>
      <c r="C90" s="8" t="s">
        <v>19</v>
      </c>
      <c r="D90" s="8" t="s">
        <v>616</v>
      </c>
      <c r="E90" s="9">
        <v>44976</v>
      </c>
      <c r="F90" s="9">
        <v>45318</v>
      </c>
      <c r="G90" s="10">
        <v>1790927128</v>
      </c>
      <c r="H90" s="8" t="s">
        <v>50</v>
      </c>
    </row>
    <row r="91" spans="1:8" ht="14.25" customHeight="1" x14ac:dyDescent="0.35">
      <c r="A91" s="8" t="s">
        <v>134</v>
      </c>
      <c r="B91" s="8" t="s">
        <v>18</v>
      </c>
      <c r="C91" s="8" t="s">
        <v>39</v>
      </c>
      <c r="D91" s="11"/>
      <c r="E91" s="9">
        <v>44977</v>
      </c>
      <c r="F91" s="9">
        <v>45285</v>
      </c>
      <c r="G91" s="10">
        <v>7432359735</v>
      </c>
      <c r="H91" s="11"/>
    </row>
    <row r="92" spans="1:8" ht="14.25" customHeight="1" x14ac:dyDescent="0.35">
      <c r="A92" s="8" t="s">
        <v>136</v>
      </c>
      <c r="B92" s="8" t="s">
        <v>18</v>
      </c>
      <c r="C92" s="8" t="s">
        <v>48</v>
      </c>
      <c r="D92" s="8" t="s">
        <v>629</v>
      </c>
      <c r="E92" s="9">
        <v>44977</v>
      </c>
      <c r="F92" s="9">
        <v>45233</v>
      </c>
      <c r="G92" s="10">
        <v>7645065116</v>
      </c>
      <c r="H92" s="11"/>
    </row>
    <row r="93" spans="1:8" ht="14.25" customHeight="1" x14ac:dyDescent="0.35">
      <c r="A93" s="8" t="s">
        <v>137</v>
      </c>
      <c r="B93" s="8" t="s">
        <v>30</v>
      </c>
      <c r="C93" s="8" t="s">
        <v>13</v>
      </c>
      <c r="D93" s="8" t="s">
        <v>630</v>
      </c>
      <c r="E93" s="9">
        <v>44979</v>
      </c>
      <c r="F93" s="9">
        <v>45295</v>
      </c>
      <c r="G93" s="10">
        <v>5522312320</v>
      </c>
      <c r="H93" s="8" t="s">
        <v>581</v>
      </c>
    </row>
    <row r="94" spans="1:8" ht="14.25" customHeight="1" x14ac:dyDescent="0.35">
      <c r="A94" s="8" t="s">
        <v>138</v>
      </c>
      <c r="B94" s="8" t="s">
        <v>12</v>
      </c>
      <c r="C94" s="8" t="s">
        <v>42</v>
      </c>
      <c r="D94" s="8" t="s">
        <v>603</v>
      </c>
      <c r="E94" s="9">
        <v>44979</v>
      </c>
      <c r="F94" s="9">
        <v>45074</v>
      </c>
      <c r="G94" s="10">
        <v>934325560</v>
      </c>
      <c r="H94" s="8" t="s">
        <v>50</v>
      </c>
    </row>
    <row r="95" spans="1:8" ht="14.25" customHeight="1" x14ac:dyDescent="0.35">
      <c r="A95" s="8" t="s">
        <v>139</v>
      </c>
      <c r="B95" s="8" t="s">
        <v>12</v>
      </c>
      <c r="C95" s="8" t="s">
        <v>19</v>
      </c>
      <c r="D95" s="8" t="s">
        <v>631</v>
      </c>
      <c r="E95" s="9">
        <v>44979</v>
      </c>
      <c r="F95" s="9">
        <v>45058</v>
      </c>
      <c r="G95" s="10">
        <v>121142623</v>
      </c>
      <c r="H95" s="8" t="s">
        <v>44</v>
      </c>
    </row>
    <row r="96" spans="1:8" ht="14.25" customHeight="1" x14ac:dyDescent="0.35">
      <c r="A96" s="8" t="s">
        <v>140</v>
      </c>
      <c r="B96" s="8" t="s">
        <v>30</v>
      </c>
      <c r="C96" s="8" t="s">
        <v>42</v>
      </c>
      <c r="D96" s="8" t="s">
        <v>632</v>
      </c>
      <c r="E96" s="9">
        <v>44982</v>
      </c>
      <c r="F96" s="9">
        <v>45181</v>
      </c>
      <c r="G96" s="10">
        <v>1493231996</v>
      </c>
      <c r="H96" s="8" t="s">
        <v>33</v>
      </c>
    </row>
    <row r="97" spans="1:8" ht="14.25" customHeight="1" x14ac:dyDescent="0.35">
      <c r="A97" s="8" t="s">
        <v>141</v>
      </c>
      <c r="B97" s="8" t="s">
        <v>30</v>
      </c>
      <c r="C97" s="8" t="s">
        <v>39</v>
      </c>
      <c r="D97" s="8" t="s">
        <v>590</v>
      </c>
      <c r="E97" s="9">
        <v>44984</v>
      </c>
      <c r="F97" s="9">
        <v>45324</v>
      </c>
      <c r="G97" s="10">
        <v>5860997586</v>
      </c>
      <c r="H97" s="8" t="s">
        <v>573</v>
      </c>
    </row>
    <row r="98" spans="1:8" ht="14.25" customHeight="1" x14ac:dyDescent="0.35">
      <c r="A98" s="8" t="s">
        <v>142</v>
      </c>
      <c r="B98" s="8" t="s">
        <v>35</v>
      </c>
      <c r="C98" s="8" t="s">
        <v>39</v>
      </c>
      <c r="D98" s="8" t="s">
        <v>145</v>
      </c>
      <c r="E98" s="9">
        <v>44984</v>
      </c>
      <c r="F98" s="9">
        <v>45149</v>
      </c>
      <c r="G98" s="10">
        <v>551513519</v>
      </c>
      <c r="H98" s="8" t="s">
        <v>44</v>
      </c>
    </row>
    <row r="99" spans="1:8" ht="14.25" customHeight="1" x14ac:dyDescent="0.35">
      <c r="A99" s="8" t="s">
        <v>144</v>
      </c>
      <c r="B99" s="8" t="s">
        <v>12</v>
      </c>
      <c r="C99" s="8" t="s">
        <v>48</v>
      </c>
      <c r="D99" s="8" t="s">
        <v>602</v>
      </c>
      <c r="E99" s="9">
        <v>44985</v>
      </c>
      <c r="F99" s="9">
        <v>45186</v>
      </c>
      <c r="G99" s="10">
        <v>359783228</v>
      </c>
      <c r="H99" s="8" t="s">
        <v>44</v>
      </c>
    </row>
    <row r="100" spans="1:8" ht="14.25" customHeight="1" x14ac:dyDescent="0.35">
      <c r="A100" s="8" t="s">
        <v>146</v>
      </c>
      <c r="B100" s="8" t="s">
        <v>60</v>
      </c>
      <c r="C100" s="8" t="s">
        <v>48</v>
      </c>
      <c r="D100" s="8" t="s">
        <v>622</v>
      </c>
      <c r="E100" s="9">
        <v>44986</v>
      </c>
      <c r="F100" s="9">
        <v>45105</v>
      </c>
      <c r="G100" s="10">
        <v>4429242773</v>
      </c>
      <c r="H100" s="8" t="s">
        <v>50</v>
      </c>
    </row>
    <row r="101" spans="1:8" ht="14.25" customHeight="1" x14ac:dyDescent="0.35">
      <c r="A101" s="8" t="s">
        <v>147</v>
      </c>
      <c r="B101" s="8" t="s">
        <v>18</v>
      </c>
      <c r="C101" s="8" t="s">
        <v>13</v>
      </c>
      <c r="D101" s="8" t="s">
        <v>580</v>
      </c>
      <c r="E101" s="9">
        <v>44987</v>
      </c>
      <c r="F101" s="9">
        <v>45234</v>
      </c>
      <c r="G101" s="10">
        <v>2034415367</v>
      </c>
      <c r="H101" s="8" t="s">
        <v>67</v>
      </c>
    </row>
    <row r="102" spans="1:8" ht="14.25" customHeight="1" x14ac:dyDescent="0.35">
      <c r="A102" s="8" t="s">
        <v>148</v>
      </c>
      <c r="B102" s="8" t="s">
        <v>30</v>
      </c>
      <c r="C102" s="8" t="s">
        <v>42</v>
      </c>
      <c r="D102" s="8" t="s">
        <v>627</v>
      </c>
      <c r="E102" s="9">
        <v>44989</v>
      </c>
      <c r="F102" s="9">
        <v>45301</v>
      </c>
      <c r="G102" s="10">
        <v>1597122511</v>
      </c>
      <c r="H102" s="8" t="s">
        <v>44</v>
      </c>
    </row>
    <row r="103" spans="1:8" ht="14.25" customHeight="1" x14ac:dyDescent="0.35">
      <c r="A103" s="8" t="s">
        <v>149</v>
      </c>
      <c r="B103" s="8" t="s">
        <v>12</v>
      </c>
      <c r="C103" s="8" t="s">
        <v>42</v>
      </c>
      <c r="D103" s="8" t="s">
        <v>603</v>
      </c>
      <c r="E103" s="9">
        <v>44989</v>
      </c>
      <c r="F103" s="9">
        <v>45120</v>
      </c>
      <c r="G103" s="10">
        <v>966519099</v>
      </c>
      <c r="H103" s="8" t="s">
        <v>33</v>
      </c>
    </row>
    <row r="104" spans="1:8" ht="14.25" customHeight="1" x14ac:dyDescent="0.35">
      <c r="A104" s="8" t="s">
        <v>150</v>
      </c>
      <c r="B104" s="8" t="s">
        <v>12</v>
      </c>
      <c r="C104" s="8" t="s">
        <v>13</v>
      </c>
      <c r="D104" s="8" t="s">
        <v>605</v>
      </c>
      <c r="E104" s="9">
        <v>44990</v>
      </c>
      <c r="F104" s="9">
        <v>45158</v>
      </c>
      <c r="G104" s="10">
        <v>881938572</v>
      </c>
      <c r="H104" s="8" t="s">
        <v>581</v>
      </c>
    </row>
    <row r="105" spans="1:8" ht="14.25" customHeight="1" x14ac:dyDescent="0.35">
      <c r="A105" s="8" t="s">
        <v>151</v>
      </c>
      <c r="B105" s="8" t="s">
        <v>60</v>
      </c>
      <c r="C105" s="8" t="s">
        <v>39</v>
      </c>
      <c r="D105" s="8" t="s">
        <v>626</v>
      </c>
      <c r="E105" s="9">
        <v>44990</v>
      </c>
      <c r="F105" s="9">
        <v>45020</v>
      </c>
      <c r="G105" s="10">
        <v>4508122990</v>
      </c>
      <c r="H105" s="8" t="s">
        <v>50</v>
      </c>
    </row>
    <row r="106" spans="1:8" ht="14.25" customHeight="1" x14ac:dyDescent="0.35">
      <c r="A106" s="8" t="s">
        <v>152</v>
      </c>
      <c r="B106" s="8" t="s">
        <v>60</v>
      </c>
      <c r="C106" s="8" t="s">
        <v>42</v>
      </c>
      <c r="D106" s="8" t="s">
        <v>587</v>
      </c>
      <c r="E106" s="9">
        <v>44990</v>
      </c>
      <c r="F106" s="9">
        <v>45311</v>
      </c>
      <c r="G106" s="10">
        <v>1863372939</v>
      </c>
      <c r="H106" s="8" t="s">
        <v>44</v>
      </c>
    </row>
    <row r="107" spans="1:8" ht="14.25" customHeight="1" x14ac:dyDescent="0.35">
      <c r="A107" s="8" t="s">
        <v>153</v>
      </c>
      <c r="B107" s="8" t="s">
        <v>35</v>
      </c>
      <c r="C107" s="8" t="s">
        <v>13</v>
      </c>
      <c r="D107" s="8" t="s">
        <v>78</v>
      </c>
      <c r="E107" s="9">
        <v>44991</v>
      </c>
      <c r="F107" s="9">
        <v>45062</v>
      </c>
      <c r="G107" s="10">
        <v>512883235</v>
      </c>
      <c r="H107" s="8" t="s">
        <v>573</v>
      </c>
    </row>
    <row r="108" spans="1:8" ht="14.25" customHeight="1" x14ac:dyDescent="0.35">
      <c r="A108" s="8" t="s">
        <v>155</v>
      </c>
      <c r="B108" s="8" t="s">
        <v>18</v>
      </c>
      <c r="C108" s="8" t="s">
        <v>42</v>
      </c>
      <c r="D108" s="8" t="s">
        <v>621</v>
      </c>
      <c r="E108" s="9">
        <v>44991</v>
      </c>
      <c r="F108" s="9">
        <v>45338</v>
      </c>
      <c r="G108" s="10">
        <v>4679669631</v>
      </c>
      <c r="H108" s="8" t="s">
        <v>44</v>
      </c>
    </row>
    <row r="109" spans="1:8" ht="14.25" customHeight="1" x14ac:dyDescent="0.35">
      <c r="A109" s="8" t="s">
        <v>156</v>
      </c>
      <c r="B109" s="8" t="s">
        <v>30</v>
      </c>
      <c r="C109" s="8" t="s">
        <v>31</v>
      </c>
      <c r="D109" s="8" t="s">
        <v>595</v>
      </c>
      <c r="E109" s="9">
        <v>44991</v>
      </c>
      <c r="F109" s="9">
        <v>45269</v>
      </c>
      <c r="G109" s="10">
        <v>4513453864</v>
      </c>
      <c r="H109" s="8" t="s">
        <v>573</v>
      </c>
    </row>
    <row r="110" spans="1:8" ht="14.25" customHeight="1" x14ac:dyDescent="0.35">
      <c r="A110" s="8" t="s">
        <v>157</v>
      </c>
      <c r="B110" s="8" t="s">
        <v>30</v>
      </c>
      <c r="C110" s="8" t="s">
        <v>36</v>
      </c>
      <c r="D110" s="8" t="s">
        <v>614</v>
      </c>
      <c r="E110" s="9">
        <v>44992</v>
      </c>
      <c r="F110" s="9">
        <v>45322</v>
      </c>
      <c r="G110" s="10">
        <v>7126604362</v>
      </c>
      <c r="H110" s="8" t="s">
        <v>50</v>
      </c>
    </row>
    <row r="111" spans="1:8" ht="14.25" customHeight="1" x14ac:dyDescent="0.35">
      <c r="A111" s="8" t="s">
        <v>158</v>
      </c>
      <c r="B111" s="8" t="s">
        <v>30</v>
      </c>
      <c r="C111" s="8" t="s">
        <v>42</v>
      </c>
      <c r="D111" s="8" t="s">
        <v>627</v>
      </c>
      <c r="E111" s="9">
        <v>44994</v>
      </c>
      <c r="F111" s="9">
        <v>45241</v>
      </c>
      <c r="G111" s="10">
        <v>4952427692</v>
      </c>
      <c r="H111" s="8" t="s">
        <v>573</v>
      </c>
    </row>
    <row r="112" spans="1:8" ht="14.25" customHeight="1" x14ac:dyDescent="0.35">
      <c r="A112" s="8" t="s">
        <v>159</v>
      </c>
      <c r="B112" s="8" t="s">
        <v>35</v>
      </c>
      <c r="C112" s="8" t="s">
        <v>31</v>
      </c>
      <c r="D112" s="8" t="s">
        <v>91</v>
      </c>
      <c r="E112" s="9">
        <v>44994</v>
      </c>
      <c r="F112" s="9">
        <v>45231</v>
      </c>
      <c r="G112" s="10">
        <v>542759810</v>
      </c>
      <c r="H112" s="8" t="s">
        <v>44</v>
      </c>
    </row>
    <row r="113" spans="1:8" ht="14.25" customHeight="1" x14ac:dyDescent="0.35">
      <c r="A113" s="8" t="s">
        <v>161</v>
      </c>
      <c r="B113" s="8" t="s">
        <v>18</v>
      </c>
      <c r="C113" s="8" t="s">
        <v>48</v>
      </c>
      <c r="D113" s="8" t="s">
        <v>629</v>
      </c>
      <c r="E113" s="9">
        <v>44994</v>
      </c>
      <c r="F113" s="9">
        <v>45074</v>
      </c>
      <c r="G113" s="10">
        <v>5059161734</v>
      </c>
      <c r="H113" s="8" t="s">
        <v>50</v>
      </c>
    </row>
    <row r="114" spans="1:8" ht="14.25" customHeight="1" x14ac:dyDescent="0.35">
      <c r="A114" s="8" t="s">
        <v>162</v>
      </c>
      <c r="B114" s="8" t="s">
        <v>30</v>
      </c>
      <c r="C114" s="8" t="s">
        <v>31</v>
      </c>
      <c r="D114" s="8" t="s">
        <v>585</v>
      </c>
      <c r="E114" s="9">
        <v>44996</v>
      </c>
      <c r="F114" s="9">
        <v>45203</v>
      </c>
      <c r="G114" s="10">
        <v>5462259142</v>
      </c>
      <c r="H114" s="8" t="s">
        <v>21</v>
      </c>
    </row>
    <row r="115" spans="1:8" ht="14.25" customHeight="1" x14ac:dyDescent="0.35">
      <c r="A115" s="8" t="s">
        <v>163</v>
      </c>
      <c r="B115" s="8" t="s">
        <v>60</v>
      </c>
      <c r="C115" s="8" t="s">
        <v>13</v>
      </c>
      <c r="D115" s="8" t="s">
        <v>619</v>
      </c>
      <c r="E115" s="9">
        <v>44996</v>
      </c>
      <c r="F115" s="9">
        <v>45181</v>
      </c>
      <c r="G115" s="10">
        <v>3922070251</v>
      </c>
      <c r="H115" s="8" t="s">
        <v>50</v>
      </c>
    </row>
    <row r="116" spans="1:8" ht="14.25" customHeight="1" x14ac:dyDescent="0.35">
      <c r="A116" s="8" t="s">
        <v>164</v>
      </c>
      <c r="B116" s="8" t="s">
        <v>18</v>
      </c>
      <c r="C116" s="8" t="s">
        <v>19</v>
      </c>
      <c r="D116" s="8" t="s">
        <v>633</v>
      </c>
      <c r="E116" s="9">
        <v>44998</v>
      </c>
      <c r="F116" s="9">
        <v>45341</v>
      </c>
      <c r="G116" s="10">
        <v>9404668499</v>
      </c>
      <c r="H116" s="11"/>
    </row>
    <row r="117" spans="1:8" ht="14.25" customHeight="1" x14ac:dyDescent="0.35">
      <c r="A117" s="8" t="s">
        <v>165</v>
      </c>
      <c r="B117" s="8" t="s">
        <v>18</v>
      </c>
      <c r="C117" s="8" t="s">
        <v>13</v>
      </c>
      <c r="D117" s="8" t="s">
        <v>580</v>
      </c>
      <c r="E117" s="9">
        <v>45000</v>
      </c>
      <c r="F117" s="9">
        <v>45038</v>
      </c>
      <c r="G117" s="10">
        <v>6049021945</v>
      </c>
      <c r="H117" s="8" t="s">
        <v>44</v>
      </c>
    </row>
    <row r="118" spans="1:8" ht="14.25" customHeight="1" x14ac:dyDescent="0.35">
      <c r="A118" s="8" t="s">
        <v>166</v>
      </c>
      <c r="B118" s="8" t="s">
        <v>12</v>
      </c>
      <c r="C118" s="8" t="s">
        <v>13</v>
      </c>
      <c r="D118" s="8" t="s">
        <v>605</v>
      </c>
      <c r="E118" s="9">
        <v>45001</v>
      </c>
      <c r="F118" s="9">
        <v>45325</v>
      </c>
      <c r="G118" s="10">
        <v>989197622</v>
      </c>
      <c r="H118" s="8" t="s">
        <v>44</v>
      </c>
    </row>
    <row r="119" spans="1:8" ht="14.25" customHeight="1" x14ac:dyDescent="0.35">
      <c r="A119" s="8" t="s">
        <v>167</v>
      </c>
      <c r="B119" s="8" t="s">
        <v>12</v>
      </c>
      <c r="C119" s="8" t="s">
        <v>36</v>
      </c>
      <c r="D119" s="8" t="s">
        <v>578</v>
      </c>
      <c r="E119" s="9">
        <v>45001</v>
      </c>
      <c r="F119" s="9">
        <v>45268</v>
      </c>
      <c r="G119" s="10">
        <v>923609376</v>
      </c>
      <c r="H119" s="8" t="s">
        <v>33</v>
      </c>
    </row>
    <row r="120" spans="1:8" ht="14.25" customHeight="1" x14ac:dyDescent="0.35">
      <c r="A120" s="8" t="s">
        <v>168</v>
      </c>
      <c r="B120" s="8" t="s">
        <v>18</v>
      </c>
      <c r="C120" s="8" t="s">
        <v>36</v>
      </c>
      <c r="D120" s="8" t="s">
        <v>634</v>
      </c>
      <c r="E120" s="9">
        <v>45001</v>
      </c>
      <c r="F120" s="9">
        <v>45173</v>
      </c>
      <c r="G120" s="10">
        <v>7000822070</v>
      </c>
      <c r="H120" s="8" t="s">
        <v>50</v>
      </c>
    </row>
    <row r="121" spans="1:8" ht="14.25" customHeight="1" x14ac:dyDescent="0.35">
      <c r="A121" s="8" t="s">
        <v>169</v>
      </c>
      <c r="B121" s="8" t="s">
        <v>18</v>
      </c>
      <c r="C121" s="8" t="s">
        <v>39</v>
      </c>
      <c r="D121" s="8" t="s">
        <v>577</v>
      </c>
      <c r="E121" s="9">
        <v>45003</v>
      </c>
      <c r="F121" s="9">
        <v>45165</v>
      </c>
      <c r="G121" s="10">
        <v>4006400142</v>
      </c>
      <c r="H121" s="8" t="s">
        <v>573</v>
      </c>
    </row>
    <row r="122" spans="1:8" ht="14.25" customHeight="1" x14ac:dyDescent="0.35">
      <c r="A122" s="8" t="s">
        <v>170</v>
      </c>
      <c r="B122" s="8" t="s">
        <v>18</v>
      </c>
      <c r="C122" s="8" t="s">
        <v>24</v>
      </c>
      <c r="D122" s="8" t="s">
        <v>618</v>
      </c>
      <c r="E122" s="9">
        <v>45004</v>
      </c>
      <c r="F122" s="9">
        <v>45314</v>
      </c>
      <c r="G122" s="10">
        <v>7054924571</v>
      </c>
      <c r="H122" s="8" t="s">
        <v>581</v>
      </c>
    </row>
    <row r="123" spans="1:8" ht="14.25" customHeight="1" x14ac:dyDescent="0.35">
      <c r="A123" s="8" t="s">
        <v>172</v>
      </c>
      <c r="B123" s="8" t="s">
        <v>30</v>
      </c>
      <c r="C123" s="8" t="s">
        <v>42</v>
      </c>
      <c r="D123" s="8" t="s">
        <v>627</v>
      </c>
      <c r="E123" s="9">
        <v>45006</v>
      </c>
      <c r="F123" s="9">
        <v>45234</v>
      </c>
      <c r="G123" s="10">
        <v>7494641055</v>
      </c>
      <c r="H123" s="11"/>
    </row>
    <row r="124" spans="1:8" ht="14.25" customHeight="1" x14ac:dyDescent="0.35">
      <c r="A124" s="8" t="s">
        <v>173</v>
      </c>
      <c r="B124" s="8" t="s">
        <v>18</v>
      </c>
      <c r="C124" s="8" t="s">
        <v>42</v>
      </c>
      <c r="D124" s="8" t="s">
        <v>621</v>
      </c>
      <c r="E124" s="9">
        <v>45008</v>
      </c>
      <c r="F124" s="9">
        <v>45268</v>
      </c>
      <c r="G124" s="10">
        <v>7221183664</v>
      </c>
      <c r="H124" s="8" t="s">
        <v>33</v>
      </c>
    </row>
    <row r="125" spans="1:8" ht="14.25" customHeight="1" x14ac:dyDescent="0.35">
      <c r="A125" s="8" t="s">
        <v>174</v>
      </c>
      <c r="B125" s="8" t="s">
        <v>12</v>
      </c>
      <c r="C125" s="8" t="s">
        <v>36</v>
      </c>
      <c r="D125" s="8" t="s">
        <v>578</v>
      </c>
      <c r="E125" s="9">
        <v>45008</v>
      </c>
      <c r="F125" s="9">
        <v>45121</v>
      </c>
      <c r="G125" s="10">
        <v>870876750</v>
      </c>
      <c r="H125" s="8" t="s">
        <v>573</v>
      </c>
    </row>
    <row r="126" spans="1:8" ht="14.25" customHeight="1" x14ac:dyDescent="0.35">
      <c r="A126" s="8" t="s">
        <v>175</v>
      </c>
      <c r="B126" s="8" t="s">
        <v>60</v>
      </c>
      <c r="C126" s="8" t="s">
        <v>19</v>
      </c>
      <c r="D126" s="8" t="s">
        <v>635</v>
      </c>
      <c r="E126" s="9">
        <v>45009</v>
      </c>
      <c r="F126" s="9">
        <v>45316</v>
      </c>
      <c r="G126" s="10">
        <v>2164051592</v>
      </c>
      <c r="H126" s="8" t="s">
        <v>33</v>
      </c>
    </row>
    <row r="127" spans="1:8" ht="14.25" customHeight="1" x14ac:dyDescent="0.35">
      <c r="A127" s="8" t="s">
        <v>176</v>
      </c>
      <c r="B127" s="8" t="s">
        <v>60</v>
      </c>
      <c r="C127" s="8" t="s">
        <v>36</v>
      </c>
      <c r="D127" s="8" t="s">
        <v>597</v>
      </c>
      <c r="E127" s="9">
        <v>45009</v>
      </c>
      <c r="F127" s="9">
        <v>45280</v>
      </c>
      <c r="G127" s="10">
        <v>3746270294</v>
      </c>
      <c r="H127" s="8" t="s">
        <v>33</v>
      </c>
    </row>
    <row r="128" spans="1:8" ht="14.25" customHeight="1" x14ac:dyDescent="0.35">
      <c r="A128" s="8" t="s">
        <v>177</v>
      </c>
      <c r="B128" s="8" t="s">
        <v>18</v>
      </c>
      <c r="C128" s="8" t="s">
        <v>31</v>
      </c>
      <c r="D128" s="8" t="s">
        <v>636</v>
      </c>
      <c r="E128" s="9">
        <v>45010</v>
      </c>
      <c r="F128" s="9">
        <v>45049</v>
      </c>
      <c r="G128" s="10">
        <v>3094147448</v>
      </c>
      <c r="H128" s="8" t="s">
        <v>581</v>
      </c>
    </row>
    <row r="129" spans="1:8" ht="14.25" customHeight="1" x14ac:dyDescent="0.35">
      <c r="A129" s="8" t="s">
        <v>178</v>
      </c>
      <c r="B129" s="11"/>
      <c r="C129" s="8" t="s">
        <v>36</v>
      </c>
      <c r="D129" s="11"/>
      <c r="E129" s="9">
        <v>45010</v>
      </c>
      <c r="F129" s="9">
        <v>45091</v>
      </c>
      <c r="G129" s="10">
        <v>2960912774</v>
      </c>
      <c r="H129" s="11"/>
    </row>
    <row r="130" spans="1:8" ht="14.25" customHeight="1" x14ac:dyDescent="0.35">
      <c r="A130" s="8" t="s">
        <v>179</v>
      </c>
      <c r="B130" s="8" t="s">
        <v>35</v>
      </c>
      <c r="C130" s="8" t="s">
        <v>19</v>
      </c>
      <c r="D130" s="8" t="s">
        <v>97</v>
      </c>
      <c r="E130" s="9">
        <v>45011</v>
      </c>
      <c r="F130" s="9">
        <v>45235</v>
      </c>
      <c r="G130" s="10">
        <v>421859230</v>
      </c>
      <c r="H130" s="11"/>
    </row>
    <row r="131" spans="1:8" ht="14.25" customHeight="1" x14ac:dyDescent="0.35">
      <c r="A131" s="8" t="s">
        <v>180</v>
      </c>
      <c r="B131" s="8" t="s">
        <v>12</v>
      </c>
      <c r="C131" s="8" t="s">
        <v>42</v>
      </c>
      <c r="D131" s="8" t="s">
        <v>603</v>
      </c>
      <c r="E131" s="9">
        <v>45013</v>
      </c>
      <c r="F131" s="9">
        <v>45161</v>
      </c>
      <c r="G131" s="10">
        <v>776411814</v>
      </c>
      <c r="H131" s="8" t="s">
        <v>44</v>
      </c>
    </row>
    <row r="132" spans="1:8" ht="14.25" customHeight="1" x14ac:dyDescent="0.35">
      <c r="A132" s="8" t="s">
        <v>181</v>
      </c>
      <c r="B132" s="8" t="s">
        <v>18</v>
      </c>
      <c r="C132" s="8" t="s">
        <v>36</v>
      </c>
      <c r="D132" s="8" t="s">
        <v>634</v>
      </c>
      <c r="E132" s="9">
        <v>45013</v>
      </c>
      <c r="F132" s="9">
        <v>45095</v>
      </c>
      <c r="G132" s="10">
        <v>5326254824</v>
      </c>
      <c r="H132" s="8" t="s">
        <v>581</v>
      </c>
    </row>
    <row r="133" spans="1:8" ht="14.25" customHeight="1" x14ac:dyDescent="0.35">
      <c r="A133" s="8" t="s">
        <v>183</v>
      </c>
      <c r="B133" s="8" t="s">
        <v>35</v>
      </c>
      <c r="C133" s="8" t="s">
        <v>36</v>
      </c>
      <c r="D133" s="8" t="s">
        <v>37</v>
      </c>
      <c r="E133" s="9">
        <v>45015</v>
      </c>
      <c r="F133" s="9">
        <v>45074</v>
      </c>
      <c r="G133" s="10">
        <v>737874671</v>
      </c>
      <c r="H133" s="8" t="s">
        <v>21</v>
      </c>
    </row>
    <row r="134" spans="1:8" ht="14.25" customHeight="1" x14ac:dyDescent="0.35">
      <c r="A134" s="8" t="s">
        <v>184</v>
      </c>
      <c r="B134" s="8" t="s">
        <v>18</v>
      </c>
      <c r="C134" s="8" t="s">
        <v>42</v>
      </c>
      <c r="D134" s="8" t="s">
        <v>621</v>
      </c>
      <c r="E134" s="9">
        <v>45016</v>
      </c>
      <c r="F134" s="9">
        <v>45248</v>
      </c>
      <c r="G134" s="10">
        <v>6410731228</v>
      </c>
      <c r="H134" s="8" t="s">
        <v>67</v>
      </c>
    </row>
    <row r="135" spans="1:8" ht="14.25" customHeight="1" x14ac:dyDescent="0.35">
      <c r="A135" s="8" t="s">
        <v>186</v>
      </c>
      <c r="B135" s="8" t="s">
        <v>12</v>
      </c>
      <c r="C135" s="8" t="s">
        <v>24</v>
      </c>
      <c r="D135" s="8" t="s">
        <v>610</v>
      </c>
      <c r="E135" s="9">
        <v>45017</v>
      </c>
      <c r="F135" s="9">
        <v>45162</v>
      </c>
      <c r="G135" s="10">
        <v>584530717</v>
      </c>
      <c r="H135" s="8" t="s">
        <v>581</v>
      </c>
    </row>
    <row r="136" spans="1:8" ht="14.25" customHeight="1" x14ac:dyDescent="0.35">
      <c r="A136" s="8" t="s">
        <v>187</v>
      </c>
      <c r="B136" s="8" t="s">
        <v>18</v>
      </c>
      <c r="C136" s="8" t="s">
        <v>48</v>
      </c>
      <c r="D136" s="8" t="s">
        <v>629</v>
      </c>
      <c r="E136" s="9">
        <v>45017</v>
      </c>
      <c r="F136" s="9">
        <v>45209</v>
      </c>
      <c r="G136" s="10">
        <v>5399904068</v>
      </c>
      <c r="H136" s="8" t="s">
        <v>33</v>
      </c>
    </row>
    <row r="137" spans="1:8" ht="14.25" customHeight="1" x14ac:dyDescent="0.35">
      <c r="A137" s="8" t="s">
        <v>188</v>
      </c>
      <c r="B137" s="8" t="s">
        <v>35</v>
      </c>
      <c r="C137" s="8" t="s">
        <v>24</v>
      </c>
      <c r="D137" s="8" t="s">
        <v>133</v>
      </c>
      <c r="E137" s="9">
        <v>45017</v>
      </c>
      <c r="F137" s="9">
        <v>45267</v>
      </c>
      <c r="G137" s="10">
        <v>620525430</v>
      </c>
      <c r="H137" s="8" t="s">
        <v>50</v>
      </c>
    </row>
    <row r="138" spans="1:8" ht="14.25" customHeight="1" x14ac:dyDescent="0.35">
      <c r="A138" s="8" t="s">
        <v>189</v>
      </c>
      <c r="B138" s="8" t="s">
        <v>60</v>
      </c>
      <c r="C138" s="8" t="s">
        <v>39</v>
      </c>
      <c r="D138" s="8" t="s">
        <v>626</v>
      </c>
      <c r="E138" s="9">
        <v>45017</v>
      </c>
      <c r="F138" s="9">
        <v>45372</v>
      </c>
      <c r="G138" s="10">
        <v>2278233533</v>
      </c>
      <c r="H138" s="8" t="s">
        <v>581</v>
      </c>
    </row>
    <row r="139" spans="1:8" ht="14.25" customHeight="1" x14ac:dyDescent="0.35">
      <c r="A139" s="8" t="s">
        <v>190</v>
      </c>
      <c r="B139" s="8" t="s">
        <v>18</v>
      </c>
      <c r="C139" s="8" t="s">
        <v>39</v>
      </c>
      <c r="D139" s="8" t="s">
        <v>577</v>
      </c>
      <c r="E139" s="9">
        <v>45017</v>
      </c>
      <c r="F139" s="9">
        <v>45369</v>
      </c>
      <c r="G139" s="10">
        <v>2425304687</v>
      </c>
      <c r="H139" s="8" t="s">
        <v>33</v>
      </c>
    </row>
    <row r="140" spans="1:8" ht="14.25" customHeight="1" x14ac:dyDescent="0.35">
      <c r="A140" s="8" t="s">
        <v>191</v>
      </c>
      <c r="B140" s="8" t="s">
        <v>18</v>
      </c>
      <c r="C140" s="8" t="s">
        <v>24</v>
      </c>
      <c r="D140" s="8" t="s">
        <v>618</v>
      </c>
      <c r="E140" s="9">
        <v>45017</v>
      </c>
      <c r="F140" s="9">
        <v>45053</v>
      </c>
      <c r="G140" s="10">
        <v>3263728734</v>
      </c>
      <c r="H140" s="8" t="s">
        <v>44</v>
      </c>
    </row>
    <row r="141" spans="1:8" ht="14.25" customHeight="1" x14ac:dyDescent="0.35">
      <c r="A141" s="8" t="s">
        <v>192</v>
      </c>
      <c r="B141" s="8" t="s">
        <v>18</v>
      </c>
      <c r="C141" s="8" t="s">
        <v>19</v>
      </c>
      <c r="D141" s="8" t="s">
        <v>633</v>
      </c>
      <c r="E141" s="9">
        <v>45018</v>
      </c>
      <c r="F141" s="9">
        <v>45255</v>
      </c>
      <c r="G141" s="10">
        <v>7299558365</v>
      </c>
      <c r="H141" s="8" t="s">
        <v>581</v>
      </c>
    </row>
    <row r="142" spans="1:8" ht="14.25" customHeight="1" x14ac:dyDescent="0.35">
      <c r="A142" s="8" t="s">
        <v>193</v>
      </c>
      <c r="B142" s="8" t="s">
        <v>12</v>
      </c>
      <c r="C142" s="8" t="s">
        <v>42</v>
      </c>
      <c r="D142" s="8" t="s">
        <v>603</v>
      </c>
      <c r="E142" s="9">
        <v>45018</v>
      </c>
      <c r="F142" s="9">
        <v>45084</v>
      </c>
      <c r="G142" s="10">
        <v>304540977</v>
      </c>
      <c r="H142" s="8" t="s">
        <v>44</v>
      </c>
    </row>
    <row r="143" spans="1:8" ht="14.25" customHeight="1" x14ac:dyDescent="0.35">
      <c r="A143" s="8" t="s">
        <v>194</v>
      </c>
      <c r="B143" s="8" t="s">
        <v>30</v>
      </c>
      <c r="C143" s="8" t="s">
        <v>24</v>
      </c>
      <c r="D143" s="8" t="s">
        <v>637</v>
      </c>
      <c r="E143" s="9">
        <v>45018</v>
      </c>
      <c r="F143" s="9">
        <v>45371</v>
      </c>
      <c r="G143" s="10">
        <v>5043663492</v>
      </c>
      <c r="H143" s="8" t="s">
        <v>581</v>
      </c>
    </row>
    <row r="144" spans="1:8" ht="14.25" customHeight="1" x14ac:dyDescent="0.35">
      <c r="A144" s="8" t="s">
        <v>195</v>
      </c>
      <c r="B144" s="8" t="s">
        <v>60</v>
      </c>
      <c r="C144" s="8" t="s">
        <v>19</v>
      </c>
      <c r="D144" s="8" t="s">
        <v>635</v>
      </c>
      <c r="E144" s="9">
        <v>45020</v>
      </c>
      <c r="F144" s="9">
        <v>45200</v>
      </c>
      <c r="G144" s="10">
        <v>3438414318</v>
      </c>
      <c r="H144" s="8" t="s">
        <v>573</v>
      </c>
    </row>
    <row r="145" spans="1:8" ht="14.25" customHeight="1" x14ac:dyDescent="0.35">
      <c r="A145" s="8" t="s">
        <v>196</v>
      </c>
      <c r="B145" s="8" t="s">
        <v>12</v>
      </c>
      <c r="C145" s="8" t="s">
        <v>19</v>
      </c>
      <c r="D145" s="8" t="s">
        <v>631</v>
      </c>
      <c r="E145" s="9">
        <v>45020</v>
      </c>
      <c r="F145" s="9">
        <v>45381</v>
      </c>
      <c r="G145" s="10">
        <v>538173778</v>
      </c>
      <c r="H145" s="8" t="s">
        <v>581</v>
      </c>
    </row>
    <row r="146" spans="1:8" ht="14.25" customHeight="1" x14ac:dyDescent="0.35">
      <c r="A146" s="8" t="s">
        <v>197</v>
      </c>
      <c r="B146" s="8" t="s">
        <v>18</v>
      </c>
      <c r="C146" s="8" t="s">
        <v>39</v>
      </c>
      <c r="D146" s="8" t="s">
        <v>577</v>
      </c>
      <c r="E146" s="9">
        <v>45022</v>
      </c>
      <c r="F146" s="9">
        <v>45248</v>
      </c>
      <c r="G146" s="10">
        <v>4142478037</v>
      </c>
      <c r="H146" s="8" t="s">
        <v>67</v>
      </c>
    </row>
    <row r="147" spans="1:8" ht="14.25" customHeight="1" x14ac:dyDescent="0.35">
      <c r="A147" s="8" t="s">
        <v>198</v>
      </c>
      <c r="B147" s="8" t="s">
        <v>30</v>
      </c>
      <c r="C147" s="8" t="s">
        <v>48</v>
      </c>
      <c r="D147" s="8" t="s">
        <v>615</v>
      </c>
      <c r="E147" s="9">
        <v>45023</v>
      </c>
      <c r="F147" s="9">
        <v>45075</v>
      </c>
      <c r="G147" s="10">
        <v>4552866676</v>
      </c>
      <c r="H147" s="8" t="s">
        <v>21</v>
      </c>
    </row>
    <row r="148" spans="1:8" ht="14.25" customHeight="1" x14ac:dyDescent="0.35">
      <c r="A148" s="8" t="s">
        <v>199</v>
      </c>
      <c r="B148" s="8" t="s">
        <v>12</v>
      </c>
      <c r="C148" s="8" t="s">
        <v>13</v>
      </c>
      <c r="D148" s="8" t="s">
        <v>605</v>
      </c>
      <c r="E148" s="9">
        <v>45024</v>
      </c>
      <c r="F148" s="9">
        <v>45121</v>
      </c>
      <c r="G148" s="10">
        <v>902216985</v>
      </c>
      <c r="H148" s="8" t="s">
        <v>50</v>
      </c>
    </row>
    <row r="149" spans="1:8" ht="14.25" customHeight="1" x14ac:dyDescent="0.35">
      <c r="A149" s="8" t="s">
        <v>200</v>
      </c>
      <c r="B149" s="8" t="s">
        <v>30</v>
      </c>
      <c r="C149" s="8" t="s">
        <v>36</v>
      </c>
      <c r="D149" s="8" t="s">
        <v>614</v>
      </c>
      <c r="E149" s="9">
        <v>45024</v>
      </c>
      <c r="F149" s="9">
        <v>45253</v>
      </c>
      <c r="G149" s="10">
        <v>6582376288</v>
      </c>
      <c r="H149" s="8" t="s">
        <v>33</v>
      </c>
    </row>
    <row r="150" spans="1:8" ht="14.25" customHeight="1" x14ac:dyDescent="0.35">
      <c r="A150" s="8" t="s">
        <v>201</v>
      </c>
      <c r="B150" s="8" t="s">
        <v>35</v>
      </c>
      <c r="C150" s="8" t="s">
        <v>48</v>
      </c>
      <c r="D150" s="8" t="s">
        <v>49</v>
      </c>
      <c r="E150" s="9">
        <v>45026</v>
      </c>
      <c r="F150" s="9">
        <v>45305</v>
      </c>
      <c r="G150" s="10">
        <v>204769884</v>
      </c>
      <c r="H150" s="8" t="s">
        <v>573</v>
      </c>
    </row>
    <row r="151" spans="1:8" ht="14.25" customHeight="1" x14ac:dyDescent="0.35">
      <c r="A151" s="8" t="s">
        <v>202</v>
      </c>
      <c r="B151" s="8" t="s">
        <v>12</v>
      </c>
      <c r="C151" s="8" t="s">
        <v>36</v>
      </c>
      <c r="D151" s="8" t="s">
        <v>578</v>
      </c>
      <c r="E151" s="9">
        <v>45026</v>
      </c>
      <c r="F151" s="9">
        <v>45320</v>
      </c>
      <c r="G151" s="10">
        <v>100103542</v>
      </c>
      <c r="H151" s="8" t="s">
        <v>67</v>
      </c>
    </row>
    <row r="152" spans="1:8" ht="14.25" customHeight="1" x14ac:dyDescent="0.35">
      <c r="A152" s="8" t="s">
        <v>203</v>
      </c>
      <c r="B152" s="8" t="s">
        <v>30</v>
      </c>
      <c r="C152" s="8" t="s">
        <v>39</v>
      </c>
      <c r="D152" s="8" t="s">
        <v>590</v>
      </c>
      <c r="E152" s="9">
        <v>45028</v>
      </c>
      <c r="F152" s="9">
        <v>45097</v>
      </c>
      <c r="G152" s="10">
        <v>567827038</v>
      </c>
      <c r="H152" s="8" t="s">
        <v>581</v>
      </c>
    </row>
    <row r="153" spans="1:8" ht="14.25" customHeight="1" x14ac:dyDescent="0.35">
      <c r="A153" s="8" t="s">
        <v>204</v>
      </c>
      <c r="B153" s="8" t="s">
        <v>18</v>
      </c>
      <c r="C153" s="8" t="s">
        <v>48</v>
      </c>
      <c r="D153" s="8" t="s">
        <v>629</v>
      </c>
      <c r="E153" s="9">
        <v>45031</v>
      </c>
      <c r="F153" s="9">
        <v>45211</v>
      </c>
      <c r="G153" s="10">
        <v>7382613940</v>
      </c>
      <c r="H153" s="8" t="s">
        <v>21</v>
      </c>
    </row>
    <row r="154" spans="1:8" ht="14.25" customHeight="1" x14ac:dyDescent="0.35">
      <c r="A154" s="8" t="s">
        <v>205</v>
      </c>
      <c r="B154" s="8" t="s">
        <v>18</v>
      </c>
      <c r="C154" s="8" t="s">
        <v>39</v>
      </c>
      <c r="D154" s="8" t="s">
        <v>577</v>
      </c>
      <c r="E154" s="9">
        <v>45031</v>
      </c>
      <c r="F154" s="9">
        <v>45123</v>
      </c>
      <c r="G154" s="10">
        <v>3840273247</v>
      </c>
      <c r="H154" s="8" t="s">
        <v>33</v>
      </c>
    </row>
    <row r="155" spans="1:8" ht="14.25" customHeight="1" x14ac:dyDescent="0.35">
      <c r="A155" s="8" t="s">
        <v>206</v>
      </c>
      <c r="B155" s="8" t="s">
        <v>12</v>
      </c>
      <c r="C155" s="8" t="s">
        <v>31</v>
      </c>
      <c r="D155" s="8" t="s">
        <v>593</v>
      </c>
      <c r="E155" s="9">
        <v>45033</v>
      </c>
      <c r="F155" s="9">
        <v>45370</v>
      </c>
      <c r="G155" s="10">
        <v>510276507</v>
      </c>
      <c r="H155" s="8" t="s">
        <v>44</v>
      </c>
    </row>
    <row r="156" spans="1:8" ht="14.25" customHeight="1" x14ac:dyDescent="0.35">
      <c r="A156" s="8" t="s">
        <v>207</v>
      </c>
      <c r="B156" s="8" t="s">
        <v>12</v>
      </c>
      <c r="C156" s="8" t="s">
        <v>36</v>
      </c>
      <c r="D156" s="8" t="s">
        <v>578</v>
      </c>
      <c r="E156" s="9">
        <v>45033</v>
      </c>
      <c r="F156" s="9">
        <v>45291</v>
      </c>
      <c r="G156" s="10">
        <v>806848236</v>
      </c>
      <c r="H156" s="8" t="s">
        <v>67</v>
      </c>
    </row>
    <row r="157" spans="1:8" ht="14.25" customHeight="1" x14ac:dyDescent="0.35">
      <c r="A157" s="8" t="s">
        <v>208</v>
      </c>
      <c r="B157" s="8" t="s">
        <v>60</v>
      </c>
      <c r="C157" s="8" t="s">
        <v>48</v>
      </c>
      <c r="D157" s="8" t="s">
        <v>622</v>
      </c>
      <c r="E157" s="9">
        <v>45034</v>
      </c>
      <c r="F157" s="9">
        <v>45257</v>
      </c>
      <c r="G157" s="10">
        <v>3687967195</v>
      </c>
      <c r="H157" s="8" t="s">
        <v>33</v>
      </c>
    </row>
    <row r="158" spans="1:8" ht="14.25" customHeight="1" x14ac:dyDescent="0.35">
      <c r="A158" s="8" t="s">
        <v>209</v>
      </c>
      <c r="B158" s="8" t="s">
        <v>30</v>
      </c>
      <c r="C158" s="8" t="s">
        <v>39</v>
      </c>
      <c r="D158" s="8" t="s">
        <v>638</v>
      </c>
      <c r="E158" s="9">
        <v>45035</v>
      </c>
      <c r="F158" s="9">
        <v>45339</v>
      </c>
      <c r="G158" s="10">
        <v>4409857336</v>
      </c>
      <c r="H158" s="11"/>
    </row>
    <row r="159" spans="1:8" ht="14.25" customHeight="1" x14ac:dyDescent="0.35">
      <c r="A159" s="8" t="s">
        <v>210</v>
      </c>
      <c r="B159" s="8" t="s">
        <v>35</v>
      </c>
      <c r="C159" s="8" t="s">
        <v>13</v>
      </c>
      <c r="D159" s="8" t="s">
        <v>78</v>
      </c>
      <c r="E159" s="9">
        <v>45035</v>
      </c>
      <c r="F159" s="9">
        <v>45297</v>
      </c>
      <c r="G159" s="10">
        <v>603531905</v>
      </c>
      <c r="H159" s="8" t="s">
        <v>573</v>
      </c>
    </row>
    <row r="160" spans="1:8" ht="14.25" customHeight="1" x14ac:dyDescent="0.35">
      <c r="A160" s="8" t="s">
        <v>211</v>
      </c>
      <c r="B160" s="8" t="s">
        <v>35</v>
      </c>
      <c r="C160" s="8" t="s">
        <v>48</v>
      </c>
      <c r="D160" s="8" t="s">
        <v>49</v>
      </c>
      <c r="E160" s="9">
        <v>45035</v>
      </c>
      <c r="F160" s="9">
        <v>45269</v>
      </c>
      <c r="G160" s="10">
        <v>648732190</v>
      </c>
      <c r="H160" s="8" t="s">
        <v>581</v>
      </c>
    </row>
    <row r="161" spans="1:8" ht="14.25" customHeight="1" x14ac:dyDescent="0.35">
      <c r="A161" s="8" t="s">
        <v>212</v>
      </c>
      <c r="B161" s="8" t="s">
        <v>12</v>
      </c>
      <c r="C161" s="8" t="s">
        <v>48</v>
      </c>
      <c r="D161" s="8" t="s">
        <v>602</v>
      </c>
      <c r="E161" s="9">
        <v>45035</v>
      </c>
      <c r="F161" s="9">
        <v>45179</v>
      </c>
      <c r="G161" s="10">
        <v>872561312</v>
      </c>
      <c r="H161" s="8" t="s">
        <v>33</v>
      </c>
    </row>
    <row r="162" spans="1:8" ht="14.25" customHeight="1" x14ac:dyDescent="0.35">
      <c r="A162" s="8" t="s">
        <v>213</v>
      </c>
      <c r="B162" s="8" t="s">
        <v>35</v>
      </c>
      <c r="C162" s="8" t="s">
        <v>48</v>
      </c>
      <c r="D162" s="8" t="s">
        <v>49</v>
      </c>
      <c r="E162" s="9">
        <v>45036</v>
      </c>
      <c r="F162" s="9">
        <v>45119</v>
      </c>
      <c r="G162" s="10">
        <v>461667131</v>
      </c>
      <c r="H162" s="8" t="s">
        <v>50</v>
      </c>
    </row>
    <row r="163" spans="1:8" ht="14.25" customHeight="1" x14ac:dyDescent="0.35">
      <c r="A163" s="8" t="s">
        <v>214</v>
      </c>
      <c r="B163" s="8" t="s">
        <v>35</v>
      </c>
      <c r="C163" s="8" t="s">
        <v>36</v>
      </c>
      <c r="D163" s="8" t="s">
        <v>37</v>
      </c>
      <c r="E163" s="9">
        <v>45036</v>
      </c>
      <c r="F163" s="9">
        <v>45313</v>
      </c>
      <c r="G163" s="10">
        <v>265879074</v>
      </c>
      <c r="H163" s="11"/>
    </row>
    <row r="164" spans="1:8" ht="14.25" customHeight="1" x14ac:dyDescent="0.35">
      <c r="A164" s="8" t="s">
        <v>215</v>
      </c>
      <c r="B164" s="8" t="s">
        <v>12</v>
      </c>
      <c r="C164" s="8" t="s">
        <v>39</v>
      </c>
      <c r="D164" s="8" t="s">
        <v>591</v>
      </c>
      <c r="E164" s="9">
        <v>45037</v>
      </c>
      <c r="F164" s="9">
        <v>45384</v>
      </c>
      <c r="G164" s="10">
        <v>339042702</v>
      </c>
      <c r="H164" s="8" t="s">
        <v>67</v>
      </c>
    </row>
    <row r="165" spans="1:8" ht="14.25" customHeight="1" x14ac:dyDescent="0.35">
      <c r="A165" s="8" t="s">
        <v>216</v>
      </c>
      <c r="B165" s="8" t="s">
        <v>18</v>
      </c>
      <c r="C165" s="8" t="s">
        <v>42</v>
      </c>
      <c r="D165" s="8" t="s">
        <v>621</v>
      </c>
      <c r="E165" s="9">
        <v>45038</v>
      </c>
      <c r="F165" s="9">
        <v>45308</v>
      </c>
      <c r="G165" s="10">
        <v>9295259236</v>
      </c>
      <c r="H165" s="8" t="s">
        <v>21</v>
      </c>
    </row>
    <row r="166" spans="1:8" ht="14.25" customHeight="1" x14ac:dyDescent="0.35">
      <c r="A166" s="8" t="s">
        <v>217</v>
      </c>
      <c r="B166" s="8" t="s">
        <v>18</v>
      </c>
      <c r="C166" s="8" t="s">
        <v>31</v>
      </c>
      <c r="D166" s="8" t="s">
        <v>636</v>
      </c>
      <c r="E166" s="9">
        <v>45038</v>
      </c>
      <c r="F166" s="9">
        <v>45333</v>
      </c>
      <c r="G166" s="10">
        <v>7601913991</v>
      </c>
      <c r="H166" s="8" t="s">
        <v>44</v>
      </c>
    </row>
    <row r="167" spans="1:8" ht="14.25" customHeight="1" x14ac:dyDescent="0.35">
      <c r="A167" s="8" t="s">
        <v>218</v>
      </c>
      <c r="B167" s="8" t="s">
        <v>12</v>
      </c>
      <c r="C167" s="8" t="s">
        <v>31</v>
      </c>
      <c r="D167" s="8" t="s">
        <v>593</v>
      </c>
      <c r="E167" s="9">
        <v>45039</v>
      </c>
      <c r="F167" s="9">
        <v>45306</v>
      </c>
      <c r="G167" s="10">
        <v>307072675</v>
      </c>
      <c r="H167" s="8" t="s">
        <v>44</v>
      </c>
    </row>
    <row r="168" spans="1:8" ht="14.25" customHeight="1" x14ac:dyDescent="0.35">
      <c r="A168" s="8" t="s">
        <v>219</v>
      </c>
      <c r="B168" s="8" t="s">
        <v>30</v>
      </c>
      <c r="C168" s="8" t="s">
        <v>36</v>
      </c>
      <c r="D168" s="8" t="s">
        <v>639</v>
      </c>
      <c r="E168" s="9">
        <v>45039</v>
      </c>
      <c r="F168" s="9">
        <v>45274</v>
      </c>
      <c r="G168" s="10">
        <v>3190510162</v>
      </c>
      <c r="H168" s="8" t="s">
        <v>67</v>
      </c>
    </row>
    <row r="169" spans="1:8" ht="14.25" customHeight="1" x14ac:dyDescent="0.35">
      <c r="A169" s="8" t="s">
        <v>220</v>
      </c>
      <c r="B169" s="8" t="s">
        <v>35</v>
      </c>
      <c r="C169" s="8" t="s">
        <v>42</v>
      </c>
      <c r="D169" s="8" t="s">
        <v>69</v>
      </c>
      <c r="E169" s="9">
        <v>45041</v>
      </c>
      <c r="F169" s="9">
        <v>45102</v>
      </c>
      <c r="G169" s="10">
        <v>724043833</v>
      </c>
      <c r="H169" s="8" t="s">
        <v>67</v>
      </c>
    </row>
    <row r="170" spans="1:8" ht="14.25" customHeight="1" x14ac:dyDescent="0.35">
      <c r="A170" s="8" t="s">
        <v>221</v>
      </c>
      <c r="B170" s="8" t="s">
        <v>60</v>
      </c>
      <c r="C170" s="8" t="s">
        <v>24</v>
      </c>
      <c r="D170" s="8" t="s">
        <v>640</v>
      </c>
      <c r="E170" s="9">
        <v>45041</v>
      </c>
      <c r="F170" s="9">
        <v>45359</v>
      </c>
      <c r="G170" s="10">
        <v>3094852115</v>
      </c>
      <c r="H170" s="8" t="s">
        <v>50</v>
      </c>
    </row>
    <row r="171" spans="1:8" ht="14.25" customHeight="1" x14ac:dyDescent="0.35">
      <c r="A171" s="8" t="s">
        <v>222</v>
      </c>
      <c r="B171" s="8" t="s">
        <v>35</v>
      </c>
      <c r="C171" s="8" t="s">
        <v>13</v>
      </c>
      <c r="D171" s="8" t="s">
        <v>78</v>
      </c>
      <c r="E171" s="9">
        <v>45042</v>
      </c>
      <c r="F171" s="9">
        <v>45364</v>
      </c>
      <c r="G171" s="10">
        <v>433880373</v>
      </c>
      <c r="H171" s="11"/>
    </row>
    <row r="172" spans="1:8" ht="14.25" customHeight="1" x14ac:dyDescent="0.35">
      <c r="A172" s="8" t="s">
        <v>223</v>
      </c>
      <c r="B172" s="8" t="s">
        <v>30</v>
      </c>
      <c r="C172" s="8" t="s">
        <v>48</v>
      </c>
      <c r="D172" s="8" t="s">
        <v>615</v>
      </c>
      <c r="E172" s="9">
        <v>45045</v>
      </c>
      <c r="F172" s="9">
        <v>45394</v>
      </c>
      <c r="G172" s="10">
        <v>5094791554</v>
      </c>
      <c r="H172" s="8" t="s">
        <v>44</v>
      </c>
    </row>
    <row r="173" spans="1:8" ht="14.25" customHeight="1" x14ac:dyDescent="0.35">
      <c r="A173" s="8" t="s">
        <v>224</v>
      </c>
      <c r="B173" s="8" t="s">
        <v>12</v>
      </c>
      <c r="C173" s="8" t="s">
        <v>48</v>
      </c>
      <c r="D173" s="8" t="s">
        <v>602</v>
      </c>
      <c r="E173" s="9">
        <v>45045</v>
      </c>
      <c r="F173" s="9">
        <v>45324</v>
      </c>
      <c r="G173" s="10">
        <v>407950829</v>
      </c>
      <c r="H173" s="11"/>
    </row>
    <row r="174" spans="1:8" ht="14.25" customHeight="1" x14ac:dyDescent="0.35">
      <c r="A174" s="8" t="s">
        <v>225</v>
      </c>
      <c r="B174" s="8" t="s">
        <v>18</v>
      </c>
      <c r="C174" s="8" t="s">
        <v>13</v>
      </c>
      <c r="D174" s="8" t="s">
        <v>580</v>
      </c>
      <c r="E174" s="9">
        <v>45045</v>
      </c>
      <c r="F174" s="9">
        <v>45376</v>
      </c>
      <c r="G174" s="10">
        <v>1692019622</v>
      </c>
      <c r="H174" s="8" t="s">
        <v>21</v>
      </c>
    </row>
    <row r="175" spans="1:8" ht="14.25" customHeight="1" x14ac:dyDescent="0.35">
      <c r="A175" s="8" t="s">
        <v>226</v>
      </c>
      <c r="B175" s="8" t="s">
        <v>60</v>
      </c>
      <c r="C175" s="8" t="s">
        <v>24</v>
      </c>
      <c r="D175" s="8" t="s">
        <v>640</v>
      </c>
      <c r="E175" s="9">
        <v>45045</v>
      </c>
      <c r="F175" s="9">
        <v>45404</v>
      </c>
      <c r="G175" s="10">
        <v>4909765412</v>
      </c>
      <c r="H175" s="8" t="s">
        <v>581</v>
      </c>
    </row>
    <row r="176" spans="1:8" ht="14.25" customHeight="1" x14ac:dyDescent="0.35">
      <c r="A176" s="8" t="s">
        <v>227</v>
      </c>
      <c r="B176" s="8" t="s">
        <v>60</v>
      </c>
      <c r="C176" s="8" t="s">
        <v>24</v>
      </c>
      <c r="D176" s="8" t="s">
        <v>640</v>
      </c>
      <c r="E176" s="9">
        <v>45045</v>
      </c>
      <c r="F176" s="9">
        <v>45150</v>
      </c>
      <c r="G176" s="10">
        <v>3396315626</v>
      </c>
      <c r="H176" s="8" t="s">
        <v>33</v>
      </c>
    </row>
    <row r="177" spans="1:8" ht="14.25" customHeight="1" x14ac:dyDescent="0.35">
      <c r="A177" s="8" t="s">
        <v>228</v>
      </c>
      <c r="B177" s="8" t="s">
        <v>60</v>
      </c>
      <c r="C177" s="8" t="s">
        <v>31</v>
      </c>
      <c r="D177" s="8" t="s">
        <v>599</v>
      </c>
      <c r="E177" s="9">
        <v>45048</v>
      </c>
      <c r="F177" s="9">
        <v>45358</v>
      </c>
      <c r="G177" s="10">
        <v>2665194797</v>
      </c>
      <c r="H177" s="11"/>
    </row>
    <row r="178" spans="1:8" ht="14.25" customHeight="1" x14ac:dyDescent="0.35">
      <c r="A178" s="8" t="s">
        <v>229</v>
      </c>
      <c r="B178" s="8" t="s">
        <v>30</v>
      </c>
      <c r="C178" s="8" t="s">
        <v>31</v>
      </c>
      <c r="D178" s="8" t="s">
        <v>585</v>
      </c>
      <c r="E178" s="9">
        <v>45049</v>
      </c>
      <c r="F178" s="9">
        <v>45401</v>
      </c>
      <c r="G178" s="10">
        <v>2586947699</v>
      </c>
      <c r="H178" s="11"/>
    </row>
    <row r="179" spans="1:8" ht="14.25" customHeight="1" x14ac:dyDescent="0.35">
      <c r="A179" s="8" t="s">
        <v>230</v>
      </c>
      <c r="B179" s="8" t="s">
        <v>12</v>
      </c>
      <c r="C179" s="8" t="s">
        <v>36</v>
      </c>
      <c r="D179" s="8" t="s">
        <v>578</v>
      </c>
      <c r="E179" s="9">
        <v>45052</v>
      </c>
      <c r="F179" s="9">
        <v>45087</v>
      </c>
      <c r="G179" s="10">
        <v>189032296</v>
      </c>
      <c r="H179" s="11"/>
    </row>
    <row r="180" spans="1:8" ht="14.25" customHeight="1" x14ac:dyDescent="0.35">
      <c r="A180" s="8" t="s">
        <v>231</v>
      </c>
      <c r="B180" s="8" t="s">
        <v>12</v>
      </c>
      <c r="C180" s="8" t="s">
        <v>39</v>
      </c>
      <c r="D180" s="8" t="s">
        <v>591</v>
      </c>
      <c r="E180" s="9">
        <v>45052</v>
      </c>
      <c r="F180" s="9">
        <v>45253</v>
      </c>
      <c r="G180" s="10">
        <v>484231869</v>
      </c>
      <c r="H180" s="8" t="s">
        <v>44</v>
      </c>
    </row>
    <row r="181" spans="1:8" ht="14.25" customHeight="1" x14ac:dyDescent="0.35">
      <c r="A181" s="8" t="s">
        <v>232</v>
      </c>
      <c r="B181" s="8" t="s">
        <v>60</v>
      </c>
      <c r="C181" s="8" t="s">
        <v>36</v>
      </c>
      <c r="D181" s="8" t="s">
        <v>597</v>
      </c>
      <c r="E181" s="9">
        <v>45053</v>
      </c>
      <c r="F181" s="9">
        <v>45321</v>
      </c>
      <c r="G181" s="10">
        <v>1552182554</v>
      </c>
      <c r="H181" s="8" t="s">
        <v>67</v>
      </c>
    </row>
    <row r="182" spans="1:8" ht="14.25" customHeight="1" x14ac:dyDescent="0.35">
      <c r="A182" s="8" t="s">
        <v>233</v>
      </c>
      <c r="B182" s="8" t="s">
        <v>35</v>
      </c>
      <c r="C182" s="8" t="s">
        <v>31</v>
      </c>
      <c r="D182" s="8" t="s">
        <v>91</v>
      </c>
      <c r="E182" s="9">
        <v>45053</v>
      </c>
      <c r="F182" s="9">
        <v>45410</v>
      </c>
      <c r="G182" s="10">
        <v>212901636</v>
      </c>
      <c r="H182" s="8" t="s">
        <v>33</v>
      </c>
    </row>
    <row r="183" spans="1:8" ht="14.25" customHeight="1" x14ac:dyDescent="0.35">
      <c r="A183" s="8" t="s">
        <v>234</v>
      </c>
      <c r="B183" s="8" t="s">
        <v>12</v>
      </c>
      <c r="C183" s="8" t="s">
        <v>31</v>
      </c>
      <c r="D183" s="8" t="s">
        <v>593</v>
      </c>
      <c r="E183" s="9">
        <v>45055</v>
      </c>
      <c r="F183" s="9">
        <v>44950</v>
      </c>
      <c r="G183" s="10">
        <v>862295964</v>
      </c>
      <c r="H183" s="8" t="s">
        <v>67</v>
      </c>
    </row>
    <row r="184" spans="1:8" ht="14.25" customHeight="1" x14ac:dyDescent="0.35">
      <c r="A184" s="8" t="s">
        <v>235</v>
      </c>
      <c r="B184" s="8" t="s">
        <v>35</v>
      </c>
      <c r="C184" s="8" t="s">
        <v>36</v>
      </c>
      <c r="D184" s="8" t="s">
        <v>37</v>
      </c>
      <c r="E184" s="9">
        <v>45055</v>
      </c>
      <c r="F184" s="9">
        <v>45273</v>
      </c>
      <c r="G184" s="10">
        <v>636437813</v>
      </c>
      <c r="H184" s="8" t="s">
        <v>581</v>
      </c>
    </row>
    <row r="185" spans="1:8" ht="14.25" customHeight="1" x14ac:dyDescent="0.35">
      <c r="A185" s="8" t="s">
        <v>236</v>
      </c>
      <c r="B185" s="8" t="s">
        <v>18</v>
      </c>
      <c r="C185" s="8" t="s">
        <v>19</v>
      </c>
      <c r="D185" s="8" t="s">
        <v>633</v>
      </c>
      <c r="E185" s="9">
        <v>45056</v>
      </c>
      <c r="F185" s="9">
        <v>45210</v>
      </c>
      <c r="G185" s="10">
        <v>22993543140</v>
      </c>
      <c r="H185" s="8" t="s">
        <v>21</v>
      </c>
    </row>
    <row r="186" spans="1:8" ht="14.25" customHeight="1" x14ac:dyDescent="0.35">
      <c r="A186" s="8" t="s">
        <v>237</v>
      </c>
      <c r="B186" s="8" t="s">
        <v>30</v>
      </c>
      <c r="C186" s="8" t="s">
        <v>31</v>
      </c>
      <c r="D186" s="8" t="s">
        <v>595</v>
      </c>
      <c r="E186" s="9">
        <v>45056</v>
      </c>
      <c r="F186" s="9">
        <v>45364</v>
      </c>
      <c r="G186" s="10">
        <v>5097478222</v>
      </c>
      <c r="H186" s="8" t="s">
        <v>44</v>
      </c>
    </row>
    <row r="187" spans="1:8" ht="14.25" customHeight="1" x14ac:dyDescent="0.35">
      <c r="A187" s="8" t="s">
        <v>238</v>
      </c>
      <c r="B187" s="8" t="s">
        <v>30</v>
      </c>
      <c r="C187" s="8" t="s">
        <v>24</v>
      </c>
      <c r="D187" s="8" t="s">
        <v>612</v>
      </c>
      <c r="E187" s="9">
        <v>45056</v>
      </c>
      <c r="F187" s="9">
        <v>45387</v>
      </c>
      <c r="G187" s="10">
        <v>6825404228</v>
      </c>
      <c r="H187" s="8" t="s">
        <v>581</v>
      </c>
    </row>
    <row r="188" spans="1:8" ht="14.25" customHeight="1" x14ac:dyDescent="0.35">
      <c r="A188" s="8" t="s">
        <v>239</v>
      </c>
      <c r="B188" s="8" t="s">
        <v>35</v>
      </c>
      <c r="C188" s="8" t="s">
        <v>24</v>
      </c>
      <c r="D188" s="8" t="s">
        <v>133</v>
      </c>
      <c r="E188" s="9">
        <v>45057</v>
      </c>
      <c r="F188" s="9">
        <v>45337</v>
      </c>
      <c r="G188" s="10">
        <v>711908536</v>
      </c>
      <c r="H188" s="8" t="s">
        <v>573</v>
      </c>
    </row>
    <row r="189" spans="1:8" ht="14.25" customHeight="1" x14ac:dyDescent="0.35">
      <c r="A189" s="8" t="s">
        <v>240</v>
      </c>
      <c r="B189" s="8" t="s">
        <v>60</v>
      </c>
      <c r="C189" s="8" t="s">
        <v>36</v>
      </c>
      <c r="D189" s="8" t="s">
        <v>597</v>
      </c>
      <c r="E189" s="9">
        <v>45057</v>
      </c>
      <c r="F189" s="9">
        <v>45261</v>
      </c>
      <c r="G189" s="10">
        <v>4488626883</v>
      </c>
      <c r="H189" s="8" t="s">
        <v>21</v>
      </c>
    </row>
    <row r="190" spans="1:8" ht="14.25" customHeight="1" x14ac:dyDescent="0.35">
      <c r="A190" s="8" t="s">
        <v>241</v>
      </c>
      <c r="B190" s="8" t="s">
        <v>12</v>
      </c>
      <c r="C190" s="8" t="s">
        <v>31</v>
      </c>
      <c r="D190" s="8" t="s">
        <v>593</v>
      </c>
      <c r="E190" s="9">
        <v>45058</v>
      </c>
      <c r="F190" s="9">
        <v>45145</v>
      </c>
      <c r="G190" s="10">
        <v>833760455</v>
      </c>
      <c r="H190" s="8" t="s">
        <v>50</v>
      </c>
    </row>
    <row r="191" spans="1:8" ht="14.25" customHeight="1" x14ac:dyDescent="0.35">
      <c r="A191" s="8" t="s">
        <v>242</v>
      </c>
      <c r="B191" s="8" t="s">
        <v>12</v>
      </c>
      <c r="C191" s="8" t="s">
        <v>19</v>
      </c>
      <c r="D191" s="8" t="s">
        <v>631</v>
      </c>
      <c r="E191" s="9">
        <v>45059</v>
      </c>
      <c r="F191" s="9">
        <v>45390</v>
      </c>
      <c r="G191" s="10">
        <v>796873116</v>
      </c>
      <c r="H191" s="8" t="s">
        <v>33</v>
      </c>
    </row>
    <row r="192" spans="1:8" ht="14.25" customHeight="1" x14ac:dyDescent="0.35">
      <c r="A192" s="8" t="s">
        <v>243</v>
      </c>
      <c r="B192" s="8" t="s">
        <v>12</v>
      </c>
      <c r="C192" s="8" t="s">
        <v>48</v>
      </c>
      <c r="D192" s="8" t="s">
        <v>602</v>
      </c>
      <c r="E192" s="9">
        <v>45060</v>
      </c>
      <c r="F192" s="9">
        <v>45231</v>
      </c>
      <c r="G192" s="10">
        <v>265841157</v>
      </c>
      <c r="H192" s="8" t="s">
        <v>67</v>
      </c>
    </row>
    <row r="193" spans="1:8" ht="14.25" customHeight="1" x14ac:dyDescent="0.35">
      <c r="A193" s="8" t="s">
        <v>244</v>
      </c>
      <c r="B193" s="8" t="s">
        <v>30</v>
      </c>
      <c r="C193" s="8" t="s">
        <v>42</v>
      </c>
      <c r="D193" s="8" t="s">
        <v>632</v>
      </c>
      <c r="E193" s="9">
        <v>45061</v>
      </c>
      <c r="F193" s="9">
        <v>45294</v>
      </c>
      <c r="G193" s="10">
        <v>2403144972</v>
      </c>
      <c r="H193" s="8" t="s">
        <v>67</v>
      </c>
    </row>
    <row r="194" spans="1:8" ht="14.25" customHeight="1" x14ac:dyDescent="0.35">
      <c r="A194" s="8" t="s">
        <v>245</v>
      </c>
      <c r="B194" s="8" t="s">
        <v>30</v>
      </c>
      <c r="C194" s="8" t="s">
        <v>42</v>
      </c>
      <c r="D194" s="8" t="s">
        <v>632</v>
      </c>
      <c r="E194" s="9">
        <v>45062</v>
      </c>
      <c r="F194" s="9">
        <v>45418</v>
      </c>
      <c r="G194" s="10">
        <v>2353183969</v>
      </c>
      <c r="H194" s="8" t="s">
        <v>33</v>
      </c>
    </row>
    <row r="195" spans="1:8" ht="14.25" customHeight="1" x14ac:dyDescent="0.35">
      <c r="A195" s="8" t="s">
        <v>246</v>
      </c>
      <c r="B195" s="8" t="s">
        <v>30</v>
      </c>
      <c r="C195" s="8" t="s">
        <v>31</v>
      </c>
      <c r="D195" s="8" t="s">
        <v>585</v>
      </c>
      <c r="E195" s="9">
        <v>45063</v>
      </c>
      <c r="F195" s="9">
        <v>45233</v>
      </c>
      <c r="G195" s="10">
        <v>3010188959</v>
      </c>
      <c r="H195" s="8" t="s">
        <v>33</v>
      </c>
    </row>
    <row r="196" spans="1:8" ht="14.25" customHeight="1" x14ac:dyDescent="0.35">
      <c r="A196" s="8" t="s">
        <v>247</v>
      </c>
      <c r="B196" s="8" t="s">
        <v>30</v>
      </c>
      <c r="C196" s="8" t="s">
        <v>31</v>
      </c>
      <c r="D196" s="8" t="s">
        <v>585</v>
      </c>
      <c r="E196" s="9">
        <v>45063</v>
      </c>
      <c r="F196" s="9">
        <v>45274</v>
      </c>
      <c r="G196" s="10">
        <v>3270056272</v>
      </c>
      <c r="H196" s="8" t="s">
        <v>581</v>
      </c>
    </row>
    <row r="197" spans="1:8" ht="14.25" customHeight="1" x14ac:dyDescent="0.35">
      <c r="A197" s="8" t="s">
        <v>248</v>
      </c>
      <c r="B197" s="8" t="s">
        <v>60</v>
      </c>
      <c r="C197" s="8" t="s">
        <v>48</v>
      </c>
      <c r="D197" s="8" t="s">
        <v>625</v>
      </c>
      <c r="E197" s="9">
        <v>45063</v>
      </c>
      <c r="F197" s="9">
        <v>45376</v>
      </c>
      <c r="G197" s="10">
        <v>2737545275</v>
      </c>
      <c r="H197" s="8" t="s">
        <v>21</v>
      </c>
    </row>
    <row r="198" spans="1:8" ht="14.25" customHeight="1" x14ac:dyDescent="0.35">
      <c r="A198" s="8" t="s">
        <v>249</v>
      </c>
      <c r="B198" s="8" t="s">
        <v>35</v>
      </c>
      <c r="C198" s="8" t="s">
        <v>39</v>
      </c>
      <c r="D198" s="8" t="s">
        <v>145</v>
      </c>
      <c r="E198" s="9">
        <v>45063</v>
      </c>
      <c r="F198" s="9">
        <v>45215</v>
      </c>
      <c r="G198" s="10">
        <v>435396392</v>
      </c>
      <c r="H198" s="8" t="s">
        <v>21</v>
      </c>
    </row>
    <row r="199" spans="1:8" ht="14.25" customHeight="1" x14ac:dyDescent="0.35">
      <c r="A199" s="8" t="s">
        <v>250</v>
      </c>
      <c r="B199" s="8" t="s">
        <v>12</v>
      </c>
      <c r="C199" s="8" t="s">
        <v>13</v>
      </c>
      <c r="D199" s="8" t="s">
        <v>605</v>
      </c>
      <c r="E199" s="9">
        <v>45064</v>
      </c>
      <c r="F199" s="9">
        <v>45199</v>
      </c>
      <c r="G199" s="10">
        <v>862972191</v>
      </c>
      <c r="H199" s="8" t="s">
        <v>573</v>
      </c>
    </row>
    <row r="200" spans="1:8" ht="14.25" customHeight="1" x14ac:dyDescent="0.35">
      <c r="A200" s="8" t="s">
        <v>251</v>
      </c>
      <c r="B200" s="8" t="s">
        <v>35</v>
      </c>
      <c r="C200" s="8" t="s">
        <v>39</v>
      </c>
      <c r="D200" s="8" t="s">
        <v>145</v>
      </c>
      <c r="E200" s="9">
        <v>45066</v>
      </c>
      <c r="F200" s="9">
        <v>45101</v>
      </c>
      <c r="G200" s="10">
        <v>540011263</v>
      </c>
      <c r="H200" s="8" t="s">
        <v>21</v>
      </c>
    </row>
    <row r="201" spans="1:8" ht="14.25" customHeight="1" x14ac:dyDescent="0.35">
      <c r="A201" s="8" t="s">
        <v>252</v>
      </c>
      <c r="B201" s="8" t="s">
        <v>30</v>
      </c>
      <c r="C201" s="8" t="s">
        <v>42</v>
      </c>
      <c r="D201" s="8" t="s">
        <v>632</v>
      </c>
      <c r="E201" s="9">
        <v>45068</v>
      </c>
      <c r="F201" s="9">
        <v>45110</v>
      </c>
      <c r="G201" s="10">
        <v>1029500364</v>
      </c>
      <c r="H201" s="8" t="s">
        <v>50</v>
      </c>
    </row>
    <row r="202" spans="1:8" ht="14.25" customHeight="1" x14ac:dyDescent="0.35">
      <c r="A202" s="8" t="s">
        <v>253</v>
      </c>
      <c r="B202" s="8" t="s">
        <v>12</v>
      </c>
      <c r="C202" s="8" t="s">
        <v>19</v>
      </c>
      <c r="D202" s="8" t="s">
        <v>631</v>
      </c>
      <c r="E202" s="9">
        <v>45069</v>
      </c>
      <c r="F202" s="9">
        <v>45337</v>
      </c>
      <c r="G202" s="10">
        <v>641123605</v>
      </c>
      <c r="H202" s="8" t="s">
        <v>44</v>
      </c>
    </row>
    <row r="203" spans="1:8" ht="14.25" customHeight="1" x14ac:dyDescent="0.35">
      <c r="A203" s="8" t="s">
        <v>254</v>
      </c>
      <c r="B203" s="8" t="s">
        <v>60</v>
      </c>
      <c r="C203" s="8" t="s">
        <v>31</v>
      </c>
      <c r="D203" s="8" t="s">
        <v>599</v>
      </c>
      <c r="E203" s="9">
        <v>45070</v>
      </c>
      <c r="F203" s="9">
        <v>45413</v>
      </c>
      <c r="G203" s="10">
        <v>3739543587</v>
      </c>
      <c r="H203" s="8" t="s">
        <v>33</v>
      </c>
    </row>
    <row r="204" spans="1:8" ht="14.25" customHeight="1" x14ac:dyDescent="0.35">
      <c r="A204" s="8" t="s">
        <v>255</v>
      </c>
      <c r="B204" s="8" t="s">
        <v>18</v>
      </c>
      <c r="C204" s="8" t="s">
        <v>36</v>
      </c>
      <c r="D204" s="8" t="s">
        <v>634</v>
      </c>
      <c r="E204" s="9">
        <v>45072</v>
      </c>
      <c r="F204" s="9">
        <v>45108</v>
      </c>
      <c r="G204" s="10">
        <v>1989239519</v>
      </c>
      <c r="H204" s="8" t="s">
        <v>67</v>
      </c>
    </row>
    <row r="205" spans="1:8" ht="14.25" customHeight="1" x14ac:dyDescent="0.35">
      <c r="A205" s="8" t="s">
        <v>256</v>
      </c>
      <c r="B205" s="8" t="s">
        <v>12</v>
      </c>
      <c r="C205" s="8" t="s">
        <v>48</v>
      </c>
      <c r="D205" s="8" t="s">
        <v>602</v>
      </c>
      <c r="E205" s="9">
        <v>45072</v>
      </c>
      <c r="F205" s="9">
        <v>45310</v>
      </c>
      <c r="G205" s="10">
        <v>751081465</v>
      </c>
      <c r="H205" s="8" t="s">
        <v>21</v>
      </c>
    </row>
    <row r="206" spans="1:8" ht="14.25" customHeight="1" x14ac:dyDescent="0.35">
      <c r="A206" s="8" t="s">
        <v>257</v>
      </c>
      <c r="B206" s="8" t="s">
        <v>35</v>
      </c>
      <c r="C206" s="8" t="s">
        <v>48</v>
      </c>
      <c r="D206" s="8" t="s">
        <v>49</v>
      </c>
      <c r="E206" s="9">
        <v>45073</v>
      </c>
      <c r="F206" s="9">
        <v>45400</v>
      </c>
      <c r="G206" s="10">
        <v>396170576</v>
      </c>
      <c r="H206" s="8" t="s">
        <v>50</v>
      </c>
    </row>
    <row r="207" spans="1:8" ht="14.25" customHeight="1" x14ac:dyDescent="0.35">
      <c r="A207" s="8" t="s">
        <v>258</v>
      </c>
      <c r="B207" s="8" t="s">
        <v>60</v>
      </c>
      <c r="C207" s="8" t="s">
        <v>36</v>
      </c>
      <c r="D207" s="8" t="s">
        <v>597</v>
      </c>
      <c r="E207" s="9">
        <v>45073</v>
      </c>
      <c r="F207" s="9">
        <v>45368</v>
      </c>
      <c r="G207" s="10">
        <v>3867278410</v>
      </c>
      <c r="H207" s="8" t="s">
        <v>67</v>
      </c>
    </row>
    <row r="208" spans="1:8" ht="14.25" customHeight="1" x14ac:dyDescent="0.35">
      <c r="A208" s="8" t="s">
        <v>259</v>
      </c>
      <c r="B208" s="8" t="s">
        <v>18</v>
      </c>
      <c r="C208" s="8" t="s">
        <v>39</v>
      </c>
      <c r="D208" s="8" t="s">
        <v>577</v>
      </c>
      <c r="E208" s="9">
        <v>45074</v>
      </c>
      <c r="F208" s="9">
        <v>45326</v>
      </c>
      <c r="G208" s="10">
        <v>1475452617</v>
      </c>
      <c r="H208" s="8" t="s">
        <v>21</v>
      </c>
    </row>
    <row r="209" spans="1:8" ht="14.25" customHeight="1" x14ac:dyDescent="0.35">
      <c r="A209" s="8" t="s">
        <v>260</v>
      </c>
      <c r="B209" s="11"/>
      <c r="C209" s="11"/>
      <c r="D209" s="8" t="s">
        <v>629</v>
      </c>
      <c r="E209" s="9">
        <v>45074</v>
      </c>
      <c r="F209" s="9">
        <v>45243</v>
      </c>
      <c r="G209" s="10">
        <v>8372699981</v>
      </c>
      <c r="H209" s="11"/>
    </row>
    <row r="210" spans="1:8" ht="14.25" customHeight="1" x14ac:dyDescent="0.35">
      <c r="A210" s="8" t="s">
        <v>261</v>
      </c>
      <c r="B210" s="8" t="s">
        <v>35</v>
      </c>
      <c r="C210" s="8" t="s">
        <v>31</v>
      </c>
      <c r="D210" s="8" t="s">
        <v>91</v>
      </c>
      <c r="E210" s="9">
        <v>45074</v>
      </c>
      <c r="F210" s="9">
        <v>45215</v>
      </c>
      <c r="G210" s="10">
        <v>467726708</v>
      </c>
      <c r="H210" s="8" t="s">
        <v>573</v>
      </c>
    </row>
    <row r="211" spans="1:8" ht="14.25" customHeight="1" x14ac:dyDescent="0.35">
      <c r="A211" s="8" t="s">
        <v>262</v>
      </c>
      <c r="B211" s="8" t="s">
        <v>30</v>
      </c>
      <c r="C211" s="8" t="s">
        <v>31</v>
      </c>
      <c r="D211" s="8" t="s">
        <v>595</v>
      </c>
      <c r="E211" s="9">
        <v>45075</v>
      </c>
      <c r="F211" s="9">
        <v>45276</v>
      </c>
      <c r="G211" s="10">
        <v>3277415006</v>
      </c>
      <c r="H211" s="8" t="s">
        <v>33</v>
      </c>
    </row>
    <row r="212" spans="1:8" ht="14.25" customHeight="1" x14ac:dyDescent="0.35">
      <c r="A212" s="8" t="s">
        <v>263</v>
      </c>
      <c r="B212" s="8" t="s">
        <v>35</v>
      </c>
      <c r="C212" s="8" t="s">
        <v>31</v>
      </c>
      <c r="D212" s="8" t="s">
        <v>91</v>
      </c>
      <c r="E212" s="9">
        <v>45076</v>
      </c>
      <c r="F212" s="9">
        <v>45355</v>
      </c>
      <c r="G212" s="10">
        <v>636468503</v>
      </c>
      <c r="H212" s="8" t="s">
        <v>581</v>
      </c>
    </row>
    <row r="213" spans="1:8" ht="14.25" customHeight="1" x14ac:dyDescent="0.35">
      <c r="A213" s="8" t="s">
        <v>264</v>
      </c>
      <c r="B213" s="8" t="s">
        <v>18</v>
      </c>
      <c r="C213" s="8" t="s">
        <v>48</v>
      </c>
      <c r="D213" s="8" t="s">
        <v>629</v>
      </c>
      <c r="E213" s="9">
        <v>45078</v>
      </c>
      <c r="F213" s="9">
        <v>45153</v>
      </c>
      <c r="G213" s="10">
        <v>1206249778</v>
      </c>
      <c r="H213" s="8" t="s">
        <v>67</v>
      </c>
    </row>
    <row r="214" spans="1:8" ht="14.25" customHeight="1" x14ac:dyDescent="0.35">
      <c r="A214" s="8" t="s">
        <v>264</v>
      </c>
      <c r="B214" s="8" t="s">
        <v>18</v>
      </c>
      <c r="C214" s="8" t="s">
        <v>48</v>
      </c>
      <c r="D214" s="8" t="s">
        <v>629</v>
      </c>
      <c r="E214" s="9">
        <v>45078</v>
      </c>
      <c r="F214" s="9">
        <v>45153</v>
      </c>
      <c r="G214" s="10">
        <v>6060807570</v>
      </c>
      <c r="H214" s="8" t="s">
        <v>581</v>
      </c>
    </row>
    <row r="215" spans="1:8" ht="14.25" customHeight="1" x14ac:dyDescent="0.35">
      <c r="A215" s="8" t="s">
        <v>266</v>
      </c>
      <c r="B215" s="8" t="s">
        <v>60</v>
      </c>
      <c r="C215" s="8" t="s">
        <v>42</v>
      </c>
      <c r="D215" s="8" t="s">
        <v>587</v>
      </c>
      <c r="E215" s="9">
        <v>45078</v>
      </c>
      <c r="F215" s="9">
        <v>45220</v>
      </c>
      <c r="G215" s="10">
        <v>2544644297</v>
      </c>
      <c r="H215" s="11"/>
    </row>
    <row r="216" spans="1:8" ht="14.25" customHeight="1" x14ac:dyDescent="0.35">
      <c r="A216" s="8" t="s">
        <v>267</v>
      </c>
      <c r="B216" s="8" t="s">
        <v>30</v>
      </c>
      <c r="C216" s="8" t="s">
        <v>39</v>
      </c>
      <c r="D216" s="8" t="s">
        <v>590</v>
      </c>
      <c r="E216" s="9">
        <v>45080</v>
      </c>
      <c r="F216" s="9">
        <v>45423</v>
      </c>
      <c r="G216" s="10">
        <v>6557069994</v>
      </c>
      <c r="H216" s="8" t="s">
        <v>33</v>
      </c>
    </row>
    <row r="217" spans="1:8" ht="14.25" customHeight="1" x14ac:dyDescent="0.35">
      <c r="A217" s="8" t="s">
        <v>268</v>
      </c>
      <c r="B217" s="8" t="s">
        <v>60</v>
      </c>
      <c r="C217" s="8" t="s">
        <v>19</v>
      </c>
      <c r="D217" s="8" t="s">
        <v>616</v>
      </c>
      <c r="E217" s="9">
        <v>45081</v>
      </c>
      <c r="F217" s="9">
        <v>45393</v>
      </c>
      <c r="G217" s="10">
        <v>4526013687</v>
      </c>
      <c r="H217" s="8" t="s">
        <v>67</v>
      </c>
    </row>
    <row r="218" spans="1:8" ht="14.25" customHeight="1" x14ac:dyDescent="0.35">
      <c r="A218" s="8" t="s">
        <v>269</v>
      </c>
      <c r="B218" s="8" t="s">
        <v>60</v>
      </c>
      <c r="C218" s="8" t="s">
        <v>36</v>
      </c>
      <c r="D218" s="8" t="s">
        <v>597</v>
      </c>
      <c r="E218" s="9">
        <v>45081</v>
      </c>
      <c r="F218" s="9">
        <v>45336</v>
      </c>
      <c r="G218" s="10">
        <v>1746655000</v>
      </c>
      <c r="H218" s="8" t="s">
        <v>44</v>
      </c>
    </row>
    <row r="219" spans="1:8" ht="14.25" customHeight="1" x14ac:dyDescent="0.35">
      <c r="A219" s="8" t="s">
        <v>270</v>
      </c>
      <c r="B219" s="8" t="s">
        <v>30</v>
      </c>
      <c r="C219" s="8" t="s">
        <v>42</v>
      </c>
      <c r="D219" s="8" t="s">
        <v>632</v>
      </c>
      <c r="E219" s="9">
        <v>45081</v>
      </c>
      <c r="F219" s="9">
        <v>45151</v>
      </c>
      <c r="G219" s="10">
        <v>846453122</v>
      </c>
      <c r="H219" s="8" t="s">
        <v>50</v>
      </c>
    </row>
    <row r="220" spans="1:8" ht="14.25" customHeight="1" x14ac:dyDescent="0.35">
      <c r="A220" s="8" t="s">
        <v>271</v>
      </c>
      <c r="B220" s="8" t="s">
        <v>12</v>
      </c>
      <c r="C220" s="8" t="s">
        <v>19</v>
      </c>
      <c r="D220" s="8" t="s">
        <v>631</v>
      </c>
      <c r="E220" s="9">
        <v>45081</v>
      </c>
      <c r="F220" s="9">
        <v>45142</v>
      </c>
      <c r="G220" s="10">
        <v>203965243</v>
      </c>
      <c r="H220" s="8" t="s">
        <v>50</v>
      </c>
    </row>
    <row r="221" spans="1:8" ht="14.25" customHeight="1" x14ac:dyDescent="0.35">
      <c r="A221" s="8" t="s">
        <v>272</v>
      </c>
      <c r="B221" s="8" t="s">
        <v>60</v>
      </c>
      <c r="C221" s="8" t="s">
        <v>31</v>
      </c>
      <c r="D221" s="8" t="s">
        <v>613</v>
      </c>
      <c r="E221" s="9">
        <v>45081</v>
      </c>
      <c r="F221" s="9">
        <v>45386</v>
      </c>
      <c r="G221" s="10">
        <v>10119728525</v>
      </c>
      <c r="H221" s="8" t="s">
        <v>67</v>
      </c>
    </row>
    <row r="222" spans="1:8" ht="14.25" customHeight="1" x14ac:dyDescent="0.35">
      <c r="A222" s="8" t="s">
        <v>273</v>
      </c>
      <c r="B222" s="8" t="s">
        <v>60</v>
      </c>
      <c r="C222" s="8" t="s">
        <v>19</v>
      </c>
      <c r="D222" s="8" t="s">
        <v>616</v>
      </c>
      <c r="E222" s="9">
        <v>45082</v>
      </c>
      <c r="F222" s="9">
        <v>45410</v>
      </c>
      <c r="G222" s="10">
        <v>4915550556</v>
      </c>
      <c r="H222" s="8" t="s">
        <v>21</v>
      </c>
    </row>
    <row r="223" spans="1:8" ht="14.25" customHeight="1" x14ac:dyDescent="0.35">
      <c r="A223" s="8" t="s">
        <v>274</v>
      </c>
      <c r="B223" s="8" t="s">
        <v>35</v>
      </c>
      <c r="C223" s="8" t="s">
        <v>13</v>
      </c>
      <c r="D223" s="8" t="s">
        <v>78</v>
      </c>
      <c r="E223" s="9">
        <v>45084</v>
      </c>
      <c r="F223" s="9">
        <v>45303</v>
      </c>
      <c r="G223" s="10">
        <v>490931117</v>
      </c>
      <c r="H223" s="8" t="s">
        <v>44</v>
      </c>
    </row>
    <row r="224" spans="1:8" ht="14.25" customHeight="1" x14ac:dyDescent="0.35">
      <c r="A224" s="8" t="s">
        <v>275</v>
      </c>
      <c r="B224" s="8" t="s">
        <v>35</v>
      </c>
      <c r="C224" s="8" t="s">
        <v>36</v>
      </c>
      <c r="D224" s="8" t="s">
        <v>37</v>
      </c>
      <c r="E224" s="9">
        <v>45084</v>
      </c>
      <c r="F224" s="9">
        <v>45379</v>
      </c>
      <c r="G224" s="10">
        <v>345656676</v>
      </c>
      <c r="H224" s="8" t="s">
        <v>44</v>
      </c>
    </row>
    <row r="225" spans="1:8" ht="14.25" customHeight="1" x14ac:dyDescent="0.35">
      <c r="A225" s="8" t="s">
        <v>276</v>
      </c>
      <c r="B225" s="8" t="s">
        <v>60</v>
      </c>
      <c r="C225" s="8" t="s">
        <v>31</v>
      </c>
      <c r="D225" s="8" t="s">
        <v>613</v>
      </c>
      <c r="E225" s="9">
        <v>45088</v>
      </c>
      <c r="F225" s="9">
        <v>45402</v>
      </c>
      <c r="G225" s="10">
        <v>2994383941</v>
      </c>
      <c r="H225" s="8" t="s">
        <v>67</v>
      </c>
    </row>
    <row r="226" spans="1:8" ht="14.25" customHeight="1" x14ac:dyDescent="0.35">
      <c r="A226" s="8" t="s">
        <v>277</v>
      </c>
      <c r="B226" s="8" t="s">
        <v>18</v>
      </c>
      <c r="C226" s="8" t="s">
        <v>39</v>
      </c>
      <c r="D226" s="8" t="s">
        <v>577</v>
      </c>
      <c r="E226" s="9">
        <v>45088</v>
      </c>
      <c r="F226" s="9">
        <v>45259</v>
      </c>
      <c r="G226" s="10">
        <v>6364217108</v>
      </c>
      <c r="H226" s="8" t="s">
        <v>50</v>
      </c>
    </row>
    <row r="227" spans="1:8" ht="14.25" customHeight="1" x14ac:dyDescent="0.35">
      <c r="A227" s="8" t="s">
        <v>278</v>
      </c>
      <c r="B227" s="8" t="s">
        <v>30</v>
      </c>
      <c r="C227" s="8" t="s">
        <v>31</v>
      </c>
      <c r="D227" s="8" t="s">
        <v>585</v>
      </c>
      <c r="E227" s="9">
        <v>45090</v>
      </c>
      <c r="F227" s="9">
        <v>45168</v>
      </c>
      <c r="G227" s="10">
        <v>3757150419</v>
      </c>
      <c r="H227" s="8" t="s">
        <v>21</v>
      </c>
    </row>
    <row r="228" spans="1:8" ht="14.25" customHeight="1" x14ac:dyDescent="0.35">
      <c r="A228" s="8" t="s">
        <v>279</v>
      </c>
      <c r="B228" s="8" t="s">
        <v>30</v>
      </c>
      <c r="C228" s="8" t="s">
        <v>42</v>
      </c>
      <c r="D228" s="8" t="s">
        <v>632</v>
      </c>
      <c r="E228" s="9">
        <v>45090</v>
      </c>
      <c r="F228" s="9">
        <v>45220</v>
      </c>
      <c r="G228" s="10">
        <v>4655083177</v>
      </c>
      <c r="H228" s="8" t="s">
        <v>67</v>
      </c>
    </row>
    <row r="229" spans="1:8" ht="14.25" customHeight="1" x14ac:dyDescent="0.35">
      <c r="A229" s="8" t="s">
        <v>280</v>
      </c>
      <c r="B229" s="8" t="s">
        <v>35</v>
      </c>
      <c r="C229" s="8" t="s">
        <v>36</v>
      </c>
      <c r="D229" s="8" t="s">
        <v>37</v>
      </c>
      <c r="E229" s="9">
        <v>45091</v>
      </c>
      <c r="F229" s="9">
        <v>45091</v>
      </c>
      <c r="G229" s="10">
        <v>612637613</v>
      </c>
      <c r="H229" s="8" t="s">
        <v>67</v>
      </c>
    </row>
    <row r="230" spans="1:8" ht="14.25" customHeight="1" x14ac:dyDescent="0.35">
      <c r="A230" s="8" t="s">
        <v>281</v>
      </c>
      <c r="B230" s="8" t="s">
        <v>30</v>
      </c>
      <c r="C230" s="8" t="s">
        <v>36</v>
      </c>
      <c r="D230" s="8" t="s">
        <v>639</v>
      </c>
      <c r="E230" s="9">
        <v>45093</v>
      </c>
      <c r="F230" s="9">
        <v>45425</v>
      </c>
      <c r="G230" s="10">
        <v>765288058</v>
      </c>
      <c r="H230" s="8" t="s">
        <v>44</v>
      </c>
    </row>
    <row r="231" spans="1:8" ht="14.25" customHeight="1" x14ac:dyDescent="0.35">
      <c r="A231" s="8" t="s">
        <v>282</v>
      </c>
      <c r="B231" s="8" t="s">
        <v>12</v>
      </c>
      <c r="C231" s="8" t="s">
        <v>24</v>
      </c>
      <c r="D231" s="8" t="s">
        <v>610</v>
      </c>
      <c r="E231" s="9">
        <v>45093</v>
      </c>
      <c r="F231" s="9">
        <v>45337</v>
      </c>
      <c r="G231" s="10">
        <v>996933795</v>
      </c>
      <c r="H231" s="8" t="s">
        <v>50</v>
      </c>
    </row>
    <row r="232" spans="1:8" ht="14.25" customHeight="1" x14ac:dyDescent="0.35">
      <c r="A232" s="8" t="s">
        <v>283</v>
      </c>
      <c r="B232" s="8" t="s">
        <v>18</v>
      </c>
      <c r="C232" s="8" t="s">
        <v>39</v>
      </c>
      <c r="D232" s="8" t="s">
        <v>577</v>
      </c>
      <c r="E232" s="9">
        <v>45093</v>
      </c>
      <c r="F232" s="9">
        <v>45280</v>
      </c>
      <c r="G232" s="10">
        <v>6355661362</v>
      </c>
      <c r="H232" s="11"/>
    </row>
    <row r="233" spans="1:8" ht="14.25" customHeight="1" x14ac:dyDescent="0.35">
      <c r="A233" s="8" t="s">
        <v>284</v>
      </c>
      <c r="B233" s="8" t="s">
        <v>30</v>
      </c>
      <c r="C233" s="8" t="s">
        <v>31</v>
      </c>
      <c r="D233" s="8" t="s">
        <v>595</v>
      </c>
      <c r="E233" s="9">
        <v>45093</v>
      </c>
      <c r="F233" s="9">
        <v>45383</v>
      </c>
      <c r="G233" s="10">
        <v>6951220052</v>
      </c>
      <c r="H233" s="8" t="s">
        <v>44</v>
      </c>
    </row>
    <row r="234" spans="1:8" ht="14.25" customHeight="1" x14ac:dyDescent="0.35">
      <c r="A234" s="8" t="s">
        <v>285</v>
      </c>
      <c r="B234" s="8" t="s">
        <v>35</v>
      </c>
      <c r="C234" s="8" t="s">
        <v>36</v>
      </c>
      <c r="D234" s="8" t="s">
        <v>37</v>
      </c>
      <c r="E234" s="9">
        <v>45095</v>
      </c>
      <c r="F234" s="9">
        <v>45423</v>
      </c>
      <c r="G234" s="10">
        <v>257229348</v>
      </c>
      <c r="H234" s="11"/>
    </row>
    <row r="235" spans="1:8" ht="14.25" customHeight="1" x14ac:dyDescent="0.35">
      <c r="A235" s="8" t="s">
        <v>286</v>
      </c>
      <c r="B235" s="8" t="s">
        <v>18</v>
      </c>
      <c r="C235" s="8" t="s">
        <v>42</v>
      </c>
      <c r="D235" s="8" t="s">
        <v>621</v>
      </c>
      <c r="E235" s="9">
        <v>45096</v>
      </c>
      <c r="F235" s="9">
        <v>45428</v>
      </c>
      <c r="G235" s="10">
        <v>1258024298</v>
      </c>
      <c r="H235" s="8" t="s">
        <v>573</v>
      </c>
    </row>
    <row r="236" spans="1:8" ht="14.25" customHeight="1" x14ac:dyDescent="0.35">
      <c r="A236" s="8" t="s">
        <v>287</v>
      </c>
      <c r="B236" s="8" t="s">
        <v>35</v>
      </c>
      <c r="C236" s="8" t="s">
        <v>19</v>
      </c>
      <c r="D236" s="8" t="s">
        <v>97</v>
      </c>
      <c r="E236" s="9">
        <v>45096</v>
      </c>
      <c r="F236" s="9">
        <v>45199</v>
      </c>
      <c r="G236" s="10">
        <v>375761303</v>
      </c>
      <c r="H236" s="8" t="s">
        <v>21</v>
      </c>
    </row>
    <row r="237" spans="1:8" ht="14.25" customHeight="1" x14ac:dyDescent="0.35">
      <c r="A237" s="8" t="s">
        <v>288</v>
      </c>
      <c r="B237" s="8" t="s">
        <v>18</v>
      </c>
      <c r="C237" s="8" t="s">
        <v>24</v>
      </c>
      <c r="D237" s="8" t="s">
        <v>618</v>
      </c>
      <c r="E237" s="9">
        <v>45097</v>
      </c>
      <c r="F237" s="9">
        <v>45129</v>
      </c>
      <c r="G237" s="10">
        <v>6540978129</v>
      </c>
      <c r="H237" s="8" t="s">
        <v>50</v>
      </c>
    </row>
    <row r="238" spans="1:8" ht="14.25" customHeight="1" x14ac:dyDescent="0.35">
      <c r="A238" s="8" t="s">
        <v>289</v>
      </c>
      <c r="B238" s="8" t="s">
        <v>35</v>
      </c>
      <c r="C238" s="8" t="s">
        <v>39</v>
      </c>
      <c r="D238" s="8" t="s">
        <v>145</v>
      </c>
      <c r="E238" s="9">
        <v>45098</v>
      </c>
      <c r="F238" s="9">
        <v>45142</v>
      </c>
      <c r="G238" s="10">
        <v>342017973</v>
      </c>
      <c r="H238" s="8" t="s">
        <v>581</v>
      </c>
    </row>
    <row r="239" spans="1:8" ht="14.25" customHeight="1" x14ac:dyDescent="0.35">
      <c r="A239" s="8" t="s">
        <v>290</v>
      </c>
      <c r="B239" s="8" t="s">
        <v>30</v>
      </c>
      <c r="C239" s="8" t="s">
        <v>31</v>
      </c>
      <c r="D239" s="8" t="s">
        <v>585</v>
      </c>
      <c r="E239" s="9">
        <v>45098</v>
      </c>
      <c r="F239" s="9">
        <v>45292</v>
      </c>
      <c r="G239" s="10">
        <v>4806164886</v>
      </c>
      <c r="H239" s="8" t="s">
        <v>581</v>
      </c>
    </row>
    <row r="240" spans="1:8" ht="14.25" customHeight="1" x14ac:dyDescent="0.35">
      <c r="A240" s="8" t="s">
        <v>291</v>
      </c>
      <c r="B240" s="8" t="s">
        <v>18</v>
      </c>
      <c r="C240" s="8" t="s">
        <v>36</v>
      </c>
      <c r="D240" s="8" t="s">
        <v>634</v>
      </c>
      <c r="E240" s="9">
        <v>45099</v>
      </c>
      <c r="F240" s="9">
        <v>45385</v>
      </c>
      <c r="G240" s="10">
        <v>9209856007</v>
      </c>
      <c r="H240" s="8" t="s">
        <v>21</v>
      </c>
    </row>
    <row r="241" spans="1:8" ht="14.25" customHeight="1" x14ac:dyDescent="0.35">
      <c r="A241" s="8" t="s">
        <v>292</v>
      </c>
      <c r="B241" s="8" t="s">
        <v>35</v>
      </c>
      <c r="C241" s="8" t="s">
        <v>19</v>
      </c>
      <c r="D241" s="8" t="s">
        <v>97</v>
      </c>
      <c r="E241" s="9">
        <v>45099</v>
      </c>
      <c r="F241" s="9">
        <v>45154</v>
      </c>
      <c r="G241" s="10">
        <v>269400319</v>
      </c>
      <c r="H241" s="8" t="s">
        <v>44</v>
      </c>
    </row>
    <row r="242" spans="1:8" ht="14.25" customHeight="1" x14ac:dyDescent="0.35">
      <c r="A242" s="8" t="s">
        <v>293</v>
      </c>
      <c r="B242" s="8" t="s">
        <v>18</v>
      </c>
      <c r="C242" s="8" t="s">
        <v>13</v>
      </c>
      <c r="D242" s="8" t="s">
        <v>580</v>
      </c>
      <c r="E242" s="9">
        <v>45099</v>
      </c>
      <c r="F242" s="9">
        <v>45245</v>
      </c>
      <c r="G242" s="10">
        <v>3098986860</v>
      </c>
      <c r="H242" s="8" t="s">
        <v>573</v>
      </c>
    </row>
    <row r="243" spans="1:8" ht="14.25" customHeight="1" x14ac:dyDescent="0.35">
      <c r="A243" s="8" t="s">
        <v>294</v>
      </c>
      <c r="B243" s="8" t="s">
        <v>30</v>
      </c>
      <c r="C243" s="8" t="s">
        <v>48</v>
      </c>
      <c r="D243" s="8" t="s">
        <v>620</v>
      </c>
      <c r="E243" s="9">
        <v>45099</v>
      </c>
      <c r="F243" s="9">
        <v>45254</v>
      </c>
      <c r="G243" s="10">
        <v>2873619122</v>
      </c>
      <c r="H243" s="8" t="s">
        <v>573</v>
      </c>
    </row>
    <row r="244" spans="1:8" ht="14.25" customHeight="1" x14ac:dyDescent="0.35">
      <c r="A244" s="8" t="s">
        <v>295</v>
      </c>
      <c r="B244" s="8" t="s">
        <v>35</v>
      </c>
      <c r="C244" s="8" t="s">
        <v>24</v>
      </c>
      <c r="D244" s="8" t="s">
        <v>133</v>
      </c>
      <c r="E244" s="9">
        <v>45101</v>
      </c>
      <c r="F244" s="9">
        <v>45138</v>
      </c>
      <c r="G244" s="10">
        <v>735575459</v>
      </c>
      <c r="H244" s="8" t="s">
        <v>581</v>
      </c>
    </row>
    <row r="245" spans="1:8" ht="14.25" customHeight="1" x14ac:dyDescent="0.35">
      <c r="A245" s="8" t="s">
        <v>296</v>
      </c>
      <c r="B245" s="8" t="s">
        <v>18</v>
      </c>
      <c r="C245" s="8" t="s">
        <v>42</v>
      </c>
      <c r="D245" s="8" t="s">
        <v>621</v>
      </c>
      <c r="E245" s="9">
        <v>45101</v>
      </c>
      <c r="F245" s="9">
        <v>45375</v>
      </c>
      <c r="G245" s="10">
        <v>2354261081</v>
      </c>
      <c r="H245" s="8" t="s">
        <v>573</v>
      </c>
    </row>
    <row r="246" spans="1:8" ht="14.25" customHeight="1" x14ac:dyDescent="0.35">
      <c r="A246" s="8" t="s">
        <v>297</v>
      </c>
      <c r="B246" s="8" t="s">
        <v>30</v>
      </c>
      <c r="C246" s="8" t="s">
        <v>42</v>
      </c>
      <c r="D246" s="8" t="s">
        <v>632</v>
      </c>
      <c r="E246" s="9">
        <v>45102</v>
      </c>
      <c r="F246" s="9">
        <v>45324</v>
      </c>
      <c r="G246" s="10">
        <v>2697497947</v>
      </c>
      <c r="H246" s="8" t="s">
        <v>21</v>
      </c>
    </row>
    <row r="247" spans="1:8" ht="14.25" customHeight="1" x14ac:dyDescent="0.35">
      <c r="A247" s="8" t="s">
        <v>298</v>
      </c>
      <c r="B247" s="8" t="s">
        <v>12</v>
      </c>
      <c r="C247" s="8" t="s">
        <v>13</v>
      </c>
      <c r="D247" s="8" t="s">
        <v>605</v>
      </c>
      <c r="E247" s="9">
        <v>45103</v>
      </c>
      <c r="F247" s="9">
        <v>45038</v>
      </c>
      <c r="G247" s="10">
        <v>277801695</v>
      </c>
      <c r="H247" s="8" t="s">
        <v>573</v>
      </c>
    </row>
    <row r="248" spans="1:8" ht="14.25" customHeight="1" x14ac:dyDescent="0.35">
      <c r="A248" s="8" t="s">
        <v>299</v>
      </c>
      <c r="B248" s="8" t="s">
        <v>18</v>
      </c>
      <c r="C248" s="8" t="s">
        <v>36</v>
      </c>
      <c r="D248" s="8" t="s">
        <v>634</v>
      </c>
      <c r="E248" s="9">
        <v>45104</v>
      </c>
      <c r="F248" s="9">
        <v>45195</v>
      </c>
      <c r="G248" s="10">
        <v>5365371920</v>
      </c>
      <c r="H248" s="8" t="s">
        <v>581</v>
      </c>
    </row>
    <row r="249" spans="1:8" ht="14.25" customHeight="1" x14ac:dyDescent="0.35">
      <c r="A249" s="8" t="s">
        <v>300</v>
      </c>
      <c r="B249" s="8" t="s">
        <v>35</v>
      </c>
      <c r="C249" s="8" t="s">
        <v>48</v>
      </c>
      <c r="D249" s="8" t="s">
        <v>49</v>
      </c>
      <c r="E249" s="9">
        <v>45106</v>
      </c>
      <c r="F249" s="9">
        <v>45144</v>
      </c>
      <c r="G249" s="10">
        <v>737701834</v>
      </c>
      <c r="H249" s="8" t="s">
        <v>21</v>
      </c>
    </row>
    <row r="250" spans="1:8" ht="14.25" customHeight="1" x14ac:dyDescent="0.35">
      <c r="A250" s="8" t="s">
        <v>301</v>
      </c>
      <c r="B250" s="8" t="s">
        <v>30</v>
      </c>
      <c r="C250" s="8" t="s">
        <v>13</v>
      </c>
      <c r="D250" s="8" t="s">
        <v>630</v>
      </c>
      <c r="E250" s="9">
        <v>45106</v>
      </c>
      <c r="F250" s="9">
        <v>45212</v>
      </c>
      <c r="G250" s="10">
        <v>2498238869</v>
      </c>
      <c r="H250" s="11"/>
    </row>
    <row r="251" spans="1:8" ht="14.25" customHeight="1" x14ac:dyDescent="0.35">
      <c r="A251" s="8" t="s">
        <v>302</v>
      </c>
      <c r="B251" s="8" t="s">
        <v>35</v>
      </c>
      <c r="C251" s="8" t="s">
        <v>48</v>
      </c>
      <c r="D251" s="8" t="s">
        <v>49</v>
      </c>
      <c r="E251" s="9">
        <v>45107</v>
      </c>
      <c r="F251" s="9">
        <v>45221</v>
      </c>
      <c r="G251" s="10">
        <v>343573944</v>
      </c>
      <c r="H251" s="8" t="s">
        <v>50</v>
      </c>
    </row>
    <row r="252" spans="1:8" ht="14.25" customHeight="1" x14ac:dyDescent="0.35">
      <c r="A252" s="8" t="s">
        <v>303</v>
      </c>
      <c r="B252" s="8" t="s">
        <v>12</v>
      </c>
      <c r="C252" s="8" t="s">
        <v>19</v>
      </c>
      <c r="D252" s="8" t="s">
        <v>631</v>
      </c>
      <c r="E252" s="9">
        <v>45111</v>
      </c>
      <c r="F252" s="9">
        <v>45180</v>
      </c>
      <c r="G252" s="10">
        <v>802980870</v>
      </c>
      <c r="H252" s="8" t="s">
        <v>67</v>
      </c>
    </row>
    <row r="253" spans="1:8" ht="14.25" customHeight="1" x14ac:dyDescent="0.35">
      <c r="A253" s="8" t="s">
        <v>304</v>
      </c>
      <c r="B253" s="8" t="s">
        <v>30</v>
      </c>
      <c r="C253" s="8" t="s">
        <v>36</v>
      </c>
      <c r="D253" s="8" t="s">
        <v>614</v>
      </c>
      <c r="E253" s="9">
        <v>45113</v>
      </c>
      <c r="F253" s="9">
        <v>45253</v>
      </c>
      <c r="G253" s="10">
        <v>1132821017</v>
      </c>
      <c r="H253" s="8" t="s">
        <v>50</v>
      </c>
    </row>
    <row r="254" spans="1:8" ht="14.25" customHeight="1" x14ac:dyDescent="0.35">
      <c r="A254" s="8" t="s">
        <v>305</v>
      </c>
      <c r="B254" s="8" t="s">
        <v>35</v>
      </c>
      <c r="C254" s="8" t="s">
        <v>24</v>
      </c>
      <c r="D254" s="8" t="s">
        <v>133</v>
      </c>
      <c r="E254" s="9">
        <v>45114</v>
      </c>
      <c r="F254" s="9">
        <v>45156</v>
      </c>
      <c r="G254" s="10">
        <v>646267645</v>
      </c>
      <c r="H254" s="8" t="s">
        <v>21</v>
      </c>
    </row>
    <row r="255" spans="1:8" ht="14.25" customHeight="1" x14ac:dyDescent="0.35">
      <c r="A255" s="8" t="s">
        <v>306</v>
      </c>
      <c r="B255" s="8" t="s">
        <v>30</v>
      </c>
      <c r="C255" s="8" t="s">
        <v>13</v>
      </c>
      <c r="D255" s="8" t="s">
        <v>641</v>
      </c>
      <c r="E255" s="9">
        <v>45115</v>
      </c>
      <c r="F255" s="9">
        <v>45145</v>
      </c>
      <c r="G255" s="10">
        <v>1091849633</v>
      </c>
      <c r="H255" s="8" t="s">
        <v>33</v>
      </c>
    </row>
    <row r="256" spans="1:8" ht="14.25" customHeight="1" x14ac:dyDescent="0.35">
      <c r="A256" s="8" t="s">
        <v>307</v>
      </c>
      <c r="B256" s="8" t="s">
        <v>12</v>
      </c>
      <c r="C256" s="8" t="s">
        <v>39</v>
      </c>
      <c r="D256" s="8" t="s">
        <v>591</v>
      </c>
      <c r="E256" s="9">
        <v>45116</v>
      </c>
      <c r="F256" s="9">
        <v>45158</v>
      </c>
      <c r="G256" s="10">
        <v>969437655</v>
      </c>
      <c r="H256" s="8" t="s">
        <v>573</v>
      </c>
    </row>
    <row r="257" spans="1:8" ht="14.25" customHeight="1" x14ac:dyDescent="0.35">
      <c r="A257" s="8" t="s">
        <v>308</v>
      </c>
      <c r="B257" s="8" t="s">
        <v>60</v>
      </c>
      <c r="C257" s="8" t="s">
        <v>48</v>
      </c>
      <c r="D257" s="8" t="s">
        <v>625</v>
      </c>
      <c r="E257" s="9">
        <v>45116</v>
      </c>
      <c r="F257" s="9">
        <v>45350</v>
      </c>
      <c r="G257" s="10">
        <v>3165392319</v>
      </c>
      <c r="H257" s="8" t="s">
        <v>573</v>
      </c>
    </row>
    <row r="258" spans="1:8" ht="14.25" customHeight="1" x14ac:dyDescent="0.35">
      <c r="A258" s="8" t="s">
        <v>309</v>
      </c>
      <c r="B258" s="8" t="s">
        <v>30</v>
      </c>
      <c r="C258" s="8" t="s">
        <v>13</v>
      </c>
      <c r="D258" s="8" t="s">
        <v>630</v>
      </c>
      <c r="E258" s="9">
        <v>45117</v>
      </c>
      <c r="F258" s="9">
        <v>45156</v>
      </c>
      <c r="G258" s="10">
        <v>5204534546</v>
      </c>
      <c r="H258" s="8" t="s">
        <v>581</v>
      </c>
    </row>
    <row r="259" spans="1:8" ht="14.25" customHeight="1" x14ac:dyDescent="0.35">
      <c r="A259" s="8" t="s">
        <v>310</v>
      </c>
      <c r="B259" s="8" t="s">
        <v>18</v>
      </c>
      <c r="C259" s="8" t="s">
        <v>19</v>
      </c>
      <c r="D259" s="8" t="s">
        <v>633</v>
      </c>
      <c r="E259" s="9">
        <v>45118</v>
      </c>
      <c r="F259" s="9">
        <v>45288</v>
      </c>
      <c r="G259" s="10">
        <v>3942664693</v>
      </c>
      <c r="H259" s="8" t="s">
        <v>21</v>
      </c>
    </row>
    <row r="260" spans="1:8" ht="14.25" customHeight="1" x14ac:dyDescent="0.35">
      <c r="A260" s="8" t="s">
        <v>311</v>
      </c>
      <c r="B260" s="8" t="s">
        <v>60</v>
      </c>
      <c r="C260" s="8" t="s">
        <v>19</v>
      </c>
      <c r="D260" s="8" t="s">
        <v>616</v>
      </c>
      <c r="E260" s="9">
        <v>45118</v>
      </c>
      <c r="F260" s="9">
        <v>45256</v>
      </c>
      <c r="G260" s="10">
        <v>1996986704</v>
      </c>
      <c r="H260" s="8" t="s">
        <v>33</v>
      </c>
    </row>
    <row r="261" spans="1:8" ht="14.25" customHeight="1" x14ac:dyDescent="0.35">
      <c r="A261" s="8" t="s">
        <v>312</v>
      </c>
      <c r="B261" s="8" t="s">
        <v>30</v>
      </c>
      <c r="C261" s="8" t="s">
        <v>39</v>
      </c>
      <c r="D261" s="8" t="s">
        <v>638</v>
      </c>
      <c r="E261" s="9">
        <v>45118</v>
      </c>
      <c r="F261" s="9">
        <v>45394</v>
      </c>
      <c r="G261" s="10">
        <v>1005719572</v>
      </c>
      <c r="H261" s="8" t="s">
        <v>573</v>
      </c>
    </row>
    <row r="262" spans="1:8" ht="14.25" customHeight="1" x14ac:dyDescent="0.35">
      <c r="A262" s="8" t="s">
        <v>313</v>
      </c>
      <c r="B262" s="8" t="s">
        <v>60</v>
      </c>
      <c r="C262" s="8" t="s">
        <v>19</v>
      </c>
      <c r="D262" s="8" t="s">
        <v>635</v>
      </c>
      <c r="E262" s="9">
        <v>45118</v>
      </c>
      <c r="F262" s="9">
        <v>45180</v>
      </c>
      <c r="G262" s="10">
        <v>4155376448</v>
      </c>
      <c r="H262" s="8" t="s">
        <v>50</v>
      </c>
    </row>
    <row r="263" spans="1:8" ht="14.25" customHeight="1" x14ac:dyDescent="0.35">
      <c r="A263" s="8" t="s">
        <v>314</v>
      </c>
      <c r="B263" s="8" t="s">
        <v>18</v>
      </c>
      <c r="C263" s="8" t="s">
        <v>31</v>
      </c>
      <c r="D263" s="8" t="s">
        <v>636</v>
      </c>
      <c r="E263" s="9">
        <v>45118</v>
      </c>
      <c r="F263" s="9">
        <v>45452</v>
      </c>
      <c r="G263" s="10">
        <v>6519755129</v>
      </c>
      <c r="H263" s="8" t="s">
        <v>67</v>
      </c>
    </row>
    <row r="264" spans="1:8" ht="14.25" customHeight="1" x14ac:dyDescent="0.35">
      <c r="A264" s="8" t="s">
        <v>315</v>
      </c>
      <c r="B264" s="8" t="s">
        <v>12</v>
      </c>
      <c r="C264" s="8" t="s">
        <v>19</v>
      </c>
      <c r="D264" s="8" t="s">
        <v>631</v>
      </c>
      <c r="E264" s="9">
        <v>45119</v>
      </c>
      <c r="F264" s="9">
        <v>45427</v>
      </c>
      <c r="G264" s="10">
        <v>509824821</v>
      </c>
      <c r="H264" s="8" t="s">
        <v>33</v>
      </c>
    </row>
    <row r="265" spans="1:8" ht="14.25" customHeight="1" x14ac:dyDescent="0.35">
      <c r="A265" s="8" t="s">
        <v>316</v>
      </c>
      <c r="B265" s="8" t="s">
        <v>60</v>
      </c>
      <c r="C265" s="8" t="s">
        <v>39</v>
      </c>
      <c r="D265" s="8" t="s">
        <v>642</v>
      </c>
      <c r="E265" s="9">
        <v>45119</v>
      </c>
      <c r="F265" s="9">
        <v>45218</v>
      </c>
      <c r="G265" s="10">
        <v>4249269902</v>
      </c>
      <c r="H265" s="11"/>
    </row>
    <row r="266" spans="1:8" ht="14.25" customHeight="1" x14ac:dyDescent="0.35">
      <c r="A266" s="8" t="s">
        <v>317</v>
      </c>
      <c r="B266" s="8" t="s">
        <v>60</v>
      </c>
      <c r="C266" s="8" t="s">
        <v>42</v>
      </c>
      <c r="D266" s="8" t="s">
        <v>587</v>
      </c>
      <c r="E266" s="9">
        <v>45120</v>
      </c>
      <c r="F266" s="9">
        <v>45223</v>
      </c>
      <c r="G266" s="10">
        <v>2236844121</v>
      </c>
      <c r="H266" s="8" t="s">
        <v>573</v>
      </c>
    </row>
    <row r="267" spans="1:8" ht="14.25" customHeight="1" x14ac:dyDescent="0.35">
      <c r="A267" s="8" t="s">
        <v>318</v>
      </c>
      <c r="B267" s="8" t="s">
        <v>12</v>
      </c>
      <c r="C267" s="8" t="s">
        <v>24</v>
      </c>
      <c r="D267" s="8" t="s">
        <v>610</v>
      </c>
      <c r="E267" s="9">
        <v>45121</v>
      </c>
      <c r="F267" s="9">
        <v>45176</v>
      </c>
      <c r="G267" s="10">
        <v>369427315</v>
      </c>
      <c r="H267" s="8" t="s">
        <v>581</v>
      </c>
    </row>
    <row r="268" spans="1:8" ht="14.25" customHeight="1" x14ac:dyDescent="0.35">
      <c r="A268" s="8" t="s">
        <v>319</v>
      </c>
      <c r="B268" s="8" t="s">
        <v>30</v>
      </c>
      <c r="C268" s="8" t="s">
        <v>24</v>
      </c>
      <c r="D268" s="8" t="s">
        <v>637</v>
      </c>
      <c r="E268" s="9">
        <v>45121</v>
      </c>
      <c r="F268" s="9">
        <v>45161</v>
      </c>
      <c r="G268" s="10">
        <v>3688243132</v>
      </c>
      <c r="H268" s="8" t="s">
        <v>573</v>
      </c>
    </row>
    <row r="269" spans="1:8" ht="14.25" customHeight="1" x14ac:dyDescent="0.35">
      <c r="A269" s="8" t="s">
        <v>320</v>
      </c>
      <c r="B269" s="8" t="s">
        <v>12</v>
      </c>
      <c r="C269" s="8" t="s">
        <v>48</v>
      </c>
      <c r="D269" s="8" t="s">
        <v>602</v>
      </c>
      <c r="E269" s="9">
        <v>45123</v>
      </c>
      <c r="F269" s="9">
        <v>45315</v>
      </c>
      <c r="G269" s="10">
        <v>381166441</v>
      </c>
      <c r="H269" s="8" t="s">
        <v>33</v>
      </c>
    </row>
    <row r="270" spans="1:8" ht="14.25" customHeight="1" x14ac:dyDescent="0.35">
      <c r="A270" s="8" t="s">
        <v>321</v>
      </c>
      <c r="B270" s="8" t="s">
        <v>35</v>
      </c>
      <c r="C270" s="8" t="s">
        <v>13</v>
      </c>
      <c r="D270" s="8" t="s">
        <v>78</v>
      </c>
      <c r="E270" s="9">
        <v>45124</v>
      </c>
      <c r="F270" s="9">
        <v>45421</v>
      </c>
      <c r="G270" s="10">
        <v>604130639</v>
      </c>
      <c r="H270" s="11"/>
    </row>
    <row r="271" spans="1:8" ht="14.25" customHeight="1" x14ac:dyDescent="0.35">
      <c r="A271" s="8" t="s">
        <v>322</v>
      </c>
      <c r="B271" s="8" t="s">
        <v>12</v>
      </c>
      <c r="C271" s="8" t="s">
        <v>42</v>
      </c>
      <c r="D271" s="8" t="s">
        <v>603</v>
      </c>
      <c r="E271" s="9">
        <v>45124</v>
      </c>
      <c r="F271" s="9">
        <v>45258</v>
      </c>
      <c r="G271" s="10">
        <v>283236486</v>
      </c>
      <c r="H271" s="8" t="s">
        <v>44</v>
      </c>
    </row>
    <row r="272" spans="1:8" ht="14.25" customHeight="1" x14ac:dyDescent="0.35">
      <c r="A272" s="8" t="s">
        <v>323</v>
      </c>
      <c r="B272" s="8" t="s">
        <v>35</v>
      </c>
      <c r="C272" s="8" t="s">
        <v>31</v>
      </c>
      <c r="D272" s="8" t="s">
        <v>91</v>
      </c>
      <c r="E272" s="9">
        <v>45124</v>
      </c>
      <c r="F272" s="9">
        <v>45269</v>
      </c>
      <c r="G272" s="10">
        <v>288462185</v>
      </c>
      <c r="H272" s="8" t="s">
        <v>67</v>
      </c>
    </row>
    <row r="273" spans="1:8" ht="14.25" customHeight="1" x14ac:dyDescent="0.35">
      <c r="A273" s="8" t="s">
        <v>324</v>
      </c>
      <c r="B273" s="8" t="s">
        <v>12</v>
      </c>
      <c r="C273" s="8" t="s">
        <v>36</v>
      </c>
      <c r="D273" s="8" t="s">
        <v>578</v>
      </c>
      <c r="E273" s="9">
        <v>45125</v>
      </c>
      <c r="F273" s="9">
        <v>45419</v>
      </c>
      <c r="G273" s="10">
        <v>706008565</v>
      </c>
      <c r="H273" s="8" t="s">
        <v>33</v>
      </c>
    </row>
    <row r="274" spans="1:8" ht="14.25" customHeight="1" x14ac:dyDescent="0.35">
      <c r="A274" s="8" t="s">
        <v>325</v>
      </c>
      <c r="B274" s="8" t="s">
        <v>30</v>
      </c>
      <c r="C274" s="8" t="s">
        <v>39</v>
      </c>
      <c r="D274" s="8" t="s">
        <v>590</v>
      </c>
      <c r="E274" s="9">
        <v>45125</v>
      </c>
      <c r="F274" s="9">
        <v>45317</v>
      </c>
      <c r="G274" s="10">
        <v>3442468253</v>
      </c>
      <c r="H274" s="8" t="s">
        <v>33</v>
      </c>
    </row>
    <row r="275" spans="1:8" ht="14.25" customHeight="1" x14ac:dyDescent="0.35">
      <c r="A275" s="8" t="s">
        <v>326</v>
      </c>
      <c r="B275" s="8" t="s">
        <v>60</v>
      </c>
      <c r="C275" s="8" t="s">
        <v>48</v>
      </c>
      <c r="D275" s="8" t="s">
        <v>625</v>
      </c>
      <c r="E275" s="9">
        <v>45125</v>
      </c>
      <c r="F275" s="9">
        <v>45188</v>
      </c>
      <c r="G275" s="10">
        <v>2233995238</v>
      </c>
      <c r="H275" s="8" t="s">
        <v>67</v>
      </c>
    </row>
    <row r="276" spans="1:8" ht="14.25" customHeight="1" x14ac:dyDescent="0.35">
      <c r="A276" s="8" t="s">
        <v>327</v>
      </c>
      <c r="B276" s="8" t="s">
        <v>35</v>
      </c>
      <c r="C276" s="8" t="s">
        <v>13</v>
      </c>
      <c r="D276" s="8" t="s">
        <v>78</v>
      </c>
      <c r="E276" s="9">
        <v>45125</v>
      </c>
      <c r="F276" s="9">
        <v>45277</v>
      </c>
      <c r="G276" s="10">
        <v>579386663</v>
      </c>
      <c r="H276" s="8" t="s">
        <v>67</v>
      </c>
    </row>
    <row r="277" spans="1:8" ht="14.25" customHeight="1" x14ac:dyDescent="0.35">
      <c r="A277" s="8" t="s">
        <v>328</v>
      </c>
      <c r="B277" s="8" t="s">
        <v>18</v>
      </c>
      <c r="C277" s="8" t="s">
        <v>24</v>
      </c>
      <c r="D277" s="8" t="s">
        <v>618</v>
      </c>
      <c r="E277" s="9">
        <v>45125</v>
      </c>
      <c r="F277" s="9">
        <v>45327</v>
      </c>
      <c r="G277" s="10">
        <v>2892512480</v>
      </c>
      <c r="H277" s="8" t="s">
        <v>67</v>
      </c>
    </row>
    <row r="278" spans="1:8" ht="14.25" customHeight="1" x14ac:dyDescent="0.35">
      <c r="A278" s="8" t="s">
        <v>329</v>
      </c>
      <c r="B278" s="8" t="s">
        <v>30</v>
      </c>
      <c r="C278" s="8" t="s">
        <v>36</v>
      </c>
      <c r="D278" s="8" t="s">
        <v>614</v>
      </c>
      <c r="E278" s="9">
        <v>45126</v>
      </c>
      <c r="F278" s="9">
        <v>45187</v>
      </c>
      <c r="G278" s="10">
        <v>1731360253</v>
      </c>
      <c r="H278" s="8" t="s">
        <v>581</v>
      </c>
    </row>
    <row r="279" spans="1:8" ht="14.25" customHeight="1" x14ac:dyDescent="0.35">
      <c r="A279" s="8" t="s">
        <v>330</v>
      </c>
      <c r="B279" s="8" t="s">
        <v>60</v>
      </c>
      <c r="C279" s="8" t="s">
        <v>36</v>
      </c>
      <c r="D279" s="8" t="s">
        <v>597</v>
      </c>
      <c r="E279" s="9">
        <v>45128</v>
      </c>
      <c r="F279" s="9">
        <v>45204</v>
      </c>
      <c r="G279" s="10">
        <v>4702380798</v>
      </c>
      <c r="H279" s="8" t="s">
        <v>33</v>
      </c>
    </row>
    <row r="280" spans="1:8" ht="14.25" customHeight="1" x14ac:dyDescent="0.35">
      <c r="A280" s="8" t="s">
        <v>331</v>
      </c>
      <c r="B280" s="8" t="s">
        <v>18</v>
      </c>
      <c r="C280" s="8" t="s">
        <v>31</v>
      </c>
      <c r="D280" s="8" t="s">
        <v>636</v>
      </c>
      <c r="E280" s="9">
        <v>45128</v>
      </c>
      <c r="F280" s="9">
        <v>45275</v>
      </c>
      <c r="G280" s="10">
        <v>1321857853</v>
      </c>
      <c r="H280" s="8" t="s">
        <v>44</v>
      </c>
    </row>
    <row r="281" spans="1:8" ht="14.25" customHeight="1" x14ac:dyDescent="0.35">
      <c r="A281" s="8" t="s">
        <v>332</v>
      </c>
      <c r="B281" s="8" t="s">
        <v>30</v>
      </c>
      <c r="C281" s="8" t="s">
        <v>39</v>
      </c>
      <c r="D281" s="8" t="s">
        <v>590</v>
      </c>
      <c r="E281" s="9">
        <v>45128</v>
      </c>
      <c r="F281" s="9">
        <v>45188</v>
      </c>
      <c r="G281" s="10">
        <v>4256914338</v>
      </c>
      <c r="H281" s="8" t="s">
        <v>67</v>
      </c>
    </row>
    <row r="282" spans="1:8" ht="14.25" customHeight="1" x14ac:dyDescent="0.35">
      <c r="A282" s="8" t="s">
        <v>333</v>
      </c>
      <c r="B282" s="8" t="s">
        <v>35</v>
      </c>
      <c r="C282" s="8" t="s">
        <v>31</v>
      </c>
      <c r="D282" s="8" t="s">
        <v>91</v>
      </c>
      <c r="E282" s="9">
        <v>45128</v>
      </c>
      <c r="F282" s="9">
        <v>45492</v>
      </c>
      <c r="G282" s="10">
        <v>202438902</v>
      </c>
      <c r="H282" s="8" t="s">
        <v>33</v>
      </c>
    </row>
    <row r="283" spans="1:8" ht="14.25" customHeight="1" x14ac:dyDescent="0.35">
      <c r="A283" s="8" t="s">
        <v>334</v>
      </c>
      <c r="B283" s="8" t="s">
        <v>18</v>
      </c>
      <c r="C283" s="8" t="s">
        <v>36</v>
      </c>
      <c r="D283" s="8" t="s">
        <v>634</v>
      </c>
      <c r="E283" s="9">
        <v>45129</v>
      </c>
      <c r="F283" s="9">
        <v>45264</v>
      </c>
      <c r="G283" s="10">
        <v>7153815573</v>
      </c>
      <c r="H283" s="8" t="s">
        <v>44</v>
      </c>
    </row>
    <row r="284" spans="1:8" ht="14.25" customHeight="1" x14ac:dyDescent="0.35">
      <c r="A284" s="8" t="s">
        <v>335</v>
      </c>
      <c r="B284" s="8" t="s">
        <v>60</v>
      </c>
      <c r="C284" s="8" t="s">
        <v>24</v>
      </c>
      <c r="D284" s="8" t="s">
        <v>575</v>
      </c>
      <c r="E284" s="9">
        <v>45129</v>
      </c>
      <c r="F284" s="9">
        <v>45285</v>
      </c>
      <c r="G284" s="10">
        <v>2210232440</v>
      </c>
      <c r="H284" s="8" t="s">
        <v>581</v>
      </c>
    </row>
    <row r="285" spans="1:8" ht="14.25" customHeight="1" x14ac:dyDescent="0.35">
      <c r="A285" s="8" t="s">
        <v>336</v>
      </c>
      <c r="B285" s="8" t="s">
        <v>30</v>
      </c>
      <c r="C285" s="8" t="s">
        <v>42</v>
      </c>
      <c r="D285" s="8" t="s">
        <v>627</v>
      </c>
      <c r="E285" s="9">
        <v>45129</v>
      </c>
      <c r="F285" s="9">
        <v>44945</v>
      </c>
      <c r="G285" s="10">
        <v>2045004222</v>
      </c>
      <c r="H285" s="8" t="s">
        <v>67</v>
      </c>
    </row>
    <row r="286" spans="1:8" ht="14.25" customHeight="1" x14ac:dyDescent="0.35">
      <c r="A286" s="8" t="s">
        <v>337</v>
      </c>
      <c r="B286" s="8" t="s">
        <v>12</v>
      </c>
      <c r="C286" s="8" t="s">
        <v>42</v>
      </c>
      <c r="D286" s="8" t="s">
        <v>603</v>
      </c>
      <c r="E286" s="9">
        <v>45130</v>
      </c>
      <c r="F286" s="9">
        <v>45445</v>
      </c>
      <c r="G286" s="10">
        <v>607111213</v>
      </c>
      <c r="H286" s="8" t="s">
        <v>581</v>
      </c>
    </row>
    <row r="287" spans="1:8" ht="14.25" customHeight="1" x14ac:dyDescent="0.35">
      <c r="A287" s="8" t="s">
        <v>338</v>
      </c>
      <c r="B287" s="8" t="s">
        <v>12</v>
      </c>
      <c r="C287" s="8" t="s">
        <v>36</v>
      </c>
      <c r="D287" s="8" t="s">
        <v>578</v>
      </c>
      <c r="E287" s="9">
        <v>45130</v>
      </c>
      <c r="F287" s="9">
        <v>45407</v>
      </c>
      <c r="G287" s="10">
        <v>378250495</v>
      </c>
      <c r="H287" s="8" t="s">
        <v>573</v>
      </c>
    </row>
    <row r="288" spans="1:8" ht="14.25" customHeight="1" x14ac:dyDescent="0.35">
      <c r="A288" s="8" t="s">
        <v>339</v>
      </c>
      <c r="B288" s="8" t="s">
        <v>35</v>
      </c>
      <c r="C288" s="8" t="s">
        <v>42</v>
      </c>
      <c r="D288" s="8" t="s">
        <v>69</v>
      </c>
      <c r="E288" s="9">
        <v>45130</v>
      </c>
      <c r="F288" s="9">
        <v>45277</v>
      </c>
      <c r="G288" s="10">
        <v>225164187</v>
      </c>
      <c r="H288" s="11"/>
    </row>
    <row r="289" spans="1:8" ht="14.25" customHeight="1" x14ac:dyDescent="0.35">
      <c r="A289" s="8" t="s">
        <v>340</v>
      </c>
      <c r="B289" s="8" t="s">
        <v>30</v>
      </c>
      <c r="C289" s="8" t="s">
        <v>36</v>
      </c>
      <c r="D289" s="8" t="s">
        <v>614</v>
      </c>
      <c r="E289" s="9">
        <v>45130</v>
      </c>
      <c r="F289" s="9">
        <v>45465</v>
      </c>
      <c r="G289" s="10">
        <v>4178594822</v>
      </c>
      <c r="H289" s="8" t="s">
        <v>581</v>
      </c>
    </row>
    <row r="290" spans="1:8" ht="14.25" customHeight="1" x14ac:dyDescent="0.35">
      <c r="A290" s="8" t="s">
        <v>341</v>
      </c>
      <c r="B290" s="8" t="s">
        <v>12</v>
      </c>
      <c r="C290" s="8" t="s">
        <v>13</v>
      </c>
      <c r="D290" s="8" t="s">
        <v>605</v>
      </c>
      <c r="E290" s="9">
        <v>45131</v>
      </c>
      <c r="F290" s="9">
        <v>45228</v>
      </c>
      <c r="G290" s="10">
        <v>660225526</v>
      </c>
      <c r="H290" s="8" t="s">
        <v>33</v>
      </c>
    </row>
    <row r="291" spans="1:8" ht="14.25" customHeight="1" x14ac:dyDescent="0.35">
      <c r="A291" s="8" t="s">
        <v>342</v>
      </c>
      <c r="B291" s="8" t="s">
        <v>30</v>
      </c>
      <c r="C291" s="8" t="s">
        <v>24</v>
      </c>
      <c r="D291" s="8" t="s">
        <v>612</v>
      </c>
      <c r="E291" s="9">
        <v>45131</v>
      </c>
      <c r="F291" s="9">
        <v>45411</v>
      </c>
      <c r="G291" s="10">
        <v>6255723631</v>
      </c>
      <c r="H291" s="8" t="s">
        <v>33</v>
      </c>
    </row>
    <row r="292" spans="1:8" ht="14.25" customHeight="1" x14ac:dyDescent="0.35">
      <c r="A292" s="8" t="s">
        <v>343</v>
      </c>
      <c r="B292" s="8" t="s">
        <v>60</v>
      </c>
      <c r="C292" s="8" t="s">
        <v>39</v>
      </c>
      <c r="D292" s="8" t="s">
        <v>626</v>
      </c>
      <c r="E292" s="9">
        <v>45131</v>
      </c>
      <c r="F292" s="9">
        <v>45271</v>
      </c>
      <c r="G292" s="10">
        <v>1935087556</v>
      </c>
      <c r="H292" s="8" t="s">
        <v>44</v>
      </c>
    </row>
    <row r="293" spans="1:8" ht="14.25" customHeight="1" x14ac:dyDescent="0.35">
      <c r="A293" s="8" t="s">
        <v>344</v>
      </c>
      <c r="B293" s="8" t="s">
        <v>30</v>
      </c>
      <c r="C293" s="8" t="s">
        <v>19</v>
      </c>
      <c r="D293" s="8" t="s">
        <v>624</v>
      </c>
      <c r="E293" s="9">
        <v>45133</v>
      </c>
      <c r="F293" s="9">
        <v>45384</v>
      </c>
      <c r="G293" s="10">
        <v>6639282641</v>
      </c>
      <c r="H293" s="8" t="s">
        <v>21</v>
      </c>
    </row>
    <row r="294" spans="1:8" ht="14.25" customHeight="1" x14ac:dyDescent="0.35">
      <c r="A294" s="8" t="s">
        <v>345</v>
      </c>
      <c r="B294" s="8" t="s">
        <v>18</v>
      </c>
      <c r="C294" s="8" t="s">
        <v>48</v>
      </c>
      <c r="D294" s="8" t="s">
        <v>629</v>
      </c>
      <c r="E294" s="9">
        <v>45133</v>
      </c>
      <c r="F294" s="9">
        <v>45429</v>
      </c>
      <c r="G294" s="10">
        <v>1341304566</v>
      </c>
      <c r="H294" s="8" t="s">
        <v>67</v>
      </c>
    </row>
    <row r="295" spans="1:8" ht="14.25" customHeight="1" x14ac:dyDescent="0.35">
      <c r="A295" s="8" t="s">
        <v>346</v>
      </c>
      <c r="B295" s="8" t="s">
        <v>30</v>
      </c>
      <c r="C295" s="8" t="s">
        <v>42</v>
      </c>
      <c r="D295" s="8" t="s">
        <v>632</v>
      </c>
      <c r="E295" s="9">
        <v>45135</v>
      </c>
      <c r="F295" s="9">
        <v>45168</v>
      </c>
      <c r="G295" s="10">
        <v>1482129947</v>
      </c>
      <c r="H295" s="8" t="s">
        <v>50</v>
      </c>
    </row>
    <row r="296" spans="1:8" ht="14.25" customHeight="1" x14ac:dyDescent="0.35">
      <c r="A296" s="8" t="s">
        <v>347</v>
      </c>
      <c r="B296" s="8" t="s">
        <v>30</v>
      </c>
      <c r="C296" s="8" t="s">
        <v>42</v>
      </c>
      <c r="D296" s="8" t="s">
        <v>632</v>
      </c>
      <c r="E296" s="9">
        <v>45135</v>
      </c>
      <c r="F296" s="9">
        <v>45240</v>
      </c>
      <c r="G296" s="10">
        <v>5134610940</v>
      </c>
      <c r="H296" s="8" t="s">
        <v>44</v>
      </c>
    </row>
    <row r="297" spans="1:8" ht="14.25" customHeight="1" x14ac:dyDescent="0.35">
      <c r="A297" s="8" t="s">
        <v>348</v>
      </c>
      <c r="B297" s="8" t="s">
        <v>12</v>
      </c>
      <c r="C297" s="8" t="s">
        <v>42</v>
      </c>
      <c r="D297" s="8" t="s">
        <v>603</v>
      </c>
      <c r="E297" s="9">
        <v>45135</v>
      </c>
      <c r="F297" s="9">
        <v>45357</v>
      </c>
      <c r="G297" s="10">
        <v>344333067</v>
      </c>
      <c r="H297" s="8" t="s">
        <v>33</v>
      </c>
    </row>
    <row r="298" spans="1:8" ht="14.25" customHeight="1" x14ac:dyDescent="0.35">
      <c r="A298" s="8" t="s">
        <v>349</v>
      </c>
      <c r="B298" s="8" t="s">
        <v>18</v>
      </c>
      <c r="C298" s="8" t="s">
        <v>31</v>
      </c>
      <c r="D298" s="8" t="s">
        <v>636</v>
      </c>
      <c r="E298" s="9">
        <v>45136</v>
      </c>
      <c r="F298" s="9">
        <v>45177</v>
      </c>
      <c r="G298" s="10">
        <v>2347619310</v>
      </c>
      <c r="H298" s="8" t="s">
        <v>50</v>
      </c>
    </row>
    <row r="299" spans="1:8" ht="14.25" customHeight="1" x14ac:dyDescent="0.35">
      <c r="A299" s="8" t="s">
        <v>350</v>
      </c>
      <c r="B299" s="8" t="s">
        <v>60</v>
      </c>
      <c r="C299" s="8" t="s">
        <v>13</v>
      </c>
      <c r="D299" s="8" t="s">
        <v>619</v>
      </c>
      <c r="E299" s="9">
        <v>45136</v>
      </c>
      <c r="F299" s="9">
        <v>45380</v>
      </c>
      <c r="G299" s="10">
        <v>2422397660</v>
      </c>
      <c r="H299" s="8" t="s">
        <v>21</v>
      </c>
    </row>
    <row r="300" spans="1:8" ht="14.25" customHeight="1" x14ac:dyDescent="0.35">
      <c r="A300" s="8" t="s">
        <v>351</v>
      </c>
      <c r="B300" s="8" t="s">
        <v>35</v>
      </c>
      <c r="C300" s="8" t="s">
        <v>36</v>
      </c>
      <c r="D300" s="8" t="s">
        <v>37</v>
      </c>
      <c r="E300" s="9">
        <v>45137</v>
      </c>
      <c r="F300" s="9">
        <v>45306</v>
      </c>
      <c r="G300" s="10">
        <v>593562614</v>
      </c>
      <c r="H300" s="8" t="s">
        <v>44</v>
      </c>
    </row>
    <row r="301" spans="1:8" ht="14.25" customHeight="1" x14ac:dyDescent="0.35">
      <c r="A301" s="8" t="s">
        <v>352</v>
      </c>
      <c r="B301" s="8" t="s">
        <v>60</v>
      </c>
      <c r="C301" s="8" t="s">
        <v>13</v>
      </c>
      <c r="D301" s="8" t="s">
        <v>582</v>
      </c>
      <c r="E301" s="9">
        <v>45137</v>
      </c>
      <c r="F301" s="9">
        <v>45248</v>
      </c>
      <c r="G301" s="10">
        <v>3507077254</v>
      </c>
      <c r="H301" s="8" t="s">
        <v>21</v>
      </c>
    </row>
    <row r="302" spans="1:8" ht="14.25" customHeight="1" x14ac:dyDescent="0.35">
      <c r="A302" s="8" t="s">
        <v>353</v>
      </c>
      <c r="B302" s="8" t="s">
        <v>18</v>
      </c>
      <c r="C302" s="8" t="s">
        <v>24</v>
      </c>
      <c r="D302" s="8" t="s">
        <v>618</v>
      </c>
      <c r="E302" s="9">
        <v>45138</v>
      </c>
      <c r="F302" s="9">
        <v>45446</v>
      </c>
      <c r="G302" s="10">
        <v>7830031020</v>
      </c>
      <c r="H302" s="8" t="s">
        <v>581</v>
      </c>
    </row>
    <row r="303" spans="1:8" ht="14.25" customHeight="1" x14ac:dyDescent="0.35">
      <c r="A303" s="8" t="s">
        <v>354</v>
      </c>
      <c r="B303" s="8" t="s">
        <v>60</v>
      </c>
      <c r="C303" s="8" t="s">
        <v>19</v>
      </c>
      <c r="D303" s="8" t="s">
        <v>616</v>
      </c>
      <c r="E303" s="9">
        <v>45138</v>
      </c>
      <c r="F303" s="9">
        <v>45260</v>
      </c>
      <c r="G303" s="10">
        <v>3767875960</v>
      </c>
      <c r="H303" s="11"/>
    </row>
    <row r="304" spans="1:8" ht="14.25" customHeight="1" x14ac:dyDescent="0.35">
      <c r="A304" s="8" t="s">
        <v>355</v>
      </c>
      <c r="B304" s="8" t="s">
        <v>18</v>
      </c>
      <c r="C304" s="8" t="s">
        <v>36</v>
      </c>
      <c r="D304" s="8" t="s">
        <v>634</v>
      </c>
      <c r="E304" s="9">
        <v>45140</v>
      </c>
      <c r="F304" s="9">
        <v>45090</v>
      </c>
      <c r="G304" s="10">
        <v>8403683934</v>
      </c>
      <c r="H304" s="8" t="s">
        <v>50</v>
      </c>
    </row>
    <row r="305" spans="1:8" ht="14.25" customHeight="1" x14ac:dyDescent="0.35">
      <c r="A305" s="8" t="s">
        <v>356</v>
      </c>
      <c r="B305" s="8" t="s">
        <v>60</v>
      </c>
      <c r="C305" s="8" t="s">
        <v>36</v>
      </c>
      <c r="D305" s="8" t="s">
        <v>628</v>
      </c>
      <c r="E305" s="9">
        <v>45140</v>
      </c>
      <c r="F305" s="9">
        <v>45473</v>
      </c>
      <c r="G305" s="10">
        <v>4381657926</v>
      </c>
      <c r="H305" s="8" t="s">
        <v>581</v>
      </c>
    </row>
    <row r="306" spans="1:8" ht="14.25" customHeight="1" x14ac:dyDescent="0.35">
      <c r="A306" s="8" t="s">
        <v>357</v>
      </c>
      <c r="B306" s="8" t="s">
        <v>30</v>
      </c>
      <c r="C306" s="8" t="s">
        <v>42</v>
      </c>
      <c r="D306" s="8" t="s">
        <v>632</v>
      </c>
      <c r="E306" s="9">
        <v>45140</v>
      </c>
      <c r="F306" s="9">
        <v>45487</v>
      </c>
      <c r="G306" s="10">
        <v>1717899076</v>
      </c>
      <c r="H306" s="8" t="s">
        <v>44</v>
      </c>
    </row>
    <row r="307" spans="1:8" ht="14.25" customHeight="1" x14ac:dyDescent="0.35">
      <c r="A307" s="8" t="s">
        <v>358</v>
      </c>
      <c r="B307" s="8" t="s">
        <v>12</v>
      </c>
      <c r="C307" s="8" t="s">
        <v>48</v>
      </c>
      <c r="D307" s="8" t="s">
        <v>602</v>
      </c>
      <c r="E307" s="9">
        <v>45143</v>
      </c>
      <c r="F307" s="9">
        <v>45201</v>
      </c>
      <c r="G307" s="10">
        <v>231308784</v>
      </c>
      <c r="H307" s="8" t="s">
        <v>33</v>
      </c>
    </row>
    <row r="308" spans="1:8" ht="14.25" customHeight="1" x14ac:dyDescent="0.35">
      <c r="A308" s="8" t="s">
        <v>359</v>
      </c>
      <c r="B308" s="8" t="s">
        <v>18</v>
      </c>
      <c r="C308" s="8" t="s">
        <v>24</v>
      </c>
      <c r="D308" s="8" t="s">
        <v>618</v>
      </c>
      <c r="E308" s="9">
        <v>45143</v>
      </c>
      <c r="F308" s="9">
        <v>45254</v>
      </c>
      <c r="G308" s="10">
        <v>1694502492</v>
      </c>
      <c r="H308" s="8" t="s">
        <v>573</v>
      </c>
    </row>
    <row r="309" spans="1:8" ht="14.25" customHeight="1" x14ac:dyDescent="0.35">
      <c r="A309" s="8" t="s">
        <v>360</v>
      </c>
      <c r="B309" s="8" t="s">
        <v>18</v>
      </c>
      <c r="C309" s="8" t="s">
        <v>24</v>
      </c>
      <c r="D309" s="8" t="s">
        <v>618</v>
      </c>
      <c r="E309" s="9">
        <v>45144</v>
      </c>
      <c r="F309" s="9">
        <v>45215</v>
      </c>
      <c r="G309" s="10">
        <v>6044403214</v>
      </c>
      <c r="H309" s="8" t="s">
        <v>33</v>
      </c>
    </row>
    <row r="310" spans="1:8" ht="14.25" customHeight="1" x14ac:dyDescent="0.35">
      <c r="A310" s="8" t="s">
        <v>361</v>
      </c>
      <c r="B310" s="8" t="s">
        <v>60</v>
      </c>
      <c r="C310" s="8" t="s">
        <v>39</v>
      </c>
      <c r="D310" s="8" t="s">
        <v>626</v>
      </c>
      <c r="E310" s="9">
        <v>45144</v>
      </c>
      <c r="F310" s="9">
        <v>45187</v>
      </c>
      <c r="G310" s="10">
        <v>4486128429</v>
      </c>
      <c r="H310" s="11"/>
    </row>
    <row r="311" spans="1:8" ht="14.25" customHeight="1" x14ac:dyDescent="0.35">
      <c r="A311" s="8" t="s">
        <v>362</v>
      </c>
      <c r="B311" s="8" t="s">
        <v>12</v>
      </c>
      <c r="C311" s="8" t="s">
        <v>42</v>
      </c>
      <c r="D311" s="8" t="s">
        <v>603</v>
      </c>
      <c r="E311" s="9">
        <v>45145</v>
      </c>
      <c r="F311" s="9">
        <v>45397</v>
      </c>
      <c r="G311" s="10">
        <v>873718114</v>
      </c>
      <c r="H311" s="8" t="s">
        <v>44</v>
      </c>
    </row>
    <row r="312" spans="1:8" ht="14.25" customHeight="1" x14ac:dyDescent="0.35">
      <c r="A312" s="8" t="s">
        <v>363</v>
      </c>
      <c r="B312" s="8" t="s">
        <v>35</v>
      </c>
      <c r="C312" s="8" t="s">
        <v>39</v>
      </c>
      <c r="D312" s="8" t="s">
        <v>145</v>
      </c>
      <c r="E312" s="9">
        <v>45147</v>
      </c>
      <c r="F312" s="9">
        <v>45343</v>
      </c>
      <c r="G312" s="10">
        <v>230467768</v>
      </c>
      <c r="H312" s="8" t="s">
        <v>67</v>
      </c>
    </row>
    <row r="313" spans="1:8" ht="14.25" customHeight="1" x14ac:dyDescent="0.35">
      <c r="A313" s="8" t="s">
        <v>364</v>
      </c>
      <c r="B313" s="8" t="s">
        <v>12</v>
      </c>
      <c r="C313" s="8" t="s">
        <v>36</v>
      </c>
      <c r="D313" s="8" t="s">
        <v>578</v>
      </c>
      <c r="E313" s="9">
        <v>45148</v>
      </c>
      <c r="F313" s="9">
        <v>45259</v>
      </c>
      <c r="G313" s="10">
        <v>688191398</v>
      </c>
      <c r="H313" s="8" t="s">
        <v>44</v>
      </c>
    </row>
    <row r="314" spans="1:8" ht="14.25" customHeight="1" x14ac:dyDescent="0.35">
      <c r="A314" s="8" t="s">
        <v>365</v>
      </c>
      <c r="B314" s="8" t="s">
        <v>18</v>
      </c>
      <c r="C314" s="8" t="s">
        <v>36</v>
      </c>
      <c r="D314" s="8" t="s">
        <v>634</v>
      </c>
      <c r="E314" s="9">
        <v>45149</v>
      </c>
      <c r="F314" s="9">
        <v>45285</v>
      </c>
      <c r="G314" s="10">
        <v>2697606072</v>
      </c>
      <c r="H314" s="8" t="s">
        <v>44</v>
      </c>
    </row>
    <row r="315" spans="1:8" ht="14.25" customHeight="1" x14ac:dyDescent="0.35">
      <c r="A315" s="8" t="s">
        <v>366</v>
      </c>
      <c r="B315" s="8" t="s">
        <v>12</v>
      </c>
      <c r="C315" s="8" t="s">
        <v>39</v>
      </c>
      <c r="D315" s="8" t="s">
        <v>591</v>
      </c>
      <c r="E315" s="9">
        <v>45151</v>
      </c>
      <c r="F315" s="9">
        <v>45311</v>
      </c>
      <c r="G315" s="10">
        <v>990744889</v>
      </c>
      <c r="H315" s="8" t="s">
        <v>573</v>
      </c>
    </row>
    <row r="316" spans="1:8" ht="14.25" customHeight="1" x14ac:dyDescent="0.35">
      <c r="A316" s="8" t="s">
        <v>367</v>
      </c>
      <c r="B316" s="8" t="s">
        <v>30</v>
      </c>
      <c r="C316" s="8" t="s">
        <v>36</v>
      </c>
      <c r="D316" s="8" t="s">
        <v>639</v>
      </c>
      <c r="E316" s="9">
        <v>45153</v>
      </c>
      <c r="F316" s="9">
        <v>45342</v>
      </c>
      <c r="G316" s="10">
        <v>3212613392</v>
      </c>
      <c r="H316" s="8" t="s">
        <v>21</v>
      </c>
    </row>
    <row r="317" spans="1:8" ht="14.25" customHeight="1" x14ac:dyDescent="0.35">
      <c r="A317" s="8" t="s">
        <v>368</v>
      </c>
      <c r="B317" s="8" t="s">
        <v>30</v>
      </c>
      <c r="C317" s="8" t="s">
        <v>19</v>
      </c>
      <c r="D317" s="8" t="s">
        <v>623</v>
      </c>
      <c r="E317" s="9">
        <v>45154</v>
      </c>
      <c r="F317" s="9">
        <v>45311</v>
      </c>
      <c r="G317" s="10">
        <v>843044899</v>
      </c>
      <c r="H317" s="8" t="s">
        <v>573</v>
      </c>
    </row>
    <row r="318" spans="1:8" ht="14.25" customHeight="1" x14ac:dyDescent="0.35">
      <c r="A318" s="8" t="s">
        <v>369</v>
      </c>
      <c r="B318" s="8" t="s">
        <v>35</v>
      </c>
      <c r="C318" s="8" t="s">
        <v>13</v>
      </c>
      <c r="D318" s="8" t="s">
        <v>78</v>
      </c>
      <c r="E318" s="9">
        <v>45154</v>
      </c>
      <c r="F318" s="9">
        <v>45341</v>
      </c>
      <c r="G318" s="10">
        <v>442886883</v>
      </c>
      <c r="H318" s="11"/>
    </row>
    <row r="319" spans="1:8" ht="14.25" customHeight="1" x14ac:dyDescent="0.35">
      <c r="A319" s="8" t="s">
        <v>370</v>
      </c>
      <c r="B319" s="8" t="s">
        <v>18</v>
      </c>
      <c r="C319" s="8" t="s">
        <v>24</v>
      </c>
      <c r="D319" s="8" t="s">
        <v>618</v>
      </c>
      <c r="E319" s="9">
        <v>45155</v>
      </c>
      <c r="F319" s="9">
        <v>45382</v>
      </c>
      <c r="G319" s="10">
        <v>8993425036</v>
      </c>
      <c r="H319" s="8" t="s">
        <v>50</v>
      </c>
    </row>
    <row r="320" spans="1:8" ht="14.25" customHeight="1" x14ac:dyDescent="0.35">
      <c r="A320" s="8" t="s">
        <v>371</v>
      </c>
      <c r="B320" s="8" t="s">
        <v>18</v>
      </c>
      <c r="C320" s="8" t="s">
        <v>36</v>
      </c>
      <c r="D320" s="8" t="s">
        <v>634</v>
      </c>
      <c r="E320" s="9">
        <v>45157</v>
      </c>
      <c r="F320" s="9">
        <v>45222</v>
      </c>
      <c r="G320" s="10">
        <v>4764842863</v>
      </c>
      <c r="H320" s="8" t="s">
        <v>21</v>
      </c>
    </row>
    <row r="321" spans="1:8" ht="14.25" customHeight="1" x14ac:dyDescent="0.35">
      <c r="A321" s="8" t="s">
        <v>372</v>
      </c>
      <c r="B321" s="8" t="s">
        <v>12</v>
      </c>
      <c r="C321" s="8" t="s">
        <v>42</v>
      </c>
      <c r="D321" s="8" t="s">
        <v>603</v>
      </c>
      <c r="E321" s="9">
        <v>45157</v>
      </c>
      <c r="F321" s="9">
        <v>45305</v>
      </c>
      <c r="G321" s="10">
        <v>616245876</v>
      </c>
      <c r="H321" s="11"/>
    </row>
    <row r="322" spans="1:8" ht="14.25" customHeight="1" x14ac:dyDescent="0.35">
      <c r="A322" s="8" t="s">
        <v>373</v>
      </c>
      <c r="B322" s="8" t="s">
        <v>60</v>
      </c>
      <c r="C322" s="8" t="s">
        <v>19</v>
      </c>
      <c r="D322" s="8" t="s">
        <v>616</v>
      </c>
      <c r="E322" s="9">
        <v>45158</v>
      </c>
      <c r="F322" s="9">
        <v>45284</v>
      </c>
      <c r="G322" s="10">
        <v>2466228274</v>
      </c>
      <c r="H322" s="8" t="s">
        <v>581</v>
      </c>
    </row>
    <row r="323" spans="1:8" ht="14.25" customHeight="1" x14ac:dyDescent="0.35">
      <c r="A323" s="8" t="s">
        <v>374</v>
      </c>
      <c r="B323" s="8" t="s">
        <v>60</v>
      </c>
      <c r="C323" s="8" t="s">
        <v>31</v>
      </c>
      <c r="D323" s="8" t="s">
        <v>599</v>
      </c>
      <c r="E323" s="9">
        <v>45159</v>
      </c>
      <c r="F323" s="9">
        <v>45378</v>
      </c>
      <c r="G323" s="10">
        <v>3270114898</v>
      </c>
      <c r="H323" s="8" t="s">
        <v>50</v>
      </c>
    </row>
    <row r="324" spans="1:8" ht="14.25" customHeight="1" x14ac:dyDescent="0.35">
      <c r="A324" s="8" t="s">
        <v>375</v>
      </c>
      <c r="B324" s="8" t="s">
        <v>60</v>
      </c>
      <c r="C324" s="8" t="s">
        <v>24</v>
      </c>
      <c r="D324" s="8" t="s">
        <v>640</v>
      </c>
      <c r="E324" s="9">
        <v>45159</v>
      </c>
      <c r="F324" s="9">
        <v>45272</v>
      </c>
      <c r="G324" s="10">
        <v>2841617618</v>
      </c>
      <c r="H324" s="8" t="s">
        <v>50</v>
      </c>
    </row>
    <row r="325" spans="1:8" ht="14.25" customHeight="1" x14ac:dyDescent="0.35">
      <c r="A325" s="8" t="s">
        <v>376</v>
      </c>
      <c r="B325" s="8" t="s">
        <v>60</v>
      </c>
      <c r="C325" s="8" t="s">
        <v>24</v>
      </c>
      <c r="D325" s="8" t="s">
        <v>640</v>
      </c>
      <c r="E325" s="9">
        <v>45160</v>
      </c>
      <c r="F325" s="9">
        <v>45415</v>
      </c>
      <c r="G325" s="10">
        <v>2178901994</v>
      </c>
      <c r="H325" s="11"/>
    </row>
    <row r="326" spans="1:8" ht="14.25" customHeight="1" x14ac:dyDescent="0.35">
      <c r="A326" s="8" t="s">
        <v>377</v>
      </c>
      <c r="B326" s="8" t="s">
        <v>18</v>
      </c>
      <c r="C326" s="8" t="s">
        <v>31</v>
      </c>
      <c r="D326" s="8" t="s">
        <v>636</v>
      </c>
      <c r="E326" s="9">
        <v>45160</v>
      </c>
      <c r="F326" s="9">
        <v>45496</v>
      </c>
      <c r="G326" s="10">
        <v>4033563886</v>
      </c>
      <c r="H326" s="11"/>
    </row>
    <row r="327" spans="1:8" ht="14.25" customHeight="1" x14ac:dyDescent="0.35">
      <c r="A327" s="8" t="s">
        <v>378</v>
      </c>
      <c r="B327" s="8" t="s">
        <v>30</v>
      </c>
      <c r="C327" s="8" t="s">
        <v>24</v>
      </c>
      <c r="D327" s="8" t="s">
        <v>637</v>
      </c>
      <c r="E327" s="9">
        <v>45160</v>
      </c>
      <c r="F327" s="9">
        <v>45197</v>
      </c>
      <c r="G327" s="10">
        <v>965725164</v>
      </c>
      <c r="H327" s="11"/>
    </row>
    <row r="328" spans="1:8" ht="14.25" customHeight="1" x14ac:dyDescent="0.35">
      <c r="A328" s="8" t="s">
        <v>379</v>
      </c>
      <c r="B328" s="8" t="s">
        <v>12</v>
      </c>
      <c r="C328" s="8" t="s">
        <v>24</v>
      </c>
      <c r="D328" s="8" t="s">
        <v>610</v>
      </c>
      <c r="E328" s="9">
        <v>45161</v>
      </c>
      <c r="F328" s="9">
        <v>45199</v>
      </c>
      <c r="G328" s="10">
        <v>647397365</v>
      </c>
      <c r="H328" s="8" t="s">
        <v>50</v>
      </c>
    </row>
    <row r="329" spans="1:8" ht="14.25" customHeight="1" x14ac:dyDescent="0.35">
      <c r="A329" s="8" t="s">
        <v>380</v>
      </c>
      <c r="B329" s="8" t="s">
        <v>30</v>
      </c>
      <c r="C329" s="8" t="s">
        <v>24</v>
      </c>
      <c r="D329" s="8" t="s">
        <v>637</v>
      </c>
      <c r="E329" s="9">
        <v>45161</v>
      </c>
      <c r="F329" s="9">
        <v>45100</v>
      </c>
      <c r="G329" s="10">
        <v>775460621</v>
      </c>
      <c r="H329" s="8" t="s">
        <v>573</v>
      </c>
    </row>
    <row r="330" spans="1:8" ht="14.25" customHeight="1" x14ac:dyDescent="0.35">
      <c r="A330" s="8" t="s">
        <v>381</v>
      </c>
      <c r="B330" s="8" t="s">
        <v>18</v>
      </c>
      <c r="C330" s="8" t="s">
        <v>39</v>
      </c>
      <c r="D330" s="8" t="s">
        <v>577</v>
      </c>
      <c r="E330" s="9">
        <v>45162</v>
      </c>
      <c r="F330" s="9">
        <v>45516</v>
      </c>
      <c r="G330" s="10">
        <v>7165201683</v>
      </c>
      <c r="H330" s="8" t="s">
        <v>44</v>
      </c>
    </row>
    <row r="331" spans="1:8" ht="14.25" customHeight="1" x14ac:dyDescent="0.35">
      <c r="A331" s="8" t="s">
        <v>382</v>
      </c>
      <c r="B331" s="8" t="s">
        <v>35</v>
      </c>
      <c r="C331" s="8" t="s">
        <v>48</v>
      </c>
      <c r="D331" s="8" t="s">
        <v>49</v>
      </c>
      <c r="E331" s="9">
        <v>45162</v>
      </c>
      <c r="F331" s="9">
        <v>45254</v>
      </c>
      <c r="G331" s="10">
        <v>557418865</v>
      </c>
      <c r="H331" s="11"/>
    </row>
    <row r="332" spans="1:8" ht="14.25" customHeight="1" x14ac:dyDescent="0.35">
      <c r="A332" s="8" t="s">
        <v>383</v>
      </c>
      <c r="B332" s="8" t="s">
        <v>18</v>
      </c>
      <c r="C332" s="8" t="s">
        <v>48</v>
      </c>
      <c r="D332" s="8" t="s">
        <v>629</v>
      </c>
      <c r="E332" s="9">
        <v>45163</v>
      </c>
      <c r="F332" s="9">
        <v>45219</v>
      </c>
      <c r="G332" s="10">
        <v>4732793482</v>
      </c>
      <c r="H332" s="8" t="s">
        <v>67</v>
      </c>
    </row>
    <row r="333" spans="1:8" ht="14.25" customHeight="1" x14ac:dyDescent="0.35">
      <c r="A333" s="8" t="s">
        <v>384</v>
      </c>
      <c r="B333" s="8" t="s">
        <v>30</v>
      </c>
      <c r="C333" s="8" t="s">
        <v>39</v>
      </c>
      <c r="D333" s="8" t="s">
        <v>590</v>
      </c>
      <c r="E333" s="9">
        <v>45163</v>
      </c>
      <c r="F333" s="9">
        <v>45258</v>
      </c>
      <c r="G333" s="10">
        <v>2993133974</v>
      </c>
      <c r="H333" s="8" t="s">
        <v>67</v>
      </c>
    </row>
    <row r="334" spans="1:8" ht="14.25" customHeight="1" x14ac:dyDescent="0.35">
      <c r="A334" s="8" t="s">
        <v>385</v>
      </c>
      <c r="B334" s="8" t="s">
        <v>60</v>
      </c>
      <c r="C334" s="8" t="s">
        <v>13</v>
      </c>
      <c r="D334" s="8" t="s">
        <v>582</v>
      </c>
      <c r="E334" s="9">
        <v>45164</v>
      </c>
      <c r="F334" s="9">
        <v>45456</v>
      </c>
      <c r="G334" s="10">
        <v>4720470438</v>
      </c>
      <c r="H334" s="8" t="s">
        <v>33</v>
      </c>
    </row>
    <row r="335" spans="1:8" ht="14.25" customHeight="1" x14ac:dyDescent="0.35">
      <c r="A335" s="8" t="s">
        <v>386</v>
      </c>
      <c r="B335" s="8" t="s">
        <v>30</v>
      </c>
      <c r="C335" s="8" t="s">
        <v>31</v>
      </c>
      <c r="D335" s="8" t="s">
        <v>585</v>
      </c>
      <c r="E335" s="9">
        <v>45167</v>
      </c>
      <c r="F335" s="9">
        <v>45453</v>
      </c>
      <c r="G335" s="10">
        <v>3999421618</v>
      </c>
      <c r="H335" s="8" t="s">
        <v>67</v>
      </c>
    </row>
    <row r="336" spans="1:8" ht="14.25" customHeight="1" x14ac:dyDescent="0.35">
      <c r="A336" s="8" t="s">
        <v>387</v>
      </c>
      <c r="B336" s="8" t="s">
        <v>30</v>
      </c>
      <c r="C336" s="8" t="s">
        <v>19</v>
      </c>
      <c r="D336" s="8" t="s">
        <v>624</v>
      </c>
      <c r="E336" s="9">
        <v>45168</v>
      </c>
      <c r="F336" s="9">
        <v>45511</v>
      </c>
      <c r="G336" s="10">
        <v>1118159098</v>
      </c>
      <c r="H336" s="8" t="s">
        <v>21</v>
      </c>
    </row>
    <row r="337" spans="1:8" ht="14.25" customHeight="1" x14ac:dyDescent="0.35">
      <c r="A337" s="8" t="s">
        <v>388</v>
      </c>
      <c r="B337" s="8" t="s">
        <v>18</v>
      </c>
      <c r="C337" s="8" t="s">
        <v>13</v>
      </c>
      <c r="D337" s="8" t="s">
        <v>580</v>
      </c>
      <c r="E337" s="9">
        <v>45168</v>
      </c>
      <c r="F337" s="9">
        <v>45530</v>
      </c>
      <c r="G337" s="10">
        <v>9891638971</v>
      </c>
      <c r="H337" s="11"/>
    </row>
    <row r="338" spans="1:8" ht="14.25" customHeight="1" x14ac:dyDescent="0.35">
      <c r="A338" s="8" t="s">
        <v>389</v>
      </c>
      <c r="B338" s="8" t="s">
        <v>35</v>
      </c>
      <c r="C338" s="8" t="s">
        <v>39</v>
      </c>
      <c r="D338" s="8" t="s">
        <v>145</v>
      </c>
      <c r="E338" s="9">
        <v>45168</v>
      </c>
      <c r="F338" s="9">
        <v>45236</v>
      </c>
      <c r="G338" s="10">
        <v>246997207</v>
      </c>
      <c r="H338" s="8" t="s">
        <v>50</v>
      </c>
    </row>
    <row r="339" spans="1:8" ht="14.25" customHeight="1" x14ac:dyDescent="0.35">
      <c r="A339" s="8" t="s">
        <v>390</v>
      </c>
      <c r="B339" s="8" t="s">
        <v>60</v>
      </c>
      <c r="C339" s="8" t="s">
        <v>36</v>
      </c>
      <c r="D339" s="8" t="s">
        <v>628</v>
      </c>
      <c r="E339" s="9">
        <v>45169</v>
      </c>
      <c r="F339" s="9">
        <v>45200</v>
      </c>
      <c r="G339" s="10">
        <v>4163473786</v>
      </c>
      <c r="H339" s="8" t="s">
        <v>33</v>
      </c>
    </row>
    <row r="340" spans="1:8" ht="14.25" customHeight="1" x14ac:dyDescent="0.35">
      <c r="A340" s="8" t="s">
        <v>391</v>
      </c>
      <c r="B340" s="8" t="s">
        <v>18</v>
      </c>
      <c r="C340" s="8" t="s">
        <v>19</v>
      </c>
      <c r="D340" s="8" t="s">
        <v>633</v>
      </c>
      <c r="E340" s="9">
        <v>45169</v>
      </c>
      <c r="F340" s="9">
        <v>45267</v>
      </c>
      <c r="G340" s="10">
        <v>2007900262</v>
      </c>
      <c r="H340" s="8" t="s">
        <v>581</v>
      </c>
    </row>
    <row r="341" spans="1:8" ht="14.25" customHeight="1" x14ac:dyDescent="0.35">
      <c r="A341" s="8" t="s">
        <v>392</v>
      </c>
      <c r="B341" s="8" t="s">
        <v>18</v>
      </c>
      <c r="C341" s="8" t="s">
        <v>31</v>
      </c>
      <c r="D341" s="8" t="s">
        <v>636</v>
      </c>
      <c r="E341" s="9">
        <v>45170</v>
      </c>
      <c r="F341" s="9">
        <v>45454</v>
      </c>
      <c r="G341" s="10">
        <v>9921498760</v>
      </c>
      <c r="H341" s="8" t="s">
        <v>50</v>
      </c>
    </row>
    <row r="342" spans="1:8" ht="14.25" customHeight="1" x14ac:dyDescent="0.35">
      <c r="A342" s="8" t="s">
        <v>393</v>
      </c>
      <c r="B342" s="8" t="s">
        <v>60</v>
      </c>
      <c r="C342" s="8" t="s">
        <v>36</v>
      </c>
      <c r="D342" s="8" t="s">
        <v>628</v>
      </c>
      <c r="E342" s="9">
        <v>45171</v>
      </c>
      <c r="F342" s="9">
        <v>45288</v>
      </c>
      <c r="G342" s="10">
        <v>2562733310</v>
      </c>
      <c r="H342" s="8" t="s">
        <v>67</v>
      </c>
    </row>
    <row r="343" spans="1:8" ht="14.25" customHeight="1" x14ac:dyDescent="0.35">
      <c r="A343" s="8" t="s">
        <v>394</v>
      </c>
      <c r="B343" s="8" t="s">
        <v>12</v>
      </c>
      <c r="C343" s="8" t="s">
        <v>48</v>
      </c>
      <c r="D343" s="8" t="s">
        <v>602</v>
      </c>
      <c r="E343" s="9">
        <v>45172</v>
      </c>
      <c r="F343" s="9">
        <v>45435</v>
      </c>
      <c r="G343" s="10">
        <v>894294565</v>
      </c>
      <c r="H343" s="8" t="s">
        <v>50</v>
      </c>
    </row>
    <row r="344" spans="1:8" ht="14.25" customHeight="1" x14ac:dyDescent="0.35">
      <c r="A344" s="8" t="s">
        <v>395</v>
      </c>
      <c r="B344" s="8" t="s">
        <v>30</v>
      </c>
      <c r="C344" s="8" t="s">
        <v>19</v>
      </c>
      <c r="D344" s="8" t="s">
        <v>624</v>
      </c>
      <c r="E344" s="9">
        <v>45173</v>
      </c>
      <c r="F344" s="9">
        <v>45340</v>
      </c>
      <c r="G344" s="10">
        <v>661378979</v>
      </c>
      <c r="H344" s="8" t="s">
        <v>581</v>
      </c>
    </row>
    <row r="345" spans="1:8" ht="14.25" customHeight="1" x14ac:dyDescent="0.35">
      <c r="A345" s="8" t="s">
        <v>396</v>
      </c>
      <c r="B345" s="8" t="s">
        <v>60</v>
      </c>
      <c r="C345" s="8" t="s">
        <v>36</v>
      </c>
      <c r="D345" s="8" t="s">
        <v>628</v>
      </c>
      <c r="E345" s="9">
        <v>45175</v>
      </c>
      <c r="F345" s="9">
        <v>45316</v>
      </c>
      <c r="G345" s="10">
        <v>2081376801</v>
      </c>
      <c r="H345" s="11"/>
    </row>
    <row r="346" spans="1:8" ht="14.25" customHeight="1" x14ac:dyDescent="0.35">
      <c r="A346" s="8" t="s">
        <v>397</v>
      </c>
      <c r="B346" s="8" t="s">
        <v>35</v>
      </c>
      <c r="C346" s="8" t="s">
        <v>31</v>
      </c>
      <c r="D346" s="8" t="s">
        <v>91</v>
      </c>
      <c r="E346" s="9">
        <v>45177</v>
      </c>
      <c r="F346" s="9">
        <v>45477</v>
      </c>
      <c r="G346" s="10">
        <v>609956841</v>
      </c>
      <c r="H346" s="8" t="s">
        <v>67</v>
      </c>
    </row>
    <row r="347" spans="1:8" ht="14.25" customHeight="1" x14ac:dyDescent="0.35">
      <c r="A347" s="8" t="s">
        <v>398</v>
      </c>
      <c r="B347" s="8" t="s">
        <v>18</v>
      </c>
      <c r="C347" s="8" t="s">
        <v>48</v>
      </c>
      <c r="D347" s="8" t="s">
        <v>629</v>
      </c>
      <c r="E347" s="9">
        <v>45178</v>
      </c>
      <c r="F347" s="9">
        <v>45449</v>
      </c>
      <c r="G347" s="10">
        <v>4372183615</v>
      </c>
      <c r="H347" s="8" t="s">
        <v>50</v>
      </c>
    </row>
    <row r="348" spans="1:8" ht="14.25" customHeight="1" x14ac:dyDescent="0.35">
      <c r="A348" s="8" t="s">
        <v>399</v>
      </c>
      <c r="B348" s="8" t="s">
        <v>18</v>
      </c>
      <c r="C348" s="8" t="s">
        <v>13</v>
      </c>
      <c r="D348" s="8" t="s">
        <v>580</v>
      </c>
      <c r="E348" s="9">
        <v>45178</v>
      </c>
      <c r="F348" s="9">
        <v>45540</v>
      </c>
      <c r="G348" s="10">
        <v>7734024053</v>
      </c>
      <c r="H348" s="8" t="s">
        <v>581</v>
      </c>
    </row>
    <row r="349" spans="1:8" ht="14.25" customHeight="1" x14ac:dyDescent="0.35">
      <c r="A349" s="8" t="s">
        <v>400</v>
      </c>
      <c r="B349" s="8" t="s">
        <v>60</v>
      </c>
      <c r="C349" s="8" t="s">
        <v>13</v>
      </c>
      <c r="D349" s="8" t="s">
        <v>582</v>
      </c>
      <c r="E349" s="9">
        <v>45178</v>
      </c>
      <c r="F349" s="9">
        <v>45457</v>
      </c>
      <c r="G349" s="10">
        <v>2237295280</v>
      </c>
      <c r="H349" s="8" t="s">
        <v>573</v>
      </c>
    </row>
    <row r="350" spans="1:8" ht="14.25" customHeight="1" x14ac:dyDescent="0.35">
      <c r="A350" s="8" t="s">
        <v>401</v>
      </c>
      <c r="B350" s="8" t="s">
        <v>30</v>
      </c>
      <c r="C350" s="8" t="s">
        <v>36</v>
      </c>
      <c r="D350" s="8" t="s">
        <v>639</v>
      </c>
      <c r="E350" s="9">
        <v>45178</v>
      </c>
      <c r="F350" s="9">
        <v>45279</v>
      </c>
      <c r="G350" s="10">
        <v>4595910673</v>
      </c>
      <c r="H350" s="8" t="s">
        <v>33</v>
      </c>
    </row>
    <row r="351" spans="1:8" ht="14.25" customHeight="1" x14ac:dyDescent="0.35">
      <c r="A351" s="8" t="s">
        <v>402</v>
      </c>
      <c r="B351" s="8" t="s">
        <v>30</v>
      </c>
      <c r="C351" s="8" t="s">
        <v>19</v>
      </c>
      <c r="D351" s="8" t="s">
        <v>624</v>
      </c>
      <c r="E351" s="9">
        <v>45179</v>
      </c>
      <c r="F351" s="9">
        <v>45400</v>
      </c>
      <c r="G351" s="10">
        <v>5159672072</v>
      </c>
      <c r="H351" s="8" t="s">
        <v>44</v>
      </c>
    </row>
    <row r="352" spans="1:8" ht="14.25" customHeight="1" x14ac:dyDescent="0.35">
      <c r="A352" s="8" t="s">
        <v>403</v>
      </c>
      <c r="B352" s="8" t="s">
        <v>18</v>
      </c>
      <c r="C352" s="8" t="s">
        <v>31</v>
      </c>
      <c r="D352" s="8" t="s">
        <v>636</v>
      </c>
      <c r="E352" s="9">
        <v>45180</v>
      </c>
      <c r="F352" s="9">
        <v>45270</v>
      </c>
      <c r="G352" s="10">
        <v>6721798052</v>
      </c>
      <c r="H352" s="11"/>
    </row>
    <row r="353" spans="1:8" ht="14.25" customHeight="1" x14ac:dyDescent="0.35">
      <c r="A353" s="8" t="s">
        <v>404</v>
      </c>
      <c r="B353" s="8" t="s">
        <v>30</v>
      </c>
      <c r="C353" s="8" t="s">
        <v>31</v>
      </c>
      <c r="D353" s="8" t="s">
        <v>595</v>
      </c>
      <c r="E353" s="9">
        <v>45181</v>
      </c>
      <c r="F353" s="9">
        <v>45455</v>
      </c>
      <c r="G353" s="10">
        <v>4769425566</v>
      </c>
      <c r="H353" s="8" t="s">
        <v>44</v>
      </c>
    </row>
    <row r="354" spans="1:8" ht="14.25" customHeight="1" x14ac:dyDescent="0.35">
      <c r="A354" s="8" t="s">
        <v>405</v>
      </c>
      <c r="B354" s="8" t="s">
        <v>30</v>
      </c>
      <c r="C354" s="8" t="s">
        <v>24</v>
      </c>
      <c r="D354" s="8" t="s">
        <v>612</v>
      </c>
      <c r="E354" s="9">
        <v>45183</v>
      </c>
      <c r="F354" s="9">
        <v>45255</v>
      </c>
      <c r="G354" s="10">
        <v>1336819118</v>
      </c>
      <c r="H354" s="8" t="s">
        <v>44</v>
      </c>
    </row>
    <row r="355" spans="1:8" ht="14.25" customHeight="1" x14ac:dyDescent="0.35">
      <c r="A355" s="8" t="s">
        <v>406</v>
      </c>
      <c r="B355" s="8" t="s">
        <v>35</v>
      </c>
      <c r="C355" s="8" t="s">
        <v>24</v>
      </c>
      <c r="D355" s="8" t="s">
        <v>133</v>
      </c>
      <c r="E355" s="9">
        <v>45184</v>
      </c>
      <c r="F355" s="9">
        <v>45534</v>
      </c>
      <c r="G355" s="10">
        <v>471750376</v>
      </c>
      <c r="H355" s="8" t="s">
        <v>33</v>
      </c>
    </row>
    <row r="356" spans="1:8" ht="14.25" customHeight="1" x14ac:dyDescent="0.35">
      <c r="A356" s="8" t="s">
        <v>407</v>
      </c>
      <c r="B356" s="8" t="s">
        <v>12</v>
      </c>
      <c r="C356" s="8" t="s">
        <v>31</v>
      </c>
      <c r="D356" s="8" t="s">
        <v>593</v>
      </c>
      <c r="E356" s="9">
        <v>45184</v>
      </c>
      <c r="F356" s="9">
        <v>45239</v>
      </c>
      <c r="G356" s="10">
        <v>628901605</v>
      </c>
      <c r="H356" s="8" t="s">
        <v>33</v>
      </c>
    </row>
    <row r="357" spans="1:8" ht="14.25" customHeight="1" x14ac:dyDescent="0.35">
      <c r="A357" s="8" t="s">
        <v>408</v>
      </c>
      <c r="B357" s="8" t="s">
        <v>30</v>
      </c>
      <c r="C357" s="8" t="s">
        <v>42</v>
      </c>
      <c r="D357" s="8" t="s">
        <v>627</v>
      </c>
      <c r="E357" s="9">
        <v>45185</v>
      </c>
      <c r="F357" s="9">
        <v>45273</v>
      </c>
      <c r="G357" s="10">
        <v>1251866235</v>
      </c>
      <c r="H357" s="8" t="s">
        <v>21</v>
      </c>
    </row>
    <row r="358" spans="1:8" ht="14.25" customHeight="1" x14ac:dyDescent="0.35">
      <c r="A358" s="8" t="s">
        <v>409</v>
      </c>
      <c r="B358" s="8" t="s">
        <v>12</v>
      </c>
      <c r="C358" s="8" t="s">
        <v>39</v>
      </c>
      <c r="D358" s="8" t="s">
        <v>591</v>
      </c>
      <c r="E358" s="9">
        <v>45185</v>
      </c>
      <c r="F358" s="9">
        <v>45404</v>
      </c>
      <c r="G358" s="10">
        <v>321020182</v>
      </c>
      <c r="H358" s="8" t="s">
        <v>50</v>
      </c>
    </row>
    <row r="359" spans="1:8" ht="14.25" customHeight="1" x14ac:dyDescent="0.35">
      <c r="A359" s="8" t="s">
        <v>410</v>
      </c>
      <c r="B359" s="8" t="s">
        <v>30</v>
      </c>
      <c r="C359" s="8" t="s">
        <v>13</v>
      </c>
      <c r="D359" s="8" t="s">
        <v>630</v>
      </c>
      <c r="E359" s="9">
        <v>45186</v>
      </c>
      <c r="F359" s="9">
        <v>45477</v>
      </c>
      <c r="G359" s="10">
        <v>4533278952</v>
      </c>
      <c r="H359" s="8" t="s">
        <v>581</v>
      </c>
    </row>
    <row r="360" spans="1:8" ht="14.25" customHeight="1" x14ac:dyDescent="0.35">
      <c r="A360" s="8" t="s">
        <v>411</v>
      </c>
      <c r="B360" s="8" t="s">
        <v>18</v>
      </c>
      <c r="C360" s="8" t="s">
        <v>39</v>
      </c>
      <c r="D360" s="8" t="s">
        <v>577</v>
      </c>
      <c r="E360" s="9">
        <v>45187</v>
      </c>
      <c r="F360" s="9">
        <v>45493</v>
      </c>
      <c r="G360" s="10">
        <v>4814287975</v>
      </c>
      <c r="H360" s="8" t="s">
        <v>581</v>
      </c>
    </row>
    <row r="361" spans="1:8" ht="14.25" customHeight="1" x14ac:dyDescent="0.35">
      <c r="A361" s="8" t="s">
        <v>412</v>
      </c>
      <c r="B361" s="8" t="s">
        <v>30</v>
      </c>
      <c r="C361" s="8" t="s">
        <v>24</v>
      </c>
      <c r="D361" s="8" t="s">
        <v>637</v>
      </c>
      <c r="E361" s="9">
        <v>45188</v>
      </c>
      <c r="F361" s="9">
        <v>45328</v>
      </c>
      <c r="G361" s="10">
        <v>5011848562</v>
      </c>
      <c r="H361" s="8" t="s">
        <v>67</v>
      </c>
    </row>
    <row r="362" spans="1:8" ht="14.25" customHeight="1" x14ac:dyDescent="0.35">
      <c r="A362" s="8" t="s">
        <v>413</v>
      </c>
      <c r="B362" s="8" t="s">
        <v>60</v>
      </c>
      <c r="C362" s="8" t="s">
        <v>36</v>
      </c>
      <c r="D362" s="8" t="s">
        <v>597</v>
      </c>
      <c r="E362" s="9">
        <v>45188</v>
      </c>
      <c r="F362" s="9">
        <v>45364</v>
      </c>
      <c r="G362" s="10">
        <v>2187444281</v>
      </c>
      <c r="H362" s="8" t="s">
        <v>44</v>
      </c>
    </row>
    <row r="363" spans="1:8" ht="14.25" customHeight="1" x14ac:dyDescent="0.35">
      <c r="A363" s="8" t="s">
        <v>414</v>
      </c>
      <c r="B363" s="8" t="s">
        <v>30</v>
      </c>
      <c r="C363" s="8" t="s">
        <v>39</v>
      </c>
      <c r="D363" s="8" t="s">
        <v>638</v>
      </c>
      <c r="E363" s="9">
        <v>45188</v>
      </c>
      <c r="F363" s="9">
        <v>45245</v>
      </c>
      <c r="G363" s="10">
        <v>3086567364</v>
      </c>
      <c r="H363" s="8" t="s">
        <v>50</v>
      </c>
    </row>
    <row r="364" spans="1:8" ht="14.25" customHeight="1" x14ac:dyDescent="0.35">
      <c r="A364" s="8" t="s">
        <v>415</v>
      </c>
      <c r="B364" s="8" t="s">
        <v>30</v>
      </c>
      <c r="C364" s="8" t="s">
        <v>31</v>
      </c>
      <c r="D364" s="8" t="s">
        <v>585</v>
      </c>
      <c r="E364" s="9">
        <v>45191</v>
      </c>
      <c r="F364" s="9">
        <v>45375</v>
      </c>
      <c r="G364" s="10">
        <v>3308514312</v>
      </c>
      <c r="H364" s="8" t="s">
        <v>21</v>
      </c>
    </row>
    <row r="365" spans="1:8" ht="14.25" customHeight="1" x14ac:dyDescent="0.35">
      <c r="A365" s="8" t="s">
        <v>416</v>
      </c>
      <c r="B365" s="8" t="s">
        <v>12</v>
      </c>
      <c r="C365" s="8" t="s">
        <v>42</v>
      </c>
      <c r="D365" s="8" t="s">
        <v>603</v>
      </c>
      <c r="E365" s="9">
        <v>45192</v>
      </c>
      <c r="F365" s="9">
        <v>45532</v>
      </c>
      <c r="G365" s="10">
        <v>283571018</v>
      </c>
      <c r="H365" s="8" t="s">
        <v>581</v>
      </c>
    </row>
    <row r="366" spans="1:8" ht="14.25" customHeight="1" x14ac:dyDescent="0.35">
      <c r="A366" s="8" t="s">
        <v>417</v>
      </c>
      <c r="B366" s="8" t="s">
        <v>18</v>
      </c>
      <c r="C366" s="8" t="s">
        <v>42</v>
      </c>
      <c r="D366" s="8" t="s">
        <v>621</v>
      </c>
      <c r="E366" s="9">
        <v>45192</v>
      </c>
      <c r="F366" s="9">
        <v>45361</v>
      </c>
      <c r="G366" s="10">
        <v>7071217769</v>
      </c>
      <c r="H366" s="8" t="s">
        <v>33</v>
      </c>
    </row>
    <row r="367" spans="1:8" ht="14.25" customHeight="1" x14ac:dyDescent="0.35">
      <c r="A367" s="8" t="s">
        <v>418</v>
      </c>
      <c r="B367" s="8" t="s">
        <v>30</v>
      </c>
      <c r="C367" s="8" t="s">
        <v>42</v>
      </c>
      <c r="D367" s="8" t="s">
        <v>632</v>
      </c>
      <c r="E367" s="9">
        <v>45193</v>
      </c>
      <c r="F367" s="9">
        <v>45267</v>
      </c>
      <c r="G367" s="10">
        <v>5103380941</v>
      </c>
      <c r="H367" s="8" t="s">
        <v>33</v>
      </c>
    </row>
    <row r="368" spans="1:8" ht="14.25" customHeight="1" x14ac:dyDescent="0.35">
      <c r="A368" s="8" t="s">
        <v>419</v>
      </c>
      <c r="B368" s="8" t="s">
        <v>18</v>
      </c>
      <c r="C368" s="8" t="s">
        <v>39</v>
      </c>
      <c r="D368" s="8" t="s">
        <v>577</v>
      </c>
      <c r="E368" s="9">
        <v>45194</v>
      </c>
      <c r="F368" s="9">
        <v>45394</v>
      </c>
      <c r="G368" s="10">
        <v>4342819473</v>
      </c>
      <c r="H368" s="8" t="s">
        <v>50</v>
      </c>
    </row>
    <row r="369" spans="1:8" ht="14.25" customHeight="1" x14ac:dyDescent="0.35">
      <c r="A369" s="8" t="s">
        <v>420</v>
      </c>
      <c r="B369" s="8" t="s">
        <v>30</v>
      </c>
      <c r="C369" s="8" t="s">
        <v>39</v>
      </c>
      <c r="D369" s="8" t="s">
        <v>638</v>
      </c>
      <c r="E369" s="9">
        <v>45194</v>
      </c>
      <c r="F369" s="9">
        <v>45231</v>
      </c>
      <c r="G369" s="10">
        <v>6977377591</v>
      </c>
      <c r="H369" s="8" t="s">
        <v>67</v>
      </c>
    </row>
    <row r="370" spans="1:8" ht="14.25" customHeight="1" x14ac:dyDescent="0.35">
      <c r="A370" s="8" t="s">
        <v>421</v>
      </c>
      <c r="B370" s="8" t="s">
        <v>30</v>
      </c>
      <c r="C370" s="8" t="s">
        <v>13</v>
      </c>
      <c r="D370" s="8" t="s">
        <v>630</v>
      </c>
      <c r="E370" s="9">
        <v>45195</v>
      </c>
      <c r="F370" s="9">
        <v>45460</v>
      </c>
      <c r="G370" s="10">
        <v>5457855102</v>
      </c>
      <c r="H370" s="8" t="s">
        <v>21</v>
      </c>
    </row>
    <row r="371" spans="1:8" ht="14.25" customHeight="1" x14ac:dyDescent="0.35">
      <c r="A371" s="8" t="s">
        <v>422</v>
      </c>
      <c r="B371" s="8" t="s">
        <v>18</v>
      </c>
      <c r="C371" s="8" t="s">
        <v>31</v>
      </c>
      <c r="D371" s="8" t="s">
        <v>636</v>
      </c>
      <c r="E371" s="9">
        <v>45195</v>
      </c>
      <c r="F371" s="9">
        <v>45533</v>
      </c>
      <c r="G371" s="10">
        <v>2054160295</v>
      </c>
      <c r="H371" s="8" t="s">
        <v>44</v>
      </c>
    </row>
    <row r="372" spans="1:8" ht="14.25" customHeight="1" x14ac:dyDescent="0.35">
      <c r="A372" s="8" t="s">
        <v>423</v>
      </c>
      <c r="B372" s="8" t="s">
        <v>18</v>
      </c>
      <c r="C372" s="8" t="s">
        <v>24</v>
      </c>
      <c r="D372" s="8" t="s">
        <v>618</v>
      </c>
      <c r="E372" s="9">
        <v>45196</v>
      </c>
      <c r="F372" s="9">
        <v>45429</v>
      </c>
      <c r="G372" s="10">
        <v>2343750073</v>
      </c>
      <c r="H372" s="8" t="s">
        <v>44</v>
      </c>
    </row>
    <row r="373" spans="1:8" ht="14.25" customHeight="1" x14ac:dyDescent="0.35">
      <c r="A373" s="8" t="s">
        <v>424</v>
      </c>
      <c r="B373" s="8" t="s">
        <v>18</v>
      </c>
      <c r="C373" s="8" t="s">
        <v>31</v>
      </c>
      <c r="D373" s="8" t="s">
        <v>636</v>
      </c>
      <c r="E373" s="9">
        <v>45197</v>
      </c>
      <c r="F373" s="9">
        <v>45426</v>
      </c>
      <c r="G373" s="10">
        <v>1025269810</v>
      </c>
      <c r="H373" s="8" t="s">
        <v>33</v>
      </c>
    </row>
    <row r="374" spans="1:8" ht="14.25" customHeight="1" x14ac:dyDescent="0.35">
      <c r="A374" s="8" t="s">
        <v>425</v>
      </c>
      <c r="B374" s="8" t="s">
        <v>35</v>
      </c>
      <c r="C374" s="8" t="s">
        <v>13</v>
      </c>
      <c r="D374" s="8" t="s">
        <v>78</v>
      </c>
      <c r="E374" s="9">
        <v>45199</v>
      </c>
      <c r="F374" s="9">
        <v>45276</v>
      </c>
      <c r="G374" s="10">
        <v>350434222</v>
      </c>
      <c r="H374" s="8" t="s">
        <v>67</v>
      </c>
    </row>
    <row r="375" spans="1:8" ht="14.25" customHeight="1" x14ac:dyDescent="0.35">
      <c r="A375" s="8" t="s">
        <v>426</v>
      </c>
      <c r="B375" s="8" t="s">
        <v>12</v>
      </c>
      <c r="C375" s="8" t="s">
        <v>48</v>
      </c>
      <c r="D375" s="8" t="s">
        <v>602</v>
      </c>
      <c r="E375" s="9">
        <v>45201</v>
      </c>
      <c r="F375" s="9">
        <v>45418</v>
      </c>
      <c r="G375" s="10">
        <v>497218843</v>
      </c>
      <c r="H375" s="8" t="s">
        <v>67</v>
      </c>
    </row>
    <row r="376" spans="1:8" ht="14.25" customHeight="1" x14ac:dyDescent="0.35">
      <c r="A376" s="8" t="s">
        <v>427</v>
      </c>
      <c r="B376" s="8" t="s">
        <v>12</v>
      </c>
      <c r="C376" s="8" t="s">
        <v>42</v>
      </c>
      <c r="D376" s="8" t="s">
        <v>603</v>
      </c>
      <c r="E376" s="9">
        <v>45201</v>
      </c>
      <c r="F376" s="9">
        <v>45499</v>
      </c>
      <c r="G376" s="10">
        <v>872130533</v>
      </c>
      <c r="H376" s="8" t="s">
        <v>573</v>
      </c>
    </row>
    <row r="377" spans="1:8" ht="14.25" customHeight="1" x14ac:dyDescent="0.35">
      <c r="A377" s="8" t="s">
        <v>428</v>
      </c>
      <c r="B377" s="8" t="s">
        <v>60</v>
      </c>
      <c r="C377" s="8" t="s">
        <v>24</v>
      </c>
      <c r="D377" s="8" t="s">
        <v>575</v>
      </c>
      <c r="E377" s="9">
        <v>45202</v>
      </c>
      <c r="F377" s="9">
        <v>45487</v>
      </c>
      <c r="G377" s="10">
        <v>4907012780</v>
      </c>
      <c r="H377" s="8" t="s">
        <v>44</v>
      </c>
    </row>
    <row r="378" spans="1:8" ht="14.25" customHeight="1" x14ac:dyDescent="0.35">
      <c r="A378" s="8" t="s">
        <v>429</v>
      </c>
      <c r="B378" s="8" t="s">
        <v>60</v>
      </c>
      <c r="C378" s="8" t="s">
        <v>42</v>
      </c>
      <c r="D378" s="8" t="s">
        <v>587</v>
      </c>
      <c r="E378" s="9">
        <v>45202</v>
      </c>
      <c r="F378" s="9">
        <v>45456</v>
      </c>
      <c r="G378" s="10">
        <v>3253936748</v>
      </c>
      <c r="H378" s="8" t="s">
        <v>50</v>
      </c>
    </row>
    <row r="379" spans="1:8" ht="14.25" customHeight="1" x14ac:dyDescent="0.35">
      <c r="A379" s="8" t="s">
        <v>430</v>
      </c>
      <c r="B379" s="8" t="s">
        <v>18</v>
      </c>
      <c r="C379" s="8" t="s">
        <v>13</v>
      </c>
      <c r="D379" s="8" t="s">
        <v>580</v>
      </c>
      <c r="E379" s="9">
        <v>45202</v>
      </c>
      <c r="F379" s="9">
        <v>45474</v>
      </c>
      <c r="G379" s="10">
        <v>1125747425</v>
      </c>
      <c r="H379" s="11"/>
    </row>
    <row r="380" spans="1:8" ht="14.25" customHeight="1" x14ac:dyDescent="0.35">
      <c r="A380" s="8" t="s">
        <v>431</v>
      </c>
      <c r="B380" s="8" t="s">
        <v>30</v>
      </c>
      <c r="C380" s="8" t="s">
        <v>42</v>
      </c>
      <c r="D380" s="8" t="s">
        <v>632</v>
      </c>
      <c r="E380" s="9">
        <v>45202</v>
      </c>
      <c r="F380" s="9">
        <v>45551</v>
      </c>
      <c r="G380" s="10">
        <v>1635038686</v>
      </c>
      <c r="H380" s="8" t="s">
        <v>67</v>
      </c>
    </row>
    <row r="381" spans="1:8" ht="14.25" customHeight="1" x14ac:dyDescent="0.35">
      <c r="A381" s="8" t="s">
        <v>432</v>
      </c>
      <c r="B381" s="8" t="s">
        <v>18</v>
      </c>
      <c r="C381" s="8" t="s">
        <v>42</v>
      </c>
      <c r="D381" s="8" t="s">
        <v>621</v>
      </c>
      <c r="E381" s="9">
        <v>45202</v>
      </c>
      <c r="F381" s="9">
        <v>45532</v>
      </c>
      <c r="G381" s="10">
        <v>9829087531</v>
      </c>
      <c r="H381" s="8" t="s">
        <v>21</v>
      </c>
    </row>
    <row r="382" spans="1:8" ht="14.25" customHeight="1" x14ac:dyDescent="0.35">
      <c r="A382" s="8" t="s">
        <v>433</v>
      </c>
      <c r="B382" s="8" t="s">
        <v>18</v>
      </c>
      <c r="C382" s="8" t="s">
        <v>48</v>
      </c>
      <c r="D382" s="8" t="s">
        <v>629</v>
      </c>
      <c r="E382" s="9">
        <v>45202</v>
      </c>
      <c r="F382" s="9">
        <v>45387</v>
      </c>
      <c r="G382" s="10">
        <v>1057037862</v>
      </c>
      <c r="H382" s="8" t="s">
        <v>573</v>
      </c>
    </row>
    <row r="383" spans="1:8" ht="14.25" customHeight="1" x14ac:dyDescent="0.35">
      <c r="A383" s="8" t="s">
        <v>434</v>
      </c>
      <c r="B383" s="8" t="s">
        <v>30</v>
      </c>
      <c r="C383" s="8" t="s">
        <v>36</v>
      </c>
      <c r="D383" s="8" t="s">
        <v>639</v>
      </c>
      <c r="E383" s="9">
        <v>45203</v>
      </c>
      <c r="F383" s="9">
        <v>45407</v>
      </c>
      <c r="G383" s="10">
        <v>5469982538</v>
      </c>
      <c r="H383" s="8" t="s">
        <v>44</v>
      </c>
    </row>
    <row r="384" spans="1:8" ht="14.25" customHeight="1" x14ac:dyDescent="0.35">
      <c r="A384" s="8" t="s">
        <v>435</v>
      </c>
      <c r="B384" s="8" t="s">
        <v>30</v>
      </c>
      <c r="C384" s="8" t="s">
        <v>13</v>
      </c>
      <c r="D384" s="8" t="s">
        <v>630</v>
      </c>
      <c r="E384" s="9">
        <v>45204</v>
      </c>
      <c r="F384" s="9">
        <v>45308</v>
      </c>
      <c r="G384" s="10">
        <v>5055515290</v>
      </c>
      <c r="H384" s="8" t="s">
        <v>67</v>
      </c>
    </row>
    <row r="385" spans="1:8" ht="14.25" customHeight="1" x14ac:dyDescent="0.35">
      <c r="A385" s="8" t="s">
        <v>436</v>
      </c>
      <c r="B385" s="8" t="s">
        <v>18</v>
      </c>
      <c r="C385" s="8" t="s">
        <v>48</v>
      </c>
      <c r="D385" s="8" t="s">
        <v>629</v>
      </c>
      <c r="E385" s="9">
        <v>45205</v>
      </c>
      <c r="F385" s="9">
        <v>45463</v>
      </c>
      <c r="G385" s="10">
        <v>2556364237</v>
      </c>
      <c r="H385" s="11"/>
    </row>
    <row r="386" spans="1:8" ht="14.25" customHeight="1" x14ac:dyDescent="0.35">
      <c r="A386" s="8" t="s">
        <v>437</v>
      </c>
      <c r="B386" s="8" t="s">
        <v>30</v>
      </c>
      <c r="C386" s="8" t="s">
        <v>36</v>
      </c>
      <c r="D386" s="8" t="s">
        <v>614</v>
      </c>
      <c r="E386" s="9">
        <v>45205</v>
      </c>
      <c r="F386" s="9">
        <v>45384</v>
      </c>
      <c r="G386" s="10">
        <v>6904869726</v>
      </c>
      <c r="H386" s="8" t="s">
        <v>573</v>
      </c>
    </row>
    <row r="387" spans="1:8" ht="14.25" customHeight="1" x14ac:dyDescent="0.35">
      <c r="A387" s="8" t="s">
        <v>438</v>
      </c>
      <c r="B387" s="8" t="s">
        <v>30</v>
      </c>
      <c r="C387" s="8" t="s">
        <v>39</v>
      </c>
      <c r="D387" s="8" t="s">
        <v>638</v>
      </c>
      <c r="E387" s="9">
        <v>45205</v>
      </c>
      <c r="F387" s="9">
        <v>45503</v>
      </c>
      <c r="G387" s="10">
        <v>3882607118</v>
      </c>
      <c r="H387" s="11"/>
    </row>
    <row r="388" spans="1:8" ht="14.25" customHeight="1" x14ac:dyDescent="0.35">
      <c r="A388" s="8" t="s">
        <v>439</v>
      </c>
      <c r="B388" s="8" t="s">
        <v>12</v>
      </c>
      <c r="C388" s="8" t="s">
        <v>36</v>
      </c>
      <c r="D388" s="8" t="s">
        <v>578</v>
      </c>
      <c r="E388" s="9">
        <v>45205</v>
      </c>
      <c r="F388" s="9">
        <v>45535</v>
      </c>
      <c r="G388" s="10">
        <v>888436167</v>
      </c>
      <c r="H388" s="8" t="s">
        <v>573</v>
      </c>
    </row>
    <row r="389" spans="1:8" ht="14.25" customHeight="1" x14ac:dyDescent="0.35">
      <c r="A389" s="8" t="s">
        <v>440</v>
      </c>
      <c r="B389" s="8" t="s">
        <v>30</v>
      </c>
      <c r="C389" s="8" t="s">
        <v>39</v>
      </c>
      <c r="D389" s="8" t="s">
        <v>590</v>
      </c>
      <c r="E389" s="9">
        <v>45205</v>
      </c>
      <c r="F389" s="9">
        <v>45283</v>
      </c>
      <c r="G389" s="10">
        <v>1354806627</v>
      </c>
      <c r="H389" s="8" t="s">
        <v>44</v>
      </c>
    </row>
    <row r="390" spans="1:8" ht="14.25" customHeight="1" x14ac:dyDescent="0.35">
      <c r="A390" s="8" t="s">
        <v>441</v>
      </c>
      <c r="B390" s="8" t="s">
        <v>12</v>
      </c>
      <c r="C390" s="8" t="s">
        <v>31</v>
      </c>
      <c r="D390" s="8" t="s">
        <v>593</v>
      </c>
      <c r="E390" s="9">
        <v>45206</v>
      </c>
      <c r="F390" s="9">
        <v>45293</v>
      </c>
      <c r="G390" s="10">
        <v>984605716</v>
      </c>
      <c r="H390" s="8" t="s">
        <v>50</v>
      </c>
    </row>
    <row r="391" spans="1:8" ht="14.25" customHeight="1" x14ac:dyDescent="0.35">
      <c r="A391" s="8" t="s">
        <v>442</v>
      </c>
      <c r="B391" s="8" t="s">
        <v>12</v>
      </c>
      <c r="C391" s="8" t="s">
        <v>36</v>
      </c>
      <c r="D391" s="8" t="s">
        <v>578</v>
      </c>
      <c r="E391" s="9">
        <v>45207</v>
      </c>
      <c r="F391" s="9">
        <v>45141</v>
      </c>
      <c r="G391" s="10">
        <v>371601786</v>
      </c>
      <c r="H391" s="8" t="s">
        <v>573</v>
      </c>
    </row>
    <row r="392" spans="1:8" ht="14.25" customHeight="1" x14ac:dyDescent="0.35">
      <c r="A392" s="8" t="s">
        <v>443</v>
      </c>
      <c r="B392" s="8" t="s">
        <v>12</v>
      </c>
      <c r="C392" s="8" t="s">
        <v>24</v>
      </c>
      <c r="D392" s="8" t="s">
        <v>610</v>
      </c>
      <c r="E392" s="9">
        <v>45207</v>
      </c>
      <c r="F392" s="9">
        <v>45396</v>
      </c>
      <c r="G392" s="10">
        <v>516197294</v>
      </c>
      <c r="H392" s="8" t="s">
        <v>21</v>
      </c>
    </row>
    <row r="393" spans="1:8" ht="14.25" customHeight="1" x14ac:dyDescent="0.35">
      <c r="A393" s="8" t="s">
        <v>444</v>
      </c>
      <c r="B393" s="8" t="s">
        <v>12</v>
      </c>
      <c r="C393" s="8" t="s">
        <v>48</v>
      </c>
      <c r="D393" s="8" t="s">
        <v>602</v>
      </c>
      <c r="E393" s="9">
        <v>45207</v>
      </c>
      <c r="F393" s="9">
        <v>45572</v>
      </c>
      <c r="G393" s="10">
        <v>540697362</v>
      </c>
      <c r="H393" s="8" t="s">
        <v>67</v>
      </c>
    </row>
    <row r="394" spans="1:8" ht="14.25" customHeight="1" x14ac:dyDescent="0.35">
      <c r="A394" s="8" t="s">
        <v>445</v>
      </c>
      <c r="B394" s="8" t="s">
        <v>18</v>
      </c>
      <c r="C394" s="8" t="s">
        <v>24</v>
      </c>
      <c r="D394" s="8" t="s">
        <v>618</v>
      </c>
      <c r="E394" s="9">
        <v>45208</v>
      </c>
      <c r="F394" s="9">
        <v>45388</v>
      </c>
      <c r="G394" s="10">
        <v>6374609108</v>
      </c>
      <c r="H394" s="8" t="s">
        <v>21</v>
      </c>
    </row>
    <row r="395" spans="1:8" ht="14.25" customHeight="1" x14ac:dyDescent="0.35">
      <c r="A395" s="8" t="s">
        <v>446</v>
      </c>
      <c r="B395" s="8" t="s">
        <v>30</v>
      </c>
      <c r="C395" s="8" t="s">
        <v>48</v>
      </c>
      <c r="D395" s="8" t="s">
        <v>620</v>
      </c>
      <c r="E395" s="9">
        <v>45208</v>
      </c>
      <c r="F395" s="9">
        <v>45271</v>
      </c>
      <c r="G395" s="10">
        <v>2805083829</v>
      </c>
      <c r="H395" s="8" t="s">
        <v>581</v>
      </c>
    </row>
    <row r="396" spans="1:8" ht="14.25" customHeight="1" x14ac:dyDescent="0.35">
      <c r="A396" s="8" t="s">
        <v>447</v>
      </c>
      <c r="B396" s="8" t="s">
        <v>18</v>
      </c>
      <c r="C396" s="8" t="s">
        <v>13</v>
      </c>
      <c r="D396" s="8" t="s">
        <v>580</v>
      </c>
      <c r="E396" s="9">
        <v>45210</v>
      </c>
      <c r="F396" s="9">
        <v>45557</v>
      </c>
      <c r="G396" s="10">
        <v>7779607484</v>
      </c>
      <c r="H396" s="8" t="s">
        <v>573</v>
      </c>
    </row>
    <row r="397" spans="1:8" ht="14.25" customHeight="1" x14ac:dyDescent="0.35">
      <c r="A397" s="8" t="s">
        <v>448</v>
      </c>
      <c r="B397" s="8" t="s">
        <v>30</v>
      </c>
      <c r="C397" s="8" t="s">
        <v>13</v>
      </c>
      <c r="D397" s="8" t="s">
        <v>630</v>
      </c>
      <c r="E397" s="9">
        <v>45211</v>
      </c>
      <c r="F397" s="9">
        <v>45297</v>
      </c>
      <c r="G397" s="10">
        <v>1204572808</v>
      </c>
      <c r="H397" s="11"/>
    </row>
    <row r="398" spans="1:8" ht="14.25" customHeight="1" x14ac:dyDescent="0.35">
      <c r="A398" s="8" t="s">
        <v>449</v>
      </c>
      <c r="B398" s="8" t="s">
        <v>12</v>
      </c>
      <c r="C398" s="8" t="s">
        <v>24</v>
      </c>
      <c r="D398" s="8" t="s">
        <v>610</v>
      </c>
      <c r="E398" s="9">
        <v>45214</v>
      </c>
      <c r="F398" s="9">
        <v>45488</v>
      </c>
      <c r="G398" s="10">
        <v>909945479</v>
      </c>
      <c r="H398" s="8" t="s">
        <v>44</v>
      </c>
    </row>
    <row r="399" spans="1:8" ht="14.25" customHeight="1" x14ac:dyDescent="0.35">
      <c r="A399" s="8" t="s">
        <v>450</v>
      </c>
      <c r="B399" s="8" t="s">
        <v>18</v>
      </c>
      <c r="C399" s="8" t="s">
        <v>39</v>
      </c>
      <c r="D399" s="8" t="s">
        <v>577</v>
      </c>
      <c r="E399" s="9">
        <v>45214</v>
      </c>
      <c r="F399" s="9">
        <v>45410</v>
      </c>
      <c r="G399" s="10">
        <v>5167811974</v>
      </c>
      <c r="H399" s="11"/>
    </row>
    <row r="400" spans="1:8" ht="14.25" customHeight="1" x14ac:dyDescent="0.35">
      <c r="A400" s="8" t="s">
        <v>451</v>
      </c>
      <c r="B400" s="8" t="s">
        <v>35</v>
      </c>
      <c r="C400" s="8" t="s">
        <v>39</v>
      </c>
      <c r="D400" s="8" t="s">
        <v>145</v>
      </c>
      <c r="E400" s="9">
        <v>45217</v>
      </c>
      <c r="F400" s="9">
        <v>45469</v>
      </c>
      <c r="G400" s="10">
        <v>320968841</v>
      </c>
      <c r="H400" s="8" t="s">
        <v>21</v>
      </c>
    </row>
    <row r="401" spans="1:8" ht="14.25" customHeight="1" x14ac:dyDescent="0.35">
      <c r="A401" s="8" t="s">
        <v>452</v>
      </c>
      <c r="B401" s="8" t="s">
        <v>60</v>
      </c>
      <c r="C401" s="8" t="s">
        <v>39</v>
      </c>
      <c r="D401" s="8" t="s">
        <v>626</v>
      </c>
      <c r="E401" s="9">
        <v>45217</v>
      </c>
      <c r="F401" s="9">
        <v>45524</v>
      </c>
      <c r="G401" s="10">
        <v>2879285863</v>
      </c>
      <c r="H401" s="8" t="s">
        <v>50</v>
      </c>
    </row>
    <row r="402" spans="1:8" ht="14.25" customHeight="1" x14ac:dyDescent="0.35">
      <c r="A402" s="8" t="s">
        <v>453</v>
      </c>
      <c r="B402" s="8" t="s">
        <v>60</v>
      </c>
      <c r="C402" s="8" t="s">
        <v>13</v>
      </c>
      <c r="D402" s="8" t="s">
        <v>582</v>
      </c>
      <c r="E402" s="9">
        <v>45219</v>
      </c>
      <c r="F402" s="9">
        <v>45583</v>
      </c>
      <c r="G402" s="10">
        <v>4595916165</v>
      </c>
      <c r="H402" s="8" t="s">
        <v>33</v>
      </c>
    </row>
    <row r="403" spans="1:8" ht="14.25" customHeight="1" x14ac:dyDescent="0.35">
      <c r="A403" s="8" t="s">
        <v>454</v>
      </c>
      <c r="B403" s="8" t="s">
        <v>30</v>
      </c>
      <c r="C403" s="8" t="s">
        <v>48</v>
      </c>
      <c r="D403" s="8" t="s">
        <v>620</v>
      </c>
      <c r="E403" s="9">
        <v>45220</v>
      </c>
      <c r="F403" s="9">
        <v>45327</v>
      </c>
      <c r="G403" s="10">
        <v>1299848740</v>
      </c>
      <c r="H403" s="8" t="s">
        <v>67</v>
      </c>
    </row>
    <row r="404" spans="1:8" ht="14.25" customHeight="1" x14ac:dyDescent="0.35">
      <c r="A404" s="8" t="s">
        <v>455</v>
      </c>
      <c r="B404" s="8" t="s">
        <v>18</v>
      </c>
      <c r="C404" s="8" t="s">
        <v>48</v>
      </c>
      <c r="D404" s="8" t="s">
        <v>629</v>
      </c>
      <c r="E404" s="9">
        <v>45221</v>
      </c>
      <c r="F404" s="9">
        <v>45307</v>
      </c>
      <c r="G404" s="10">
        <v>3206827076</v>
      </c>
      <c r="H404" s="8" t="s">
        <v>50</v>
      </c>
    </row>
    <row r="405" spans="1:8" ht="14.25" customHeight="1" x14ac:dyDescent="0.35">
      <c r="A405" s="8" t="s">
        <v>456</v>
      </c>
      <c r="B405" s="8" t="s">
        <v>35</v>
      </c>
      <c r="C405" s="8" t="s">
        <v>31</v>
      </c>
      <c r="D405" s="8" t="s">
        <v>91</v>
      </c>
      <c r="E405" s="9">
        <v>45222</v>
      </c>
      <c r="F405" s="9">
        <v>45341</v>
      </c>
      <c r="G405" s="10">
        <v>559804949</v>
      </c>
      <c r="H405" s="8" t="s">
        <v>581</v>
      </c>
    </row>
    <row r="406" spans="1:8" ht="14.25" customHeight="1" x14ac:dyDescent="0.35">
      <c r="A406" s="8" t="s">
        <v>457</v>
      </c>
      <c r="B406" s="8" t="s">
        <v>35</v>
      </c>
      <c r="C406" s="8" t="s">
        <v>19</v>
      </c>
      <c r="D406" s="8" t="s">
        <v>97</v>
      </c>
      <c r="E406" s="9">
        <v>45223</v>
      </c>
      <c r="F406" s="9">
        <v>45586</v>
      </c>
      <c r="G406" s="10">
        <v>582067969</v>
      </c>
      <c r="H406" s="11"/>
    </row>
    <row r="407" spans="1:8" ht="14.25" customHeight="1" x14ac:dyDescent="0.35">
      <c r="A407" s="8" t="s">
        <v>458</v>
      </c>
      <c r="B407" s="8" t="s">
        <v>12</v>
      </c>
      <c r="C407" s="8" t="s">
        <v>13</v>
      </c>
      <c r="D407" s="8" t="s">
        <v>605</v>
      </c>
      <c r="E407" s="9">
        <v>45223</v>
      </c>
      <c r="F407" s="9">
        <v>45484</v>
      </c>
      <c r="G407" s="10">
        <v>685929486</v>
      </c>
      <c r="H407" s="8" t="s">
        <v>21</v>
      </c>
    </row>
    <row r="408" spans="1:8" ht="14.25" customHeight="1" x14ac:dyDescent="0.35">
      <c r="A408" s="8" t="s">
        <v>459</v>
      </c>
      <c r="B408" s="8" t="s">
        <v>18</v>
      </c>
      <c r="C408" s="8" t="s">
        <v>39</v>
      </c>
      <c r="D408" s="8" t="s">
        <v>577</v>
      </c>
      <c r="E408" s="9">
        <v>45225</v>
      </c>
      <c r="F408" s="9">
        <v>45551</v>
      </c>
      <c r="G408" s="10">
        <v>2626084542</v>
      </c>
      <c r="H408" s="8" t="s">
        <v>581</v>
      </c>
    </row>
    <row r="409" spans="1:8" ht="14.25" customHeight="1" x14ac:dyDescent="0.35">
      <c r="A409" s="8" t="s">
        <v>460</v>
      </c>
      <c r="B409" s="8" t="s">
        <v>12</v>
      </c>
      <c r="C409" s="8" t="s">
        <v>24</v>
      </c>
      <c r="D409" s="8" t="s">
        <v>610</v>
      </c>
      <c r="E409" s="9">
        <v>45226</v>
      </c>
      <c r="F409" s="9">
        <v>45403</v>
      </c>
      <c r="G409" s="10">
        <v>893411259</v>
      </c>
      <c r="H409" s="8" t="s">
        <v>21</v>
      </c>
    </row>
    <row r="410" spans="1:8" ht="14.25" customHeight="1" x14ac:dyDescent="0.35">
      <c r="A410" s="8" t="s">
        <v>461</v>
      </c>
      <c r="B410" s="8" t="s">
        <v>35</v>
      </c>
      <c r="C410" s="8" t="s">
        <v>42</v>
      </c>
      <c r="D410" s="8" t="s">
        <v>69</v>
      </c>
      <c r="E410" s="9">
        <v>45226</v>
      </c>
      <c r="F410" s="9">
        <v>45467</v>
      </c>
      <c r="G410" s="10">
        <v>264833844</v>
      </c>
      <c r="H410" s="8" t="s">
        <v>21</v>
      </c>
    </row>
    <row r="411" spans="1:8" ht="14.25" customHeight="1" x14ac:dyDescent="0.35">
      <c r="A411" s="8" t="s">
        <v>462</v>
      </c>
      <c r="B411" s="8" t="s">
        <v>35</v>
      </c>
      <c r="C411" s="8" t="s">
        <v>39</v>
      </c>
      <c r="D411" s="8" t="s">
        <v>145</v>
      </c>
      <c r="E411" s="9">
        <v>45226</v>
      </c>
      <c r="F411" s="9">
        <v>45426</v>
      </c>
      <c r="G411" s="10">
        <v>588269229</v>
      </c>
      <c r="H411" s="8" t="s">
        <v>50</v>
      </c>
    </row>
    <row r="412" spans="1:8" ht="14.25" customHeight="1" x14ac:dyDescent="0.35">
      <c r="A412" s="8" t="s">
        <v>463</v>
      </c>
      <c r="B412" s="8" t="s">
        <v>35</v>
      </c>
      <c r="C412" s="8" t="s">
        <v>31</v>
      </c>
      <c r="D412" s="8" t="s">
        <v>91</v>
      </c>
      <c r="E412" s="9">
        <v>45227</v>
      </c>
      <c r="F412" s="9">
        <v>45478</v>
      </c>
      <c r="G412" s="10">
        <v>691409314</v>
      </c>
      <c r="H412" s="8" t="s">
        <v>33</v>
      </c>
    </row>
    <row r="413" spans="1:8" ht="14.25" customHeight="1" x14ac:dyDescent="0.35">
      <c r="A413" s="8" t="s">
        <v>464</v>
      </c>
      <c r="B413" s="8" t="s">
        <v>12</v>
      </c>
      <c r="C413" s="8" t="s">
        <v>42</v>
      </c>
      <c r="D413" s="8" t="s">
        <v>603</v>
      </c>
      <c r="E413" s="9">
        <v>45228</v>
      </c>
      <c r="F413" s="9">
        <v>45583</v>
      </c>
      <c r="G413" s="10">
        <v>242272002</v>
      </c>
      <c r="H413" s="11"/>
    </row>
    <row r="414" spans="1:8" ht="14.25" customHeight="1" x14ac:dyDescent="0.35">
      <c r="A414" s="8" t="s">
        <v>465</v>
      </c>
      <c r="B414" s="8" t="s">
        <v>30</v>
      </c>
      <c r="C414" s="8" t="s">
        <v>48</v>
      </c>
      <c r="D414" s="8" t="s">
        <v>615</v>
      </c>
      <c r="E414" s="9">
        <v>45228</v>
      </c>
      <c r="F414" s="9">
        <v>45515</v>
      </c>
      <c r="G414" s="10">
        <v>1906777116</v>
      </c>
      <c r="H414" s="8" t="s">
        <v>44</v>
      </c>
    </row>
    <row r="415" spans="1:8" ht="14.25" customHeight="1" x14ac:dyDescent="0.35">
      <c r="A415" s="8" t="s">
        <v>466</v>
      </c>
      <c r="B415" s="8" t="s">
        <v>35</v>
      </c>
      <c r="C415" s="8" t="s">
        <v>24</v>
      </c>
      <c r="D415" s="8" t="s">
        <v>133</v>
      </c>
      <c r="E415" s="9">
        <v>45229</v>
      </c>
      <c r="F415" s="9">
        <v>45334</v>
      </c>
      <c r="G415" s="10">
        <v>325400177</v>
      </c>
      <c r="H415" s="11"/>
    </row>
    <row r="416" spans="1:8" ht="14.25" customHeight="1" x14ac:dyDescent="0.35">
      <c r="A416" s="8" t="s">
        <v>467</v>
      </c>
      <c r="B416" s="8" t="s">
        <v>12</v>
      </c>
      <c r="C416" s="8" t="s">
        <v>42</v>
      </c>
      <c r="D416" s="8" t="s">
        <v>603</v>
      </c>
      <c r="E416" s="9">
        <v>45230</v>
      </c>
      <c r="F416" s="9">
        <v>45529</v>
      </c>
      <c r="G416" s="10">
        <v>131415829</v>
      </c>
      <c r="H416" s="8" t="s">
        <v>50</v>
      </c>
    </row>
    <row r="417" spans="1:8" ht="14.25" customHeight="1" x14ac:dyDescent="0.35">
      <c r="A417" s="8" t="s">
        <v>468</v>
      </c>
      <c r="B417" s="8" t="s">
        <v>35</v>
      </c>
      <c r="C417" s="8" t="s">
        <v>19</v>
      </c>
      <c r="D417" s="8" t="s">
        <v>97</v>
      </c>
      <c r="E417" s="9">
        <v>45230</v>
      </c>
      <c r="F417" s="9">
        <v>45310</v>
      </c>
      <c r="G417" s="10">
        <v>435534089</v>
      </c>
      <c r="H417" s="8" t="s">
        <v>67</v>
      </c>
    </row>
    <row r="418" spans="1:8" ht="14.25" customHeight="1" x14ac:dyDescent="0.35">
      <c r="A418" s="8" t="s">
        <v>469</v>
      </c>
      <c r="B418" s="8" t="s">
        <v>18</v>
      </c>
      <c r="C418" s="8" t="s">
        <v>39</v>
      </c>
      <c r="D418" s="8" t="s">
        <v>577</v>
      </c>
      <c r="E418" s="9">
        <v>45231</v>
      </c>
      <c r="F418" s="9">
        <v>45268</v>
      </c>
      <c r="G418" s="10">
        <v>1107624052</v>
      </c>
      <c r="H418" s="8" t="s">
        <v>44</v>
      </c>
    </row>
    <row r="419" spans="1:8" ht="14.25" customHeight="1" x14ac:dyDescent="0.35">
      <c r="A419" s="8" t="s">
        <v>470</v>
      </c>
      <c r="B419" s="8" t="s">
        <v>30</v>
      </c>
      <c r="C419" s="8" t="s">
        <v>19</v>
      </c>
      <c r="D419" s="8" t="s">
        <v>624</v>
      </c>
      <c r="E419" s="9">
        <v>45231</v>
      </c>
      <c r="F419" s="9">
        <v>45434</v>
      </c>
      <c r="G419" s="10">
        <v>4913634320</v>
      </c>
      <c r="H419" s="11"/>
    </row>
    <row r="420" spans="1:8" ht="14.25" customHeight="1" x14ac:dyDescent="0.35">
      <c r="A420" s="8" t="s">
        <v>471</v>
      </c>
      <c r="B420" s="8" t="s">
        <v>18</v>
      </c>
      <c r="C420" s="8" t="s">
        <v>13</v>
      </c>
      <c r="D420" s="8" t="s">
        <v>580</v>
      </c>
      <c r="E420" s="9">
        <v>45231</v>
      </c>
      <c r="F420" s="9">
        <v>45567</v>
      </c>
      <c r="G420" s="10">
        <v>2100848894</v>
      </c>
      <c r="H420" s="8" t="s">
        <v>573</v>
      </c>
    </row>
    <row r="421" spans="1:8" ht="14.25" customHeight="1" x14ac:dyDescent="0.35">
      <c r="A421" s="8" t="s">
        <v>472</v>
      </c>
      <c r="B421" s="8" t="s">
        <v>12</v>
      </c>
      <c r="C421" s="8" t="s">
        <v>36</v>
      </c>
      <c r="D421" s="8" t="s">
        <v>578</v>
      </c>
      <c r="E421" s="9">
        <v>45234</v>
      </c>
      <c r="F421" s="9">
        <v>45348</v>
      </c>
      <c r="G421" s="10">
        <v>505388172</v>
      </c>
      <c r="H421" s="8" t="s">
        <v>44</v>
      </c>
    </row>
    <row r="422" spans="1:8" ht="14.25" customHeight="1" x14ac:dyDescent="0.35">
      <c r="A422" s="8" t="s">
        <v>473</v>
      </c>
      <c r="B422" s="8" t="s">
        <v>12</v>
      </c>
      <c r="C422" s="8" t="s">
        <v>31</v>
      </c>
      <c r="D422" s="8" t="s">
        <v>593</v>
      </c>
      <c r="E422" s="9">
        <v>45234</v>
      </c>
      <c r="F422" s="9">
        <v>45426</v>
      </c>
      <c r="G422" s="10">
        <v>574563455</v>
      </c>
      <c r="H422" s="8" t="s">
        <v>573</v>
      </c>
    </row>
    <row r="423" spans="1:8" ht="14.25" customHeight="1" x14ac:dyDescent="0.35">
      <c r="A423" s="8" t="s">
        <v>474</v>
      </c>
      <c r="B423" s="8" t="s">
        <v>12</v>
      </c>
      <c r="C423" s="8" t="s">
        <v>24</v>
      </c>
      <c r="D423" s="8" t="s">
        <v>610</v>
      </c>
      <c r="E423" s="9">
        <v>45234</v>
      </c>
      <c r="F423" s="9">
        <v>45264</v>
      </c>
      <c r="G423" s="10">
        <v>445199395</v>
      </c>
      <c r="H423" s="8" t="s">
        <v>44</v>
      </c>
    </row>
    <row r="424" spans="1:8" ht="14.25" customHeight="1" x14ac:dyDescent="0.35">
      <c r="A424" s="8" t="s">
        <v>475</v>
      </c>
      <c r="B424" s="8" t="s">
        <v>12</v>
      </c>
      <c r="C424" s="8" t="s">
        <v>39</v>
      </c>
      <c r="D424" s="8" t="s">
        <v>591</v>
      </c>
      <c r="E424" s="9">
        <v>45235</v>
      </c>
      <c r="F424" s="9">
        <v>45313</v>
      </c>
      <c r="G424" s="10">
        <v>849005913</v>
      </c>
      <c r="H424" s="8" t="s">
        <v>44</v>
      </c>
    </row>
    <row r="425" spans="1:8" ht="14.25" customHeight="1" x14ac:dyDescent="0.35">
      <c r="A425" s="8" t="s">
        <v>476</v>
      </c>
      <c r="B425" s="8" t="s">
        <v>30</v>
      </c>
      <c r="C425" s="8" t="s">
        <v>42</v>
      </c>
      <c r="D425" s="8" t="s">
        <v>632</v>
      </c>
      <c r="E425" s="9">
        <v>45236</v>
      </c>
      <c r="F425" s="9">
        <v>45266</v>
      </c>
      <c r="G425" s="10">
        <v>3098364960</v>
      </c>
      <c r="H425" s="8" t="s">
        <v>581</v>
      </c>
    </row>
    <row r="426" spans="1:8" ht="14.25" customHeight="1" x14ac:dyDescent="0.35">
      <c r="A426" s="8" t="s">
        <v>477</v>
      </c>
      <c r="B426" s="8" t="s">
        <v>60</v>
      </c>
      <c r="C426" s="8" t="s">
        <v>42</v>
      </c>
      <c r="D426" s="8" t="s">
        <v>617</v>
      </c>
      <c r="E426" s="9">
        <v>45237</v>
      </c>
      <c r="F426" s="9">
        <v>45413</v>
      </c>
      <c r="G426" s="10">
        <v>1607071599</v>
      </c>
      <c r="H426" s="8" t="s">
        <v>573</v>
      </c>
    </row>
    <row r="427" spans="1:8" ht="14.25" customHeight="1" x14ac:dyDescent="0.35">
      <c r="A427" s="8" t="s">
        <v>478</v>
      </c>
      <c r="B427" s="8" t="s">
        <v>30</v>
      </c>
      <c r="C427" s="8" t="s">
        <v>36</v>
      </c>
      <c r="D427" s="8" t="s">
        <v>639</v>
      </c>
      <c r="E427" s="9">
        <v>45240</v>
      </c>
      <c r="F427" s="9">
        <v>44995</v>
      </c>
      <c r="G427" s="10">
        <v>2771182474</v>
      </c>
      <c r="H427" s="8" t="s">
        <v>50</v>
      </c>
    </row>
    <row r="428" spans="1:8" ht="14.25" customHeight="1" x14ac:dyDescent="0.35">
      <c r="A428" s="8" t="s">
        <v>479</v>
      </c>
      <c r="B428" s="8" t="s">
        <v>12</v>
      </c>
      <c r="C428" s="8" t="s">
        <v>48</v>
      </c>
      <c r="D428" s="8" t="s">
        <v>602</v>
      </c>
      <c r="E428" s="9">
        <v>45240</v>
      </c>
      <c r="F428" s="9">
        <v>45532</v>
      </c>
      <c r="G428" s="10">
        <v>153884086</v>
      </c>
      <c r="H428" s="8" t="s">
        <v>50</v>
      </c>
    </row>
    <row r="429" spans="1:8" ht="14.25" customHeight="1" x14ac:dyDescent="0.35">
      <c r="A429" s="8" t="s">
        <v>480</v>
      </c>
      <c r="B429" s="8" t="s">
        <v>12</v>
      </c>
      <c r="C429" s="8" t="s">
        <v>24</v>
      </c>
      <c r="D429" s="8" t="s">
        <v>610</v>
      </c>
      <c r="E429" s="9">
        <v>45240</v>
      </c>
      <c r="F429" s="9">
        <v>45434</v>
      </c>
      <c r="G429" s="10">
        <v>545725479</v>
      </c>
      <c r="H429" s="11"/>
    </row>
    <row r="430" spans="1:8" ht="14.25" customHeight="1" x14ac:dyDescent="0.35">
      <c r="A430" s="8" t="s">
        <v>481</v>
      </c>
      <c r="B430" s="8" t="s">
        <v>60</v>
      </c>
      <c r="C430" s="8" t="s">
        <v>39</v>
      </c>
      <c r="D430" s="8" t="s">
        <v>626</v>
      </c>
      <c r="E430" s="9">
        <v>45240</v>
      </c>
      <c r="F430" s="9">
        <v>45074</v>
      </c>
      <c r="G430" s="10">
        <v>4659030076</v>
      </c>
      <c r="H430" s="11"/>
    </row>
    <row r="431" spans="1:8" ht="14.25" customHeight="1" x14ac:dyDescent="0.35">
      <c r="A431" s="8" t="s">
        <v>482</v>
      </c>
      <c r="B431" s="8" t="s">
        <v>30</v>
      </c>
      <c r="C431" s="8" t="s">
        <v>24</v>
      </c>
      <c r="D431" s="8" t="s">
        <v>637</v>
      </c>
      <c r="E431" s="9">
        <v>45240</v>
      </c>
      <c r="F431" s="9">
        <v>45466</v>
      </c>
      <c r="G431" s="10">
        <v>2661560994</v>
      </c>
      <c r="H431" s="11"/>
    </row>
    <row r="432" spans="1:8" ht="14.25" customHeight="1" x14ac:dyDescent="0.35">
      <c r="A432" s="8" t="s">
        <v>483</v>
      </c>
      <c r="B432" s="8" t="s">
        <v>18</v>
      </c>
      <c r="C432" s="8" t="s">
        <v>24</v>
      </c>
      <c r="D432" s="8" t="s">
        <v>618</v>
      </c>
      <c r="E432" s="9">
        <v>45240</v>
      </c>
      <c r="F432" s="9">
        <v>45346</v>
      </c>
      <c r="G432" s="10">
        <v>1652872648</v>
      </c>
      <c r="H432" s="8" t="s">
        <v>50</v>
      </c>
    </row>
    <row r="433" spans="1:8" ht="14.25" customHeight="1" x14ac:dyDescent="0.35">
      <c r="A433" s="8" t="s">
        <v>484</v>
      </c>
      <c r="B433" s="8" t="s">
        <v>30</v>
      </c>
      <c r="C433" s="8" t="s">
        <v>24</v>
      </c>
      <c r="D433" s="8" t="s">
        <v>637</v>
      </c>
      <c r="E433" s="9">
        <v>45241</v>
      </c>
      <c r="F433" s="9">
        <v>45505</v>
      </c>
      <c r="G433" s="10">
        <v>7444707554</v>
      </c>
      <c r="H433" s="8" t="s">
        <v>581</v>
      </c>
    </row>
    <row r="434" spans="1:8" ht="14.25" customHeight="1" x14ac:dyDescent="0.35">
      <c r="A434" s="8" t="s">
        <v>485</v>
      </c>
      <c r="B434" s="8" t="s">
        <v>35</v>
      </c>
      <c r="C434" s="8" t="s">
        <v>48</v>
      </c>
      <c r="D434" s="8" t="s">
        <v>49</v>
      </c>
      <c r="E434" s="9">
        <v>45241</v>
      </c>
      <c r="F434" s="9">
        <v>44946</v>
      </c>
      <c r="G434" s="10">
        <v>308009410</v>
      </c>
      <c r="H434" s="8" t="s">
        <v>21</v>
      </c>
    </row>
    <row r="435" spans="1:8" ht="14.25" customHeight="1" x14ac:dyDescent="0.35">
      <c r="A435" s="8" t="s">
        <v>486</v>
      </c>
      <c r="B435" s="8" t="s">
        <v>30</v>
      </c>
      <c r="C435" s="8" t="s">
        <v>48</v>
      </c>
      <c r="D435" s="8" t="s">
        <v>615</v>
      </c>
      <c r="E435" s="9">
        <v>45242</v>
      </c>
      <c r="F435" s="9">
        <v>45439</v>
      </c>
      <c r="G435" s="10">
        <v>2851933896</v>
      </c>
      <c r="H435" s="8" t="s">
        <v>50</v>
      </c>
    </row>
    <row r="436" spans="1:8" ht="14.25" customHeight="1" x14ac:dyDescent="0.35">
      <c r="A436" s="8" t="s">
        <v>487</v>
      </c>
      <c r="B436" s="8" t="s">
        <v>30</v>
      </c>
      <c r="C436" s="8" t="s">
        <v>42</v>
      </c>
      <c r="D436" s="8" t="s">
        <v>632</v>
      </c>
      <c r="E436" s="9">
        <v>45242</v>
      </c>
      <c r="F436" s="9">
        <v>45098</v>
      </c>
      <c r="G436" s="10">
        <v>5932217911</v>
      </c>
      <c r="H436" s="8" t="s">
        <v>44</v>
      </c>
    </row>
    <row r="437" spans="1:8" ht="14.25" customHeight="1" x14ac:dyDescent="0.35">
      <c r="A437" s="8" t="s">
        <v>488</v>
      </c>
      <c r="B437" s="8" t="s">
        <v>12</v>
      </c>
      <c r="C437" s="8" t="s">
        <v>48</v>
      </c>
      <c r="D437" s="8" t="s">
        <v>602</v>
      </c>
      <c r="E437" s="9">
        <v>45242</v>
      </c>
      <c r="F437" s="9">
        <v>45345</v>
      </c>
      <c r="G437" s="10">
        <v>394459258</v>
      </c>
      <c r="H437" s="8" t="s">
        <v>581</v>
      </c>
    </row>
    <row r="438" spans="1:8" ht="14.25" customHeight="1" x14ac:dyDescent="0.35">
      <c r="A438" s="8" t="s">
        <v>489</v>
      </c>
      <c r="B438" s="8" t="s">
        <v>60</v>
      </c>
      <c r="C438" s="8" t="s">
        <v>39</v>
      </c>
      <c r="D438" s="8" t="s">
        <v>642</v>
      </c>
      <c r="E438" s="9">
        <v>45242</v>
      </c>
      <c r="F438" s="9">
        <v>45305</v>
      </c>
      <c r="G438" s="10">
        <v>3343026784</v>
      </c>
      <c r="H438" s="8" t="s">
        <v>573</v>
      </c>
    </row>
    <row r="439" spans="1:8" ht="14.25" customHeight="1" x14ac:dyDescent="0.35">
      <c r="A439" s="8" t="s">
        <v>490</v>
      </c>
      <c r="B439" s="8" t="s">
        <v>60</v>
      </c>
      <c r="C439" s="8" t="s">
        <v>31</v>
      </c>
      <c r="D439" s="8" t="s">
        <v>599</v>
      </c>
      <c r="E439" s="9">
        <v>45243</v>
      </c>
      <c r="F439" s="9">
        <v>45535</v>
      </c>
      <c r="G439" s="10">
        <v>4651361592</v>
      </c>
      <c r="H439" s="8" t="s">
        <v>33</v>
      </c>
    </row>
    <row r="440" spans="1:8" ht="14.25" customHeight="1" x14ac:dyDescent="0.35">
      <c r="A440" s="8" t="s">
        <v>491</v>
      </c>
      <c r="B440" s="8" t="s">
        <v>35</v>
      </c>
      <c r="C440" s="8" t="s">
        <v>24</v>
      </c>
      <c r="D440" s="8" t="s">
        <v>133</v>
      </c>
      <c r="E440" s="9">
        <v>45245</v>
      </c>
      <c r="F440" s="9">
        <v>45585</v>
      </c>
      <c r="G440" s="10">
        <v>287244799</v>
      </c>
      <c r="H440" s="8" t="s">
        <v>33</v>
      </c>
    </row>
    <row r="441" spans="1:8" ht="14.25" customHeight="1" x14ac:dyDescent="0.35">
      <c r="A441" s="8" t="s">
        <v>492</v>
      </c>
      <c r="B441" s="8" t="s">
        <v>30</v>
      </c>
      <c r="C441" s="8" t="s">
        <v>31</v>
      </c>
      <c r="D441" s="8" t="s">
        <v>585</v>
      </c>
      <c r="E441" s="9">
        <v>45245</v>
      </c>
      <c r="F441" s="9">
        <v>45532</v>
      </c>
      <c r="G441" s="10">
        <v>1941923313</v>
      </c>
      <c r="H441" s="11"/>
    </row>
    <row r="442" spans="1:8" ht="14.25" customHeight="1" x14ac:dyDescent="0.35">
      <c r="A442" s="8" t="s">
        <v>493</v>
      </c>
      <c r="B442" s="8" t="s">
        <v>30</v>
      </c>
      <c r="C442" s="8" t="s">
        <v>48</v>
      </c>
      <c r="D442" s="8" t="s">
        <v>615</v>
      </c>
      <c r="E442" s="9">
        <v>45245</v>
      </c>
      <c r="F442" s="9">
        <v>45333</v>
      </c>
      <c r="G442" s="10">
        <v>1897092669</v>
      </c>
      <c r="H442" s="11"/>
    </row>
    <row r="443" spans="1:8" ht="14.25" customHeight="1" x14ac:dyDescent="0.35">
      <c r="A443" s="8" t="s">
        <v>494</v>
      </c>
      <c r="B443" s="8" t="s">
        <v>60</v>
      </c>
      <c r="C443" s="8" t="s">
        <v>39</v>
      </c>
      <c r="D443" s="8" t="s">
        <v>626</v>
      </c>
      <c r="E443" s="9">
        <v>45245</v>
      </c>
      <c r="F443" s="9">
        <v>45348</v>
      </c>
      <c r="G443" s="10">
        <v>2304818789</v>
      </c>
      <c r="H443" s="11"/>
    </row>
    <row r="444" spans="1:8" ht="14.25" customHeight="1" x14ac:dyDescent="0.35">
      <c r="A444" s="8" t="s">
        <v>495</v>
      </c>
      <c r="B444" s="8" t="s">
        <v>12</v>
      </c>
      <c r="C444" s="8" t="s">
        <v>48</v>
      </c>
      <c r="D444" s="8" t="s">
        <v>602</v>
      </c>
      <c r="E444" s="9">
        <v>45246</v>
      </c>
      <c r="F444" s="9">
        <v>45389</v>
      </c>
      <c r="G444" s="10">
        <v>642644763</v>
      </c>
      <c r="H444" s="8" t="s">
        <v>50</v>
      </c>
    </row>
    <row r="445" spans="1:8" ht="14.25" customHeight="1" x14ac:dyDescent="0.35">
      <c r="A445" s="8" t="s">
        <v>496</v>
      </c>
      <c r="B445" s="8" t="s">
        <v>30</v>
      </c>
      <c r="C445" s="8" t="s">
        <v>19</v>
      </c>
      <c r="D445" s="8" t="s">
        <v>624</v>
      </c>
      <c r="E445" s="9">
        <v>45246</v>
      </c>
      <c r="F445" s="9">
        <v>45343</v>
      </c>
      <c r="G445" s="10">
        <v>5716503787</v>
      </c>
      <c r="H445" s="8" t="s">
        <v>67</v>
      </c>
    </row>
    <row r="446" spans="1:8" ht="14.25" customHeight="1" x14ac:dyDescent="0.35">
      <c r="A446" s="8" t="s">
        <v>497</v>
      </c>
      <c r="B446" s="8" t="s">
        <v>35</v>
      </c>
      <c r="C446" s="8" t="s">
        <v>48</v>
      </c>
      <c r="D446" s="8" t="s">
        <v>49</v>
      </c>
      <c r="E446" s="9">
        <v>45247</v>
      </c>
      <c r="F446" s="9">
        <v>45328</v>
      </c>
      <c r="G446" s="10">
        <v>537845909</v>
      </c>
      <c r="H446" s="8" t="s">
        <v>50</v>
      </c>
    </row>
    <row r="447" spans="1:8" ht="14.25" customHeight="1" x14ac:dyDescent="0.35">
      <c r="A447" s="8" t="s">
        <v>498</v>
      </c>
      <c r="B447" s="8" t="s">
        <v>12</v>
      </c>
      <c r="C447" s="8" t="s">
        <v>24</v>
      </c>
      <c r="D447" s="8" t="s">
        <v>610</v>
      </c>
      <c r="E447" s="9">
        <v>45247</v>
      </c>
      <c r="F447" s="9">
        <v>45499</v>
      </c>
      <c r="G447" s="10">
        <v>800732653</v>
      </c>
      <c r="H447" s="8" t="s">
        <v>33</v>
      </c>
    </row>
    <row r="448" spans="1:8" ht="14.25" customHeight="1" x14ac:dyDescent="0.35">
      <c r="A448" s="8" t="s">
        <v>499</v>
      </c>
      <c r="B448" s="8" t="s">
        <v>30</v>
      </c>
      <c r="C448" s="8" t="s">
        <v>48</v>
      </c>
      <c r="D448" s="8" t="s">
        <v>615</v>
      </c>
      <c r="E448" s="9">
        <v>45248</v>
      </c>
      <c r="F448" s="9">
        <v>45605</v>
      </c>
      <c r="G448" s="10">
        <v>676299944</v>
      </c>
      <c r="H448" s="8" t="s">
        <v>50</v>
      </c>
    </row>
    <row r="449" spans="1:8" ht="14.25" customHeight="1" x14ac:dyDescent="0.35">
      <c r="A449" s="8" t="s">
        <v>500</v>
      </c>
      <c r="B449" s="8" t="s">
        <v>30</v>
      </c>
      <c r="C449" s="8" t="s">
        <v>39</v>
      </c>
      <c r="D449" s="8" t="s">
        <v>590</v>
      </c>
      <c r="E449" s="9">
        <v>45248</v>
      </c>
      <c r="F449" s="9">
        <v>45481</v>
      </c>
      <c r="G449" s="10">
        <v>5621717823</v>
      </c>
      <c r="H449" s="8" t="s">
        <v>573</v>
      </c>
    </row>
    <row r="450" spans="1:8" ht="14.25" customHeight="1" x14ac:dyDescent="0.35">
      <c r="A450" s="8" t="s">
        <v>501</v>
      </c>
      <c r="B450" s="8" t="s">
        <v>18</v>
      </c>
      <c r="C450" s="8" t="s">
        <v>48</v>
      </c>
      <c r="D450" s="8" t="s">
        <v>629</v>
      </c>
      <c r="E450" s="9">
        <v>45248</v>
      </c>
      <c r="F450" s="9">
        <v>45412</v>
      </c>
      <c r="G450" s="10">
        <v>1652704535</v>
      </c>
      <c r="H450" s="8" t="s">
        <v>44</v>
      </c>
    </row>
    <row r="451" spans="1:8" ht="14.25" customHeight="1" x14ac:dyDescent="0.35">
      <c r="A451" s="8" t="s">
        <v>502</v>
      </c>
      <c r="B451" s="8" t="s">
        <v>30</v>
      </c>
      <c r="C451" s="8" t="s">
        <v>13</v>
      </c>
      <c r="D451" s="8" t="s">
        <v>630</v>
      </c>
      <c r="E451" s="9">
        <v>45249</v>
      </c>
      <c r="F451" s="9">
        <v>45590</v>
      </c>
      <c r="G451" s="10">
        <v>2696276120</v>
      </c>
      <c r="H451" s="8" t="s">
        <v>21</v>
      </c>
    </row>
    <row r="452" spans="1:8" ht="14.25" customHeight="1" x14ac:dyDescent="0.35">
      <c r="A452" s="8" t="s">
        <v>503</v>
      </c>
      <c r="B452" s="8" t="s">
        <v>35</v>
      </c>
      <c r="C452" s="8" t="s">
        <v>48</v>
      </c>
      <c r="D452" s="8" t="s">
        <v>49</v>
      </c>
      <c r="E452" s="9">
        <v>45249</v>
      </c>
      <c r="F452" s="9">
        <v>45512</v>
      </c>
      <c r="G452" s="10">
        <v>344399927</v>
      </c>
      <c r="H452" s="8" t="s">
        <v>573</v>
      </c>
    </row>
    <row r="453" spans="1:8" ht="14.25" customHeight="1" x14ac:dyDescent="0.35">
      <c r="A453" s="8" t="s">
        <v>504</v>
      </c>
      <c r="B453" s="8" t="s">
        <v>35</v>
      </c>
      <c r="C453" s="8" t="s">
        <v>24</v>
      </c>
      <c r="D453" s="8" t="s">
        <v>133</v>
      </c>
      <c r="E453" s="9">
        <v>45249</v>
      </c>
      <c r="F453" s="9">
        <v>45478</v>
      </c>
      <c r="G453" s="10">
        <v>624334418</v>
      </c>
      <c r="H453" s="8" t="s">
        <v>50</v>
      </c>
    </row>
    <row r="454" spans="1:8" ht="14.25" customHeight="1" x14ac:dyDescent="0.35">
      <c r="A454" s="8" t="s">
        <v>505</v>
      </c>
      <c r="B454" s="8" t="s">
        <v>30</v>
      </c>
      <c r="C454" s="8" t="s">
        <v>36</v>
      </c>
      <c r="D454" s="8" t="s">
        <v>614</v>
      </c>
      <c r="E454" s="9">
        <v>45252</v>
      </c>
      <c r="F454" s="9">
        <v>45467</v>
      </c>
      <c r="G454" s="10">
        <v>7036506058</v>
      </c>
      <c r="H454" s="8" t="s">
        <v>50</v>
      </c>
    </row>
    <row r="455" spans="1:8" ht="14.25" customHeight="1" x14ac:dyDescent="0.35">
      <c r="A455" s="8" t="s">
        <v>506</v>
      </c>
      <c r="B455" s="8" t="s">
        <v>18</v>
      </c>
      <c r="C455" s="8" t="s">
        <v>48</v>
      </c>
      <c r="D455" s="8" t="s">
        <v>629</v>
      </c>
      <c r="E455" s="9">
        <v>45253</v>
      </c>
      <c r="F455" s="9">
        <v>45512</v>
      </c>
      <c r="G455" s="10">
        <v>4458001292</v>
      </c>
      <c r="H455" s="11"/>
    </row>
    <row r="456" spans="1:8" ht="14.25" customHeight="1" x14ac:dyDescent="0.35">
      <c r="A456" s="8" t="s">
        <v>507</v>
      </c>
      <c r="B456" s="8" t="s">
        <v>30</v>
      </c>
      <c r="C456" s="8" t="s">
        <v>19</v>
      </c>
      <c r="D456" s="8" t="s">
        <v>624</v>
      </c>
      <c r="E456" s="9">
        <v>45254</v>
      </c>
      <c r="F456" s="9">
        <v>45331</v>
      </c>
      <c r="G456" s="10">
        <v>6553637483</v>
      </c>
      <c r="H456" s="11"/>
    </row>
    <row r="457" spans="1:8" ht="14.25" customHeight="1" x14ac:dyDescent="0.35">
      <c r="A457" s="8" t="s">
        <v>508</v>
      </c>
      <c r="B457" s="8" t="s">
        <v>30</v>
      </c>
      <c r="C457" s="8" t="s">
        <v>24</v>
      </c>
      <c r="D457" s="8" t="s">
        <v>637</v>
      </c>
      <c r="E457" s="9">
        <v>45254</v>
      </c>
      <c r="F457" s="9">
        <v>45547</v>
      </c>
      <c r="G457" s="10">
        <v>5694242987</v>
      </c>
      <c r="H457" s="8" t="s">
        <v>581</v>
      </c>
    </row>
    <row r="458" spans="1:8" ht="14.25" customHeight="1" x14ac:dyDescent="0.35">
      <c r="A458" s="8" t="s">
        <v>509</v>
      </c>
      <c r="B458" s="8" t="s">
        <v>30</v>
      </c>
      <c r="C458" s="8" t="s">
        <v>19</v>
      </c>
      <c r="D458" s="8" t="s">
        <v>624</v>
      </c>
      <c r="E458" s="9">
        <v>45255</v>
      </c>
      <c r="F458" s="9">
        <v>45461</v>
      </c>
      <c r="G458" s="10">
        <v>2266697296</v>
      </c>
      <c r="H458" s="11"/>
    </row>
    <row r="459" spans="1:8" ht="14.25" customHeight="1" x14ac:dyDescent="0.35">
      <c r="A459" s="8" t="s">
        <v>510</v>
      </c>
      <c r="B459" s="8" t="s">
        <v>35</v>
      </c>
      <c r="C459" s="8" t="s">
        <v>13</v>
      </c>
      <c r="D459" s="8" t="s">
        <v>78</v>
      </c>
      <c r="E459" s="9">
        <v>45258</v>
      </c>
      <c r="F459" s="9">
        <v>45497</v>
      </c>
      <c r="G459" s="10">
        <v>449824902</v>
      </c>
      <c r="H459" s="8" t="s">
        <v>50</v>
      </c>
    </row>
    <row r="460" spans="1:8" ht="14.25" customHeight="1" x14ac:dyDescent="0.35">
      <c r="A460" s="8" t="s">
        <v>511</v>
      </c>
      <c r="B460" s="8" t="s">
        <v>12</v>
      </c>
      <c r="C460" s="8" t="s">
        <v>36</v>
      </c>
      <c r="D460" s="8" t="s">
        <v>578</v>
      </c>
      <c r="E460" s="9">
        <v>45259</v>
      </c>
      <c r="F460" s="9">
        <v>45579</v>
      </c>
      <c r="G460" s="10">
        <v>687256096</v>
      </c>
      <c r="H460" s="8" t="s">
        <v>21</v>
      </c>
    </row>
    <row r="461" spans="1:8" ht="14.25" customHeight="1" x14ac:dyDescent="0.35">
      <c r="A461" s="8" t="s">
        <v>512</v>
      </c>
      <c r="B461" s="8" t="s">
        <v>12</v>
      </c>
      <c r="C461" s="8" t="s">
        <v>24</v>
      </c>
      <c r="D461" s="8" t="s">
        <v>610</v>
      </c>
      <c r="E461" s="9">
        <v>45259</v>
      </c>
      <c r="F461" s="9">
        <v>45542</v>
      </c>
      <c r="G461" s="10">
        <v>529398283</v>
      </c>
      <c r="H461" s="8" t="s">
        <v>67</v>
      </c>
    </row>
    <row r="462" spans="1:8" ht="14.25" customHeight="1" x14ac:dyDescent="0.35">
      <c r="A462" s="8" t="s">
        <v>513</v>
      </c>
      <c r="B462" s="8" t="s">
        <v>18</v>
      </c>
      <c r="C462" s="8" t="s">
        <v>48</v>
      </c>
      <c r="D462" s="8" t="s">
        <v>629</v>
      </c>
      <c r="E462" s="9">
        <v>45259</v>
      </c>
      <c r="F462" s="9">
        <v>45457</v>
      </c>
      <c r="G462" s="10">
        <v>4710182773</v>
      </c>
      <c r="H462" s="8" t="s">
        <v>581</v>
      </c>
    </row>
    <row r="463" spans="1:8" ht="14.25" customHeight="1" x14ac:dyDescent="0.35">
      <c r="A463" s="8" t="s">
        <v>514</v>
      </c>
      <c r="B463" s="8" t="s">
        <v>12</v>
      </c>
      <c r="C463" s="8" t="s">
        <v>42</v>
      </c>
      <c r="D463" s="8" t="s">
        <v>603</v>
      </c>
      <c r="E463" s="9">
        <v>45260</v>
      </c>
      <c r="F463" s="9">
        <v>45376</v>
      </c>
      <c r="G463" s="10">
        <v>744960204</v>
      </c>
      <c r="H463" s="8" t="s">
        <v>44</v>
      </c>
    </row>
    <row r="464" spans="1:8" ht="14.25" customHeight="1" x14ac:dyDescent="0.35">
      <c r="A464" s="8" t="s">
        <v>515</v>
      </c>
      <c r="B464" s="8" t="s">
        <v>18</v>
      </c>
      <c r="C464" s="8" t="s">
        <v>48</v>
      </c>
      <c r="D464" s="8" t="s">
        <v>629</v>
      </c>
      <c r="E464" s="9">
        <v>45260</v>
      </c>
      <c r="F464" s="9">
        <v>45384</v>
      </c>
      <c r="G464" s="10">
        <v>3580995628</v>
      </c>
      <c r="H464" s="11"/>
    </row>
    <row r="465" spans="1:8" ht="14.25" customHeight="1" x14ac:dyDescent="0.35">
      <c r="A465" s="8" t="s">
        <v>516</v>
      </c>
      <c r="B465" s="8" t="s">
        <v>60</v>
      </c>
      <c r="C465" s="8" t="s">
        <v>39</v>
      </c>
      <c r="D465" s="8" t="s">
        <v>626</v>
      </c>
      <c r="E465" s="9">
        <v>45261</v>
      </c>
      <c r="F465" s="9">
        <v>45492</v>
      </c>
      <c r="G465" s="10">
        <v>3574507730</v>
      </c>
      <c r="H465" s="8" t="s">
        <v>67</v>
      </c>
    </row>
    <row r="466" spans="1:8" ht="14.25" customHeight="1" x14ac:dyDescent="0.35">
      <c r="A466" s="8" t="s">
        <v>517</v>
      </c>
      <c r="B466" s="8" t="s">
        <v>60</v>
      </c>
      <c r="C466" s="8" t="s">
        <v>24</v>
      </c>
      <c r="D466" s="8" t="s">
        <v>575</v>
      </c>
      <c r="E466" s="9">
        <v>45261</v>
      </c>
      <c r="F466" s="9">
        <v>45525</v>
      </c>
      <c r="G466" s="10">
        <v>2640159197</v>
      </c>
      <c r="H466" s="8" t="s">
        <v>50</v>
      </c>
    </row>
    <row r="467" spans="1:8" ht="14.25" customHeight="1" x14ac:dyDescent="0.35">
      <c r="A467" s="8" t="s">
        <v>518</v>
      </c>
      <c r="B467" s="8" t="s">
        <v>30</v>
      </c>
      <c r="C467" s="8" t="s">
        <v>39</v>
      </c>
      <c r="D467" s="8" t="s">
        <v>638</v>
      </c>
      <c r="E467" s="9">
        <v>45262</v>
      </c>
      <c r="F467" s="9">
        <v>45476</v>
      </c>
      <c r="G467" s="10">
        <v>857010798</v>
      </c>
      <c r="H467" s="8" t="s">
        <v>581</v>
      </c>
    </row>
    <row r="468" spans="1:8" ht="14.25" customHeight="1" x14ac:dyDescent="0.35">
      <c r="A468" s="8" t="s">
        <v>519</v>
      </c>
      <c r="B468" s="8" t="s">
        <v>60</v>
      </c>
      <c r="C468" s="8" t="s">
        <v>19</v>
      </c>
      <c r="D468" s="8" t="s">
        <v>616</v>
      </c>
      <c r="E468" s="9">
        <v>45262</v>
      </c>
      <c r="F468" s="9">
        <v>45620</v>
      </c>
      <c r="G468" s="10">
        <v>3902836313</v>
      </c>
      <c r="H468" s="8" t="s">
        <v>581</v>
      </c>
    </row>
    <row r="469" spans="1:8" ht="14.25" customHeight="1" x14ac:dyDescent="0.35">
      <c r="A469" s="8" t="s">
        <v>520</v>
      </c>
      <c r="B469" s="8" t="s">
        <v>12</v>
      </c>
      <c r="C469" s="8" t="s">
        <v>19</v>
      </c>
      <c r="D469" s="8" t="s">
        <v>631</v>
      </c>
      <c r="E469" s="9">
        <v>45263</v>
      </c>
      <c r="F469" s="9">
        <v>45413</v>
      </c>
      <c r="G469" s="10">
        <v>313061138</v>
      </c>
      <c r="H469" s="8" t="s">
        <v>21</v>
      </c>
    </row>
    <row r="470" spans="1:8" ht="14.25" customHeight="1" x14ac:dyDescent="0.35">
      <c r="A470" s="8" t="s">
        <v>521</v>
      </c>
      <c r="B470" s="8" t="s">
        <v>60</v>
      </c>
      <c r="C470" s="8" t="s">
        <v>39</v>
      </c>
      <c r="D470" s="8" t="s">
        <v>626</v>
      </c>
      <c r="E470" s="9">
        <v>45263</v>
      </c>
      <c r="F470" s="9">
        <v>45473</v>
      </c>
      <c r="G470" s="10">
        <v>3704994376</v>
      </c>
      <c r="H470" s="8" t="s">
        <v>50</v>
      </c>
    </row>
    <row r="471" spans="1:8" ht="14.25" customHeight="1" x14ac:dyDescent="0.35">
      <c r="A471" s="8" t="s">
        <v>522</v>
      </c>
      <c r="B471" s="8" t="s">
        <v>30</v>
      </c>
      <c r="C471" s="8" t="s">
        <v>36</v>
      </c>
      <c r="D471" s="8" t="s">
        <v>639</v>
      </c>
      <c r="E471" s="9">
        <v>45263</v>
      </c>
      <c r="F471" s="9">
        <v>45306</v>
      </c>
      <c r="G471" s="10">
        <v>6935528254</v>
      </c>
      <c r="H471" s="8" t="s">
        <v>44</v>
      </c>
    </row>
    <row r="472" spans="1:8" ht="14.25" customHeight="1" x14ac:dyDescent="0.35">
      <c r="A472" s="8" t="s">
        <v>523</v>
      </c>
      <c r="B472" s="8" t="s">
        <v>18</v>
      </c>
      <c r="C472" s="8" t="s">
        <v>19</v>
      </c>
      <c r="D472" s="8" t="s">
        <v>633</v>
      </c>
      <c r="E472" s="9">
        <v>45265</v>
      </c>
      <c r="F472" s="9">
        <v>45562</v>
      </c>
      <c r="G472" s="10">
        <v>1827330534</v>
      </c>
      <c r="H472" s="8" t="s">
        <v>33</v>
      </c>
    </row>
    <row r="473" spans="1:8" ht="14.25" customHeight="1" x14ac:dyDescent="0.35">
      <c r="A473" s="8" t="s">
        <v>524</v>
      </c>
      <c r="B473" s="8" t="s">
        <v>12</v>
      </c>
      <c r="C473" s="8" t="s">
        <v>48</v>
      </c>
      <c r="D473" s="8" t="s">
        <v>602</v>
      </c>
      <c r="E473" s="9">
        <v>45266</v>
      </c>
      <c r="F473" s="9">
        <v>45425</v>
      </c>
      <c r="G473" s="10">
        <v>643095755</v>
      </c>
      <c r="H473" s="8" t="s">
        <v>67</v>
      </c>
    </row>
    <row r="474" spans="1:8" ht="14.25" customHeight="1" x14ac:dyDescent="0.35">
      <c r="A474" s="8" t="s">
        <v>525</v>
      </c>
      <c r="B474" s="8" t="s">
        <v>12</v>
      </c>
      <c r="C474" s="8" t="s">
        <v>19</v>
      </c>
      <c r="D474" s="8" t="s">
        <v>631</v>
      </c>
      <c r="E474" s="9">
        <v>45268</v>
      </c>
      <c r="F474" s="9">
        <v>45476</v>
      </c>
      <c r="G474" s="10">
        <v>195287277</v>
      </c>
      <c r="H474" s="8" t="s">
        <v>67</v>
      </c>
    </row>
    <row r="475" spans="1:8" ht="14.25" customHeight="1" x14ac:dyDescent="0.35">
      <c r="A475" s="8" t="s">
        <v>526</v>
      </c>
      <c r="B475" s="8" t="s">
        <v>18</v>
      </c>
      <c r="C475" s="8" t="s">
        <v>13</v>
      </c>
      <c r="D475" s="8" t="s">
        <v>580</v>
      </c>
      <c r="E475" s="9">
        <v>45268</v>
      </c>
      <c r="F475" s="9">
        <v>45413</v>
      </c>
      <c r="G475" s="10">
        <v>6786324237</v>
      </c>
      <c r="H475" s="8" t="s">
        <v>581</v>
      </c>
    </row>
    <row r="476" spans="1:8" ht="14.25" customHeight="1" x14ac:dyDescent="0.35">
      <c r="A476" s="8" t="s">
        <v>527</v>
      </c>
      <c r="B476" s="8" t="s">
        <v>35</v>
      </c>
      <c r="C476" s="8" t="s">
        <v>36</v>
      </c>
      <c r="D476" s="8" t="s">
        <v>37</v>
      </c>
      <c r="E476" s="9">
        <v>45269</v>
      </c>
      <c r="F476" s="9">
        <v>45594</v>
      </c>
      <c r="G476" s="10">
        <v>499105719</v>
      </c>
      <c r="H476" s="8" t="s">
        <v>44</v>
      </c>
    </row>
    <row r="477" spans="1:8" ht="14.25" customHeight="1" x14ac:dyDescent="0.35">
      <c r="A477" s="8" t="s">
        <v>528</v>
      </c>
      <c r="B477" s="8" t="s">
        <v>35</v>
      </c>
      <c r="C477" s="8" t="s">
        <v>13</v>
      </c>
      <c r="D477" s="8" t="s">
        <v>78</v>
      </c>
      <c r="E477" s="9">
        <v>45271</v>
      </c>
      <c r="F477" s="9">
        <v>45311</v>
      </c>
      <c r="G477" s="10">
        <v>461111964</v>
      </c>
      <c r="H477" s="8" t="s">
        <v>44</v>
      </c>
    </row>
    <row r="478" spans="1:8" ht="14.25" customHeight="1" x14ac:dyDescent="0.35">
      <c r="A478" s="8" t="s">
        <v>529</v>
      </c>
      <c r="B478" s="8" t="s">
        <v>60</v>
      </c>
      <c r="C478" s="8" t="s">
        <v>13</v>
      </c>
      <c r="D478" s="8" t="s">
        <v>619</v>
      </c>
      <c r="E478" s="9">
        <v>45272</v>
      </c>
      <c r="F478" s="9">
        <v>45481</v>
      </c>
      <c r="G478" s="10">
        <v>3310535255</v>
      </c>
      <c r="H478" s="8" t="s">
        <v>573</v>
      </c>
    </row>
    <row r="479" spans="1:8" ht="14.25" customHeight="1" x14ac:dyDescent="0.35">
      <c r="A479" s="8" t="s">
        <v>530</v>
      </c>
      <c r="B479" s="8" t="s">
        <v>18</v>
      </c>
      <c r="C479" s="8" t="s">
        <v>19</v>
      </c>
      <c r="D479" s="8" t="s">
        <v>633</v>
      </c>
      <c r="E479" s="9">
        <v>45272</v>
      </c>
      <c r="F479" s="9">
        <v>45553</v>
      </c>
      <c r="G479" s="10">
        <v>1639451183</v>
      </c>
      <c r="H479" s="8" t="s">
        <v>50</v>
      </c>
    </row>
    <row r="480" spans="1:8" ht="14.25" customHeight="1" x14ac:dyDescent="0.35">
      <c r="A480" s="8" t="s">
        <v>531</v>
      </c>
      <c r="B480" s="8" t="s">
        <v>18</v>
      </c>
      <c r="C480" s="8" t="s">
        <v>19</v>
      </c>
      <c r="D480" s="8" t="s">
        <v>633</v>
      </c>
      <c r="E480" s="9">
        <v>45273</v>
      </c>
      <c r="F480" s="9">
        <v>45590</v>
      </c>
      <c r="G480" s="10">
        <v>2042593058</v>
      </c>
      <c r="H480" s="8" t="s">
        <v>573</v>
      </c>
    </row>
    <row r="481" spans="1:8" ht="14.25" customHeight="1" x14ac:dyDescent="0.35">
      <c r="A481" s="8" t="s">
        <v>532</v>
      </c>
      <c r="B481" s="8" t="s">
        <v>60</v>
      </c>
      <c r="C481" s="8" t="s">
        <v>48</v>
      </c>
      <c r="D481" s="8" t="s">
        <v>625</v>
      </c>
      <c r="E481" s="9">
        <v>45273</v>
      </c>
      <c r="F481" s="9">
        <v>45394</v>
      </c>
      <c r="G481" s="10">
        <v>2438226800</v>
      </c>
      <c r="H481" s="8" t="s">
        <v>50</v>
      </c>
    </row>
    <row r="482" spans="1:8" ht="14.25" customHeight="1" x14ac:dyDescent="0.35">
      <c r="A482" s="8" t="s">
        <v>533</v>
      </c>
      <c r="B482" s="8" t="s">
        <v>35</v>
      </c>
      <c r="C482" s="8" t="s">
        <v>39</v>
      </c>
      <c r="D482" s="8" t="s">
        <v>145</v>
      </c>
      <c r="E482" s="9">
        <v>45273</v>
      </c>
      <c r="F482" s="9">
        <v>45524</v>
      </c>
      <c r="G482" s="10">
        <v>740887892</v>
      </c>
      <c r="H482" s="11"/>
    </row>
    <row r="483" spans="1:8" ht="14.25" customHeight="1" x14ac:dyDescent="0.35">
      <c r="A483" s="8" t="s">
        <v>534</v>
      </c>
      <c r="B483" s="8" t="s">
        <v>60</v>
      </c>
      <c r="C483" s="8" t="s">
        <v>24</v>
      </c>
      <c r="D483" s="8" t="s">
        <v>575</v>
      </c>
      <c r="E483" s="9">
        <v>45278</v>
      </c>
      <c r="F483" s="9">
        <v>45634</v>
      </c>
      <c r="G483" s="10">
        <v>3502390822</v>
      </c>
      <c r="H483" s="11"/>
    </row>
    <row r="484" spans="1:8" ht="14.25" customHeight="1" x14ac:dyDescent="0.35">
      <c r="A484" s="8" t="s">
        <v>535</v>
      </c>
      <c r="B484" s="8" t="s">
        <v>35</v>
      </c>
      <c r="C484" s="8" t="s">
        <v>48</v>
      </c>
      <c r="D484" s="8" t="s">
        <v>49</v>
      </c>
      <c r="E484" s="9">
        <v>45281</v>
      </c>
      <c r="F484" s="9">
        <v>45467</v>
      </c>
      <c r="G484" s="10">
        <v>633299430</v>
      </c>
      <c r="H484" s="8" t="s">
        <v>581</v>
      </c>
    </row>
    <row r="485" spans="1:8" ht="14.25" customHeight="1" x14ac:dyDescent="0.35">
      <c r="A485" s="8" t="s">
        <v>536</v>
      </c>
      <c r="B485" s="8" t="s">
        <v>35</v>
      </c>
      <c r="C485" s="8" t="s">
        <v>24</v>
      </c>
      <c r="D485" s="8" t="s">
        <v>133</v>
      </c>
      <c r="E485" s="9">
        <v>45282</v>
      </c>
      <c r="F485" s="9">
        <v>45595</v>
      </c>
      <c r="G485" s="10">
        <v>518578528</v>
      </c>
      <c r="H485" s="8" t="s">
        <v>581</v>
      </c>
    </row>
    <row r="486" spans="1:8" ht="14.25" customHeight="1" x14ac:dyDescent="0.35">
      <c r="A486" s="8" t="s">
        <v>537</v>
      </c>
      <c r="B486" s="8" t="s">
        <v>60</v>
      </c>
      <c r="C486" s="8" t="s">
        <v>19</v>
      </c>
      <c r="D486" s="8" t="s">
        <v>616</v>
      </c>
      <c r="E486" s="9">
        <v>45283</v>
      </c>
      <c r="F486" s="9">
        <v>45588</v>
      </c>
      <c r="G486" s="10">
        <v>2716743578</v>
      </c>
      <c r="H486" s="8" t="s">
        <v>573</v>
      </c>
    </row>
    <row r="487" spans="1:8" ht="14.25" customHeight="1" x14ac:dyDescent="0.35">
      <c r="A487" s="8" t="s">
        <v>538</v>
      </c>
      <c r="B487" s="8" t="s">
        <v>18</v>
      </c>
      <c r="C487" s="8" t="s">
        <v>36</v>
      </c>
      <c r="D487" s="8" t="s">
        <v>634</v>
      </c>
      <c r="E487" s="9">
        <v>45284</v>
      </c>
      <c r="F487" s="9">
        <v>45579</v>
      </c>
      <c r="G487" s="10">
        <v>3558366170</v>
      </c>
      <c r="H487" s="8" t="s">
        <v>67</v>
      </c>
    </row>
    <row r="488" spans="1:8" ht="14.25" customHeight="1" x14ac:dyDescent="0.35">
      <c r="A488" s="8" t="s">
        <v>539</v>
      </c>
      <c r="B488" s="8" t="s">
        <v>60</v>
      </c>
      <c r="C488" s="8" t="s">
        <v>48</v>
      </c>
      <c r="D488" s="8" t="s">
        <v>625</v>
      </c>
      <c r="E488" s="9">
        <v>45284</v>
      </c>
      <c r="F488" s="9">
        <v>45473</v>
      </c>
      <c r="G488" s="10">
        <v>3504700319</v>
      </c>
      <c r="H488" s="8" t="s">
        <v>21</v>
      </c>
    </row>
    <row r="489" spans="1:8" ht="14.25" customHeight="1" x14ac:dyDescent="0.35">
      <c r="A489" s="8" t="s">
        <v>540</v>
      </c>
      <c r="B489" s="8" t="s">
        <v>18</v>
      </c>
      <c r="C489" s="8" t="s">
        <v>36</v>
      </c>
      <c r="D489" s="8" t="s">
        <v>634</v>
      </c>
      <c r="E489" s="9">
        <v>45284</v>
      </c>
      <c r="F489" s="9">
        <v>45536</v>
      </c>
      <c r="G489" s="10">
        <v>8473123375</v>
      </c>
      <c r="H489" s="8" t="s">
        <v>573</v>
      </c>
    </row>
    <row r="490" spans="1:8" ht="14.25" customHeight="1" x14ac:dyDescent="0.35">
      <c r="A490" s="8" t="s">
        <v>541</v>
      </c>
      <c r="B490" s="8" t="s">
        <v>12</v>
      </c>
      <c r="C490" s="8" t="s">
        <v>48</v>
      </c>
      <c r="D490" s="8" t="s">
        <v>602</v>
      </c>
      <c r="E490" s="9">
        <v>45285</v>
      </c>
      <c r="F490" s="9">
        <v>45318</v>
      </c>
      <c r="G490" s="10">
        <v>407605972</v>
      </c>
      <c r="H490" s="11"/>
    </row>
    <row r="491" spans="1:8" ht="14.25" customHeight="1" x14ac:dyDescent="0.35">
      <c r="A491" s="8" t="s">
        <v>542</v>
      </c>
      <c r="B491" s="8" t="s">
        <v>60</v>
      </c>
      <c r="C491" s="8" t="s">
        <v>19</v>
      </c>
      <c r="D491" s="8" t="s">
        <v>635</v>
      </c>
      <c r="E491" s="9">
        <v>45285</v>
      </c>
      <c r="F491" s="9">
        <v>45567</v>
      </c>
      <c r="G491" s="10">
        <v>3697961455</v>
      </c>
      <c r="H491" s="8" t="s">
        <v>50</v>
      </c>
    </row>
    <row r="492" spans="1:8" ht="14.25" customHeight="1" x14ac:dyDescent="0.35">
      <c r="A492" s="8" t="s">
        <v>543</v>
      </c>
      <c r="B492" s="8" t="s">
        <v>18</v>
      </c>
      <c r="C492" s="8" t="s">
        <v>42</v>
      </c>
      <c r="D492" s="8" t="s">
        <v>621</v>
      </c>
      <c r="E492" s="9">
        <v>45286</v>
      </c>
      <c r="F492" s="9">
        <v>45368</v>
      </c>
      <c r="G492" s="10">
        <v>9185210892</v>
      </c>
      <c r="H492" s="8" t="s">
        <v>581</v>
      </c>
    </row>
    <row r="493" spans="1:8" ht="14.25" customHeight="1" x14ac:dyDescent="0.35">
      <c r="A493" s="8" t="s">
        <v>544</v>
      </c>
      <c r="B493" s="8" t="s">
        <v>35</v>
      </c>
      <c r="C493" s="8" t="s">
        <v>13</v>
      </c>
      <c r="D493" s="8" t="s">
        <v>78</v>
      </c>
      <c r="E493" s="9">
        <v>45286</v>
      </c>
      <c r="F493" s="9">
        <v>45570</v>
      </c>
      <c r="G493" s="10">
        <v>577434070</v>
      </c>
      <c r="H493" s="8" t="s">
        <v>50</v>
      </c>
    </row>
    <row r="494" spans="1:8" ht="14.25" customHeight="1" x14ac:dyDescent="0.35">
      <c r="A494" s="8" t="s">
        <v>545</v>
      </c>
      <c r="B494" s="8" t="s">
        <v>18</v>
      </c>
      <c r="C494" s="8" t="s">
        <v>31</v>
      </c>
      <c r="D494" s="8" t="s">
        <v>636</v>
      </c>
      <c r="E494" s="9">
        <v>45286</v>
      </c>
      <c r="F494" s="9">
        <v>45044</v>
      </c>
      <c r="G494" s="10">
        <v>9221677626</v>
      </c>
      <c r="H494" s="8" t="s">
        <v>581</v>
      </c>
    </row>
    <row r="495" spans="1:8" ht="14.25" customHeight="1" x14ac:dyDescent="0.35">
      <c r="A495" s="8" t="s">
        <v>546</v>
      </c>
      <c r="B495" s="8" t="s">
        <v>60</v>
      </c>
      <c r="C495" s="8" t="s">
        <v>31</v>
      </c>
      <c r="D495" s="8" t="s">
        <v>599</v>
      </c>
      <c r="E495" s="9">
        <v>45287</v>
      </c>
      <c r="F495" s="9">
        <v>45624</v>
      </c>
      <c r="G495" s="10">
        <v>4616485762</v>
      </c>
      <c r="H495" s="8" t="s">
        <v>44</v>
      </c>
    </row>
    <row r="496" spans="1:8" ht="14.25" customHeight="1" x14ac:dyDescent="0.35">
      <c r="A496" s="8" t="s">
        <v>547</v>
      </c>
      <c r="B496" s="8" t="s">
        <v>18</v>
      </c>
      <c r="C496" s="8" t="s">
        <v>24</v>
      </c>
      <c r="D496" s="8" t="s">
        <v>618</v>
      </c>
      <c r="E496" s="9">
        <v>45287</v>
      </c>
      <c r="F496" s="9">
        <v>45343</v>
      </c>
      <c r="G496" s="10">
        <v>4101514487</v>
      </c>
      <c r="H496" s="11"/>
    </row>
    <row r="497" spans="1:8" ht="14.25" customHeight="1" x14ac:dyDescent="0.35">
      <c r="A497" s="8" t="s">
        <v>548</v>
      </c>
      <c r="B497" s="8" t="s">
        <v>35</v>
      </c>
      <c r="C497" s="8" t="s">
        <v>39</v>
      </c>
      <c r="D497" s="8" t="s">
        <v>145</v>
      </c>
      <c r="E497" s="9">
        <v>45289</v>
      </c>
      <c r="F497" s="9">
        <v>45611</v>
      </c>
      <c r="G497" s="10">
        <v>419613481</v>
      </c>
      <c r="H497" s="8" t="s">
        <v>50</v>
      </c>
    </row>
    <row r="498" spans="1:8" ht="14.25" customHeight="1" x14ac:dyDescent="0.35">
      <c r="A498" s="8" t="s">
        <v>549</v>
      </c>
      <c r="B498" s="8" t="s">
        <v>35</v>
      </c>
      <c r="C498" s="8" t="s">
        <v>36</v>
      </c>
      <c r="D498" s="8" t="s">
        <v>37</v>
      </c>
      <c r="E498" s="9">
        <v>45289</v>
      </c>
      <c r="F498" s="9">
        <v>45346</v>
      </c>
      <c r="G498" s="10">
        <v>271658499</v>
      </c>
      <c r="H498" s="8" t="s">
        <v>21</v>
      </c>
    </row>
    <row r="499" spans="1:8" ht="14.25" customHeight="1" x14ac:dyDescent="0.35">
      <c r="A499" s="8" t="s">
        <v>550</v>
      </c>
      <c r="B499" s="8" t="s">
        <v>60</v>
      </c>
      <c r="C499" s="8" t="s">
        <v>19</v>
      </c>
      <c r="D499" s="8" t="s">
        <v>616</v>
      </c>
      <c r="E499" s="9">
        <v>45290</v>
      </c>
      <c r="F499" s="9">
        <v>45461</v>
      </c>
      <c r="G499" s="10">
        <v>3282339654</v>
      </c>
      <c r="H499" s="8" t="s">
        <v>67</v>
      </c>
    </row>
    <row r="500" spans="1:8" ht="14.25" customHeight="1" x14ac:dyDescent="0.35">
      <c r="A500" s="8" t="s">
        <v>551</v>
      </c>
      <c r="B500" s="8" t="s">
        <v>18</v>
      </c>
      <c r="C500" s="8" t="s">
        <v>48</v>
      </c>
      <c r="D500" s="8" t="s">
        <v>629</v>
      </c>
      <c r="E500" s="9">
        <v>45291</v>
      </c>
      <c r="F500" s="9">
        <v>45563</v>
      </c>
      <c r="G500" s="10">
        <v>2974669932</v>
      </c>
      <c r="H500" s="8" t="s">
        <v>67</v>
      </c>
    </row>
    <row r="501" spans="1:8" ht="14.25" customHeight="1" x14ac:dyDescent="0.35">
      <c r="A501" s="8" t="s">
        <v>643</v>
      </c>
      <c r="B501" s="8" t="s">
        <v>12</v>
      </c>
      <c r="C501" s="8" t="s">
        <v>39</v>
      </c>
      <c r="D501" s="8" t="s">
        <v>644</v>
      </c>
      <c r="E501" s="9">
        <v>45292</v>
      </c>
      <c r="F501" s="9">
        <v>45292</v>
      </c>
      <c r="G501" s="10">
        <v>105133426</v>
      </c>
      <c r="H501" s="8" t="s">
        <v>645</v>
      </c>
    </row>
    <row r="502" spans="1:8" ht="14.25" customHeight="1" x14ac:dyDescent="0.35"/>
    <row r="503" spans="1:8" ht="14.25" customHeight="1" x14ac:dyDescent="0.35"/>
    <row r="504" spans="1:8" ht="14.25" customHeight="1" x14ac:dyDescent="0.35"/>
    <row r="505" spans="1:8" ht="14.25" customHeight="1" x14ac:dyDescent="0.35"/>
    <row r="506" spans="1:8" ht="14.25" customHeight="1" x14ac:dyDescent="0.35"/>
    <row r="507" spans="1:8" ht="14.25" customHeight="1" x14ac:dyDescent="0.35"/>
    <row r="508" spans="1:8" ht="14.25" customHeight="1" x14ac:dyDescent="0.35"/>
    <row r="509" spans="1:8" ht="14.25" customHeight="1" x14ac:dyDescent="0.35"/>
    <row r="510" spans="1:8" ht="14.25" customHeight="1" x14ac:dyDescent="0.35"/>
    <row r="511" spans="1:8" ht="14.25" customHeight="1" x14ac:dyDescent="0.35"/>
    <row r="512" spans="1:8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ACD5-6F99-4417-AF14-353C85ACA670}">
  <dimension ref="A1:X1000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ColWidth="14.453125" defaultRowHeight="15" customHeight="1" x14ac:dyDescent="0.35"/>
  <cols>
    <col min="1" max="1" width="13.453125" customWidth="1"/>
    <col min="2" max="2" width="15.26953125" customWidth="1"/>
    <col min="3" max="3" width="11.36328125" customWidth="1"/>
    <col min="4" max="4" width="35.54296875" customWidth="1"/>
    <col min="5" max="5" width="16.54296875" customWidth="1"/>
    <col min="6" max="6" width="17.54296875" customWidth="1"/>
    <col min="7" max="7" width="16.54296875" customWidth="1"/>
    <col min="8" max="8" width="30.08984375" customWidth="1"/>
    <col min="9" max="9" width="17.08984375" customWidth="1"/>
    <col min="10" max="10" width="19.54296875" customWidth="1"/>
    <col min="11" max="11" width="13.7265625" customWidth="1"/>
    <col min="12" max="12" width="20.453125" customWidth="1"/>
    <col min="13" max="13" width="20.81640625" customWidth="1"/>
    <col min="14" max="14" width="21.81640625" customWidth="1"/>
    <col min="15" max="15" width="16.54296875" customWidth="1"/>
    <col min="16" max="16" width="17.7265625" customWidth="1"/>
    <col min="17" max="17" width="20.54296875" customWidth="1"/>
    <col min="18" max="18" width="18.08984375" customWidth="1"/>
    <col min="19" max="19" width="17.453125" customWidth="1"/>
    <col min="20" max="22" width="20.7265625" customWidth="1"/>
    <col min="23" max="23" width="21.7265625" customWidth="1"/>
    <col min="24" max="24" width="16.453125" customWidth="1"/>
  </cols>
  <sheetData>
    <row r="1" spans="1:2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J1" s="15" t="s">
        <v>652</v>
      </c>
      <c r="K1" s="15" t="s">
        <v>653</v>
      </c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8" t="s">
        <v>11</v>
      </c>
      <c r="B2" s="8" t="str">
        <f>TRIM('Raw Dataset'!B2)</f>
        <v>Drainase</v>
      </c>
      <c r="C2" s="8" t="str">
        <f>TRIM('Raw Dataset'!C2)</f>
        <v>Bandung</v>
      </c>
      <c r="D2" s="8" t="str">
        <f>TRIM('Raw Dataset'!D2)</f>
        <v>Perbaikan Drainase Bandung</v>
      </c>
      <c r="E2" s="14">
        <v>44927</v>
      </c>
      <c r="F2" s="14">
        <v>44994</v>
      </c>
      <c r="G2" s="10">
        <v>649208256</v>
      </c>
      <c r="H2" s="8" t="str">
        <f>TRIM('Raw Dataset'!H2)</f>
        <v>PT. Lailasari Hariyah (Persero) Tbk</v>
      </c>
      <c r="J2" t="str" cm="1">
        <f t="array" ref="J2:J500">IF(Table2[Tanggal_Selesai] &lt; Table2[Tanggal_Mulai],"ERROR","OK")</f>
        <v>OK</v>
      </c>
      <c r="K2" t="str" cm="1">
        <f t="array" ref="K2:K500">IF(Table2[Anggaran] &lt;= 0, "ERROR", "OK")</f>
        <v>OK</v>
      </c>
    </row>
    <row r="3" spans="1:24" ht="14.25" customHeight="1" x14ac:dyDescent="0.35">
      <c r="A3" s="8" t="s">
        <v>574</v>
      </c>
      <c r="B3" s="8" t="str">
        <f>TRIM('Raw Dataset'!B3)</f>
        <v>Drainase</v>
      </c>
      <c r="C3" s="8" t="str">
        <f>TRIM('Raw Dataset'!C3)</f>
        <v>Surabaya</v>
      </c>
      <c r="D3" s="8" t="str">
        <f>TRIM('Raw Dataset'!D3)</f>
        <v>Perbaikan Drainase Surabaya</v>
      </c>
      <c r="E3" s="14">
        <v>45319</v>
      </c>
      <c r="F3" s="14">
        <v>45323</v>
      </c>
      <c r="G3" s="10">
        <v>326999652</v>
      </c>
      <c r="H3" s="8" t="str">
        <f>TRIM('Raw Dataset'!H3)</f>
        <v>CV Sihombing</v>
      </c>
      <c r="J3" t="str">
        <v>OK</v>
      </c>
      <c r="K3" t="str">
        <v>OK</v>
      </c>
    </row>
    <row r="4" spans="1:24" ht="14.25" customHeight="1" x14ac:dyDescent="0.35">
      <c r="A4" s="8" t="s">
        <v>17</v>
      </c>
      <c r="B4" s="8" t="str">
        <f>TRIM('Raw Dataset'!B4)</f>
        <v>Flyover</v>
      </c>
      <c r="C4" s="8" t="str">
        <f>TRIM('Raw Dataset'!C4)</f>
        <v>Depok</v>
      </c>
      <c r="D4" s="8" t="str">
        <f>TRIM('Raw Dataset'!D4)</f>
        <v>Pembuatan Flyover Depok</v>
      </c>
      <c r="E4" s="14">
        <v>44927</v>
      </c>
      <c r="F4" s="14">
        <v>45062</v>
      </c>
      <c r="G4" s="10">
        <v>3474309188</v>
      </c>
      <c r="H4" s="8" t="str">
        <f>TRIM('Raw Dataset'!H4)</f>
        <v>CV Sihombing</v>
      </c>
      <c r="J4" t="str">
        <v>OK</v>
      </c>
      <c r="K4" t="str">
        <v>OK</v>
      </c>
    </row>
    <row r="5" spans="1:24" ht="14.25" customHeight="1" x14ac:dyDescent="0.35">
      <c r="A5" s="8" t="s">
        <v>576</v>
      </c>
      <c r="B5" s="8" t="str">
        <f>TRIM('Raw Dataset'!B5)</f>
        <v>Gedung</v>
      </c>
      <c r="C5" s="8" t="str">
        <f>TRIM('Raw Dataset'!C5)</f>
        <v>Jakarta</v>
      </c>
      <c r="D5" s="8" t="str">
        <f>TRIM('Raw Dataset'!D5)</f>
        <v>Perbaikan Gedung Pemerintah Jakarta</v>
      </c>
      <c r="E5" s="14">
        <v>45320</v>
      </c>
      <c r="F5" s="14">
        <v>45336</v>
      </c>
      <c r="G5" s="10">
        <v>8587951510</v>
      </c>
      <c r="H5" s="8" t="str">
        <f>TRIM('Raw Dataset'!H5)</f>
        <v>CV Sihombing</v>
      </c>
      <c r="J5" t="str">
        <v>OK</v>
      </c>
      <c r="K5" t="str">
        <v>OK</v>
      </c>
    </row>
    <row r="6" spans="1:24" ht="14.25" customHeight="1" x14ac:dyDescent="0.35">
      <c r="A6" s="8" t="s">
        <v>23</v>
      </c>
      <c r="B6" s="8" t="str">
        <f>TRIM('Raw Dataset'!B6)</f>
        <v>Jalan Raya</v>
      </c>
      <c r="C6" s="8" t="str">
        <f>TRIM('Raw Dataset'!C6)</f>
        <v>Bandung</v>
      </c>
      <c r="D6" s="8" t="str">
        <f>TRIM('Raw Dataset'!D6)</f>
        <v>Perbaikan Jalan Raya Bandung</v>
      </c>
      <c r="E6" s="14">
        <v>44928</v>
      </c>
      <c r="F6" s="14">
        <v>45239</v>
      </c>
      <c r="G6" s="10">
        <v>191505827</v>
      </c>
      <c r="H6" s="8" t="str">
        <f>TRIM('Raw Dataset'!H6)</f>
        <v/>
      </c>
      <c r="J6" t="str">
        <v>OK</v>
      </c>
      <c r="K6" t="str">
        <v>OK</v>
      </c>
    </row>
    <row r="7" spans="1:24" ht="14.25" customHeight="1" x14ac:dyDescent="0.35">
      <c r="A7" s="8" t="s">
        <v>579</v>
      </c>
      <c r="B7" s="8" t="str">
        <f>TRIM('Raw Dataset'!B7)</f>
        <v>Gedung</v>
      </c>
      <c r="C7" s="8" t="str">
        <f>TRIM('Raw Dataset'!C7)</f>
        <v>Tomohon</v>
      </c>
      <c r="D7" s="8" t="str">
        <f>TRIM('Raw Dataset'!D7)</f>
        <v>Perbaikan Gedung Pemerintah Tomohon</v>
      </c>
      <c r="E7" s="14">
        <v>45323</v>
      </c>
      <c r="F7" s="14">
        <v>45343</v>
      </c>
      <c r="G7" s="10">
        <v>8016851785</v>
      </c>
      <c r="H7" s="8" t="str">
        <f>TRIM('Raw Dataset'!H7)</f>
        <v>PT. Yuniar Hakim Tbk</v>
      </c>
      <c r="J7" t="str">
        <v>OK</v>
      </c>
      <c r="K7" t="str">
        <v>OK</v>
      </c>
    </row>
    <row r="8" spans="1:24" ht="14.25" customHeight="1" x14ac:dyDescent="0.35">
      <c r="A8" s="8" t="s">
        <v>27</v>
      </c>
      <c r="B8" s="8" t="str">
        <f>TRIM('Raw Dataset'!B8)</f>
        <v>Flyover</v>
      </c>
      <c r="C8" s="8" t="str">
        <f>TRIM('Raw Dataset'!C8)</f>
        <v>Tomohon</v>
      </c>
      <c r="D8" s="8" t="str">
        <f>TRIM('Raw Dataset'!D8)</f>
        <v>Pembuatan Flyover Tomohon</v>
      </c>
      <c r="E8" s="14">
        <v>44928</v>
      </c>
      <c r="F8" s="14">
        <v>45006</v>
      </c>
      <c r="G8" s="10">
        <v>3979021821</v>
      </c>
      <c r="H8" s="8" t="str">
        <f>TRIM('Raw Dataset'!H8)</f>
        <v>PT D</v>
      </c>
      <c r="J8" t="str">
        <v>OK</v>
      </c>
      <c r="K8" t="str">
        <v>OK</v>
      </c>
    </row>
    <row r="9" spans="1:24" ht="14.25" customHeight="1" x14ac:dyDescent="0.35">
      <c r="A9" s="8" t="s">
        <v>583</v>
      </c>
      <c r="B9" s="8" t="str">
        <f>TRIM('Raw Dataset'!B9)</f>
        <v>Gedung</v>
      </c>
      <c r="C9" s="8" t="str">
        <f>TRIM('Raw Dataset'!C9)</f>
        <v>Jakarta</v>
      </c>
      <c r="D9" s="8" t="str">
        <f>TRIM('Raw Dataset'!D9)</f>
        <v>Perbaikan Gedung Pemerintah Jakarta</v>
      </c>
      <c r="E9" s="14">
        <v>45325</v>
      </c>
      <c r="F9" s="14">
        <v>45342</v>
      </c>
      <c r="G9" s="10">
        <v>2153093275</v>
      </c>
      <c r="H9" s="8" t="str">
        <f>TRIM('Raw Dataset'!H9)</f>
        <v>PT. Yuniar Hakim Tbk</v>
      </c>
      <c r="J9" t="str">
        <v>OK</v>
      </c>
      <c r="K9" t="str">
        <v>OK</v>
      </c>
    </row>
    <row r="10" spans="1:24" ht="14.25" customHeight="1" x14ac:dyDescent="0.35">
      <c r="A10" s="8" t="s">
        <v>29</v>
      </c>
      <c r="B10" s="8" t="str">
        <f>TRIM('Raw Dataset'!B10)</f>
        <v>Drainase</v>
      </c>
      <c r="C10" s="8" t="str">
        <f>TRIM('Raw Dataset'!C10)</f>
        <v>Jakarta</v>
      </c>
      <c r="D10" s="8" t="str">
        <f>TRIM('Raw Dataset'!D10)</f>
        <v>Perbaikan Drainase Jakarta</v>
      </c>
      <c r="E10" s="14">
        <v>44928</v>
      </c>
      <c r="F10" s="14">
        <v>45271</v>
      </c>
      <c r="G10" s="10">
        <v>683556997</v>
      </c>
      <c r="H10" s="8" t="str">
        <f>TRIM('Raw Dataset'!H10)</f>
        <v>PT A</v>
      </c>
      <c r="J10" t="str">
        <v>OK</v>
      </c>
      <c r="K10" t="str">
        <v>OK</v>
      </c>
    </row>
    <row r="11" spans="1:24" ht="14.25" customHeight="1" x14ac:dyDescent="0.35">
      <c r="A11" s="8" t="s">
        <v>584</v>
      </c>
      <c r="B11" s="8" t="str">
        <f>TRIM('Raw Dataset'!B11)</f>
        <v>Jembatan</v>
      </c>
      <c r="C11" s="8" t="str">
        <f>TRIM('Raw Dataset'!C11)</f>
        <v>Bau-Bau</v>
      </c>
      <c r="D11" s="8" t="str">
        <f>TRIM('Raw Dataset'!D11)</f>
        <v>Perbaikan Jembatan Bau-Bau</v>
      </c>
      <c r="E11" s="14">
        <v>45327</v>
      </c>
      <c r="F11" s="14">
        <v>45353</v>
      </c>
      <c r="G11" s="10">
        <v>4636324090</v>
      </c>
      <c r="H11" s="8" t="str">
        <f>TRIM('Raw Dataset'!H11)</f>
        <v>PT. Lailasari Hariyah (Persero) Tbk</v>
      </c>
      <c r="J11" t="str">
        <v>OK</v>
      </c>
      <c r="K11" t="str">
        <v>OK</v>
      </c>
    </row>
    <row r="12" spans="1:24" ht="14.25" customHeight="1" x14ac:dyDescent="0.35">
      <c r="A12" s="8" t="s">
        <v>34</v>
      </c>
      <c r="B12" s="8" t="str">
        <f>TRIM('Raw Dataset'!B12)</f>
        <v>Drainase</v>
      </c>
      <c r="C12" s="8" t="str">
        <f>TRIM('Raw Dataset'!C12)</f>
        <v>Tomohon</v>
      </c>
      <c r="D12" s="8" t="str">
        <f>TRIM('Raw Dataset'!D12)</f>
        <v>Perbaikan Drainase Tomohon</v>
      </c>
      <c r="E12" s="14">
        <v>44929</v>
      </c>
      <c r="F12" s="14">
        <v>45230</v>
      </c>
      <c r="G12" s="10">
        <v>663835414</v>
      </c>
      <c r="H12" s="8" t="str">
        <f>TRIM('Raw Dataset'!H12)</f>
        <v>PT B</v>
      </c>
      <c r="J12" t="str">
        <v>OK</v>
      </c>
      <c r="K12" t="str">
        <v>OK</v>
      </c>
    </row>
    <row r="13" spans="1:24" ht="14.25" customHeight="1" x14ac:dyDescent="0.35">
      <c r="A13" s="8" t="s">
        <v>586</v>
      </c>
      <c r="B13" s="8" t="str">
        <f>TRIM('Raw Dataset'!B13)</f>
        <v>Drainase</v>
      </c>
      <c r="C13" s="8" t="str">
        <f>TRIM('Raw Dataset'!C13)</f>
        <v>Bandung</v>
      </c>
      <c r="D13" s="8" t="str">
        <f>TRIM('Raw Dataset'!D13)</f>
        <v>Perbaikan Drainase Bandung</v>
      </c>
      <c r="E13" s="14">
        <v>45329</v>
      </c>
      <c r="F13" s="14">
        <v>45360</v>
      </c>
      <c r="G13" s="10">
        <v>698540517</v>
      </c>
      <c r="H13" s="8" t="str">
        <f>TRIM('Raw Dataset'!H13)</f>
        <v>PT A</v>
      </c>
      <c r="J13" t="str">
        <v>OK</v>
      </c>
      <c r="K13" t="str">
        <v>OK</v>
      </c>
    </row>
    <row r="14" spans="1:24" ht="14.25" customHeight="1" x14ac:dyDescent="0.35">
      <c r="A14" s="8" t="s">
        <v>38</v>
      </c>
      <c r="B14" s="8" t="str">
        <f>TRIM('Raw Dataset'!B14)</f>
        <v>Flyover</v>
      </c>
      <c r="C14" s="8" t="str">
        <f>TRIM('Raw Dataset'!C14)</f>
        <v>Medan</v>
      </c>
      <c r="D14" s="8" t="str">
        <f>TRIM('Raw Dataset'!D14)</f>
        <v>Pembuatan Flyover Medan</v>
      </c>
      <c r="E14" s="14">
        <v>44929</v>
      </c>
      <c r="F14" s="14">
        <v>45261</v>
      </c>
      <c r="G14" s="10">
        <v>2423693734</v>
      </c>
      <c r="H14" s="8" t="str">
        <f>TRIM('Raw Dataset'!H14)</f>
        <v>PT D</v>
      </c>
      <c r="J14" t="str">
        <v>OK</v>
      </c>
      <c r="K14" t="str">
        <v>OK</v>
      </c>
    </row>
    <row r="15" spans="1:24" ht="14.25" customHeight="1" x14ac:dyDescent="0.35">
      <c r="A15" s="8" t="s">
        <v>588</v>
      </c>
      <c r="B15" s="8" t="str">
        <f>TRIM('Raw Dataset'!B15)</f>
        <v>Drainase</v>
      </c>
      <c r="C15" s="8" t="str">
        <f>TRIM('Raw Dataset'!C15)</f>
        <v>Depok</v>
      </c>
      <c r="D15" s="8" t="str">
        <f>TRIM('Raw Dataset'!D15)</f>
        <v>Perbaikan Drainase Depok</v>
      </c>
      <c r="E15" s="14">
        <v>45330</v>
      </c>
      <c r="F15" s="14">
        <v>45337</v>
      </c>
      <c r="G15" s="10">
        <v>313131839</v>
      </c>
      <c r="H15" s="8" t="str">
        <f>TRIM('Raw Dataset'!H15)</f>
        <v>PT D</v>
      </c>
      <c r="J15" t="str">
        <v>OK</v>
      </c>
      <c r="K15" t="str">
        <v>OK</v>
      </c>
    </row>
    <row r="16" spans="1:24" ht="14.25" customHeight="1" x14ac:dyDescent="0.35">
      <c r="A16" s="8" t="s">
        <v>41</v>
      </c>
      <c r="B16" s="8" t="str">
        <f>TRIM('Raw Dataset'!B16)</f>
        <v>Jalan Raya</v>
      </c>
      <c r="C16" s="8" t="str">
        <f>TRIM('Raw Dataset'!C16)</f>
        <v>Bandung</v>
      </c>
      <c r="D16" s="8" t="str">
        <f>TRIM('Raw Dataset'!D16)</f>
        <v>Perbaikan Jalan Raya Bandung</v>
      </c>
      <c r="E16" s="14">
        <v>44929</v>
      </c>
      <c r="F16" s="14">
        <v>45041</v>
      </c>
      <c r="G16" s="10">
        <v>281077623</v>
      </c>
      <c r="H16" s="8" t="str">
        <f>TRIM('Raw Dataset'!H16)</f>
        <v>PT. Yuniar Hakim Tbk</v>
      </c>
      <c r="J16" t="str">
        <v>OK</v>
      </c>
      <c r="K16" t="str">
        <v>OK</v>
      </c>
    </row>
    <row r="17" spans="1:11" ht="14.25" customHeight="1" x14ac:dyDescent="0.35">
      <c r="A17" s="8" t="s">
        <v>589</v>
      </c>
      <c r="B17" s="8" t="str">
        <f>TRIM('Raw Dataset'!B17)</f>
        <v>Jembatan</v>
      </c>
      <c r="C17" s="8" t="str">
        <f>TRIM('Raw Dataset'!C17)</f>
        <v>Jakarta</v>
      </c>
      <c r="D17" s="8" t="str">
        <f>TRIM('Raw Dataset'!D17)</f>
        <v>Pembuatan Jembatan Jakarta</v>
      </c>
      <c r="E17" s="14">
        <v>45330</v>
      </c>
      <c r="F17" s="14">
        <v>45386</v>
      </c>
      <c r="G17" s="10">
        <v>921085536</v>
      </c>
      <c r="H17" s="8" t="str">
        <f>TRIM('Raw Dataset'!H17)</f>
        <v>PT B</v>
      </c>
      <c r="J17" t="str">
        <v>OK</v>
      </c>
      <c r="K17" t="str">
        <v>OK</v>
      </c>
    </row>
    <row r="18" spans="1:11" ht="14.25" customHeight="1" x14ac:dyDescent="0.35">
      <c r="A18" s="8" t="s">
        <v>45</v>
      </c>
      <c r="B18" s="8" t="str">
        <f>TRIM('Raw Dataset'!B18)</f>
        <v>Jalan Raya</v>
      </c>
      <c r="C18" s="8" t="str">
        <f>TRIM('Raw Dataset'!C18)</f>
        <v>Jakarta</v>
      </c>
      <c r="D18" s="8" t="str">
        <f>TRIM('Raw Dataset'!D18)</f>
        <v>Perbaikan Jalan Raya Jakarta</v>
      </c>
      <c r="E18" s="14">
        <v>44930</v>
      </c>
      <c r="F18" s="14">
        <v>45182</v>
      </c>
      <c r="G18" s="10">
        <v>241214887</v>
      </c>
      <c r="H18" s="8" t="str">
        <f>TRIM('Raw Dataset'!H18)</f>
        <v>PT B</v>
      </c>
      <c r="J18" t="str">
        <v>OK</v>
      </c>
      <c r="K18" t="str">
        <v>OK</v>
      </c>
    </row>
    <row r="19" spans="1:11" ht="14.25" customHeight="1" x14ac:dyDescent="0.35">
      <c r="A19" s="8" t="s">
        <v>592</v>
      </c>
      <c r="B19" s="8" t="str">
        <f>TRIM('Raw Dataset'!B19)</f>
        <v>Drainase</v>
      </c>
      <c r="C19" s="8" t="str">
        <f>TRIM('Raw Dataset'!C19)</f>
        <v>Bandung</v>
      </c>
      <c r="D19" s="8" t="str">
        <f>TRIM('Raw Dataset'!D19)</f>
        <v>Perbaikan Drainase Bandung</v>
      </c>
      <c r="E19" s="14">
        <v>45334</v>
      </c>
      <c r="F19" s="14">
        <v>45351</v>
      </c>
      <c r="G19" s="10">
        <v>425861681</v>
      </c>
      <c r="H19" s="8" t="str">
        <f>TRIM('Raw Dataset'!H19)</f>
        <v>PT D</v>
      </c>
      <c r="J19" t="str">
        <v>OK</v>
      </c>
      <c r="K19" t="str">
        <v>OK</v>
      </c>
    </row>
    <row r="20" spans="1:11" ht="14.25" customHeight="1" x14ac:dyDescent="0.35">
      <c r="A20" s="8" t="s">
        <v>47</v>
      </c>
      <c r="B20" s="8" t="str">
        <f>TRIM('Raw Dataset'!B20)</f>
        <v>Jalan Raya</v>
      </c>
      <c r="C20" s="8" t="str">
        <f>TRIM('Raw Dataset'!C20)</f>
        <v>Bau-Bau</v>
      </c>
      <c r="D20" s="8" t="str">
        <f>TRIM('Raw Dataset'!D20)</f>
        <v>Perbaikan Jalan Raya Bau-Bau</v>
      </c>
      <c r="E20" s="14">
        <v>44930</v>
      </c>
      <c r="F20" s="14">
        <v>45244</v>
      </c>
      <c r="G20" s="10">
        <v>749126801</v>
      </c>
      <c r="H20" s="8" t="str">
        <f>TRIM('Raw Dataset'!H20)</f>
        <v>PT. Lailasari Hariyah (Persero) Tbk</v>
      </c>
      <c r="J20" t="str">
        <v>OK</v>
      </c>
      <c r="K20" t="str">
        <v>OK</v>
      </c>
    </row>
    <row r="21" spans="1:11" ht="14.25" customHeight="1" x14ac:dyDescent="0.35">
      <c r="A21" s="8" t="s">
        <v>594</v>
      </c>
      <c r="B21" s="8" t="str">
        <f>TRIM('Raw Dataset'!B21)</f>
        <v>Jembatan</v>
      </c>
      <c r="C21" s="8" t="str">
        <f>TRIM('Raw Dataset'!C21)</f>
        <v>Bau-Bau</v>
      </c>
      <c r="D21" s="8" t="str">
        <f>TRIM('Raw Dataset'!D21)</f>
        <v>Pembuatan Jembatan Bau-Bau</v>
      </c>
      <c r="E21" s="14">
        <v>45335</v>
      </c>
      <c r="F21" s="14">
        <v>45386</v>
      </c>
      <c r="G21" s="10">
        <v>6584342537</v>
      </c>
      <c r="H21" s="8" t="str">
        <f>TRIM('Raw Dataset'!H21)</f>
        <v>PT. Yuniar Hakim Tbk</v>
      </c>
      <c r="J21" t="str">
        <v>OK</v>
      </c>
      <c r="K21" t="str">
        <v>OK</v>
      </c>
    </row>
    <row r="22" spans="1:11" ht="14.25" customHeight="1" x14ac:dyDescent="0.35">
      <c r="A22" s="8" t="s">
        <v>51</v>
      </c>
      <c r="B22" s="8" t="str">
        <f>TRIM('Raw Dataset'!B22)</f>
        <v>Drainase</v>
      </c>
      <c r="C22" s="8" t="str">
        <f>TRIM('Raw Dataset'!C22)</f>
        <v>Depok</v>
      </c>
      <c r="D22" s="8" t="str">
        <f>TRIM('Raw Dataset'!D22)</f>
        <v>Perbaikan Drainase Depok</v>
      </c>
      <c r="E22" s="14">
        <v>44931</v>
      </c>
      <c r="F22" s="14">
        <v>44968</v>
      </c>
      <c r="G22" s="10">
        <v>536495065</v>
      </c>
      <c r="H22" s="8" t="str">
        <f>TRIM('Raw Dataset'!H22)</f>
        <v>CV Sihombing</v>
      </c>
      <c r="J22" t="str">
        <v>OK</v>
      </c>
      <c r="K22" t="str">
        <v>OK</v>
      </c>
    </row>
    <row r="23" spans="1:11" ht="14.25" customHeight="1" x14ac:dyDescent="0.35">
      <c r="A23" s="8" t="s">
        <v>596</v>
      </c>
      <c r="B23" s="8" t="str">
        <f>TRIM('Raw Dataset'!B23)</f>
        <v>Flyover</v>
      </c>
      <c r="C23" s="8" t="str">
        <f>TRIM('Raw Dataset'!C23)</f>
        <v>Bandung</v>
      </c>
      <c r="D23" s="8" t="str">
        <f>TRIM('Raw Dataset'!D23)</f>
        <v>Pembuatan Flyover Bandung</v>
      </c>
      <c r="E23" s="14">
        <v>45336</v>
      </c>
      <c r="F23" s="14">
        <v>45336</v>
      </c>
      <c r="G23" s="10">
        <v>3981092285</v>
      </c>
      <c r="H23" s="8" t="str">
        <f>TRIM('Raw Dataset'!H23)</f>
        <v>PT D</v>
      </c>
      <c r="J23" t="str">
        <v>OK</v>
      </c>
      <c r="K23" t="str">
        <v>OK</v>
      </c>
    </row>
    <row r="24" spans="1:11" ht="14.25" customHeight="1" x14ac:dyDescent="0.35">
      <c r="A24" s="8" t="s">
        <v>52</v>
      </c>
      <c r="B24" s="8" t="str">
        <f>TRIM('Raw Dataset'!B24)</f>
        <v>Drainase</v>
      </c>
      <c r="C24" s="8" t="str">
        <f>TRIM('Raw Dataset'!C24)</f>
        <v>Medan</v>
      </c>
      <c r="D24" s="8" t="str">
        <f>TRIM('Raw Dataset'!D24)</f>
        <v>Perbaikan Drainase Medan</v>
      </c>
      <c r="E24" s="14">
        <v>44932</v>
      </c>
      <c r="F24" s="14">
        <v>45108</v>
      </c>
      <c r="G24" s="10">
        <v>341629572</v>
      </c>
      <c r="H24" s="8" t="str">
        <f>TRIM('Raw Dataset'!H24)</f>
        <v>CV Sihombing</v>
      </c>
      <c r="J24" t="str">
        <v>OK</v>
      </c>
      <c r="K24" t="str">
        <v>OK</v>
      </c>
    </row>
    <row r="25" spans="1:11" ht="14.25" customHeight="1" x14ac:dyDescent="0.35">
      <c r="A25" s="8" t="s">
        <v>598</v>
      </c>
      <c r="B25" s="8" t="str">
        <f>TRIM('Raw Dataset'!B25)</f>
        <v>Drainase</v>
      </c>
      <c r="C25" s="8" t="str">
        <f>TRIM('Raw Dataset'!C25)</f>
        <v>Tomohon</v>
      </c>
      <c r="D25" s="8" t="str">
        <f>TRIM('Raw Dataset'!D25)</f>
        <v>Perbaikan Drainase Tomohon</v>
      </c>
      <c r="E25" s="14">
        <v>45337</v>
      </c>
      <c r="F25" s="14">
        <v>45342</v>
      </c>
      <c r="G25" s="10">
        <v>603837273</v>
      </c>
      <c r="H25" s="8" t="str">
        <f>TRIM('Raw Dataset'!H25)</f>
        <v>PT B</v>
      </c>
      <c r="J25" t="str">
        <v>OK</v>
      </c>
      <c r="K25" t="str">
        <v>OK</v>
      </c>
    </row>
    <row r="26" spans="1:11" ht="14.25" customHeight="1" x14ac:dyDescent="0.35">
      <c r="A26" s="8" t="s">
        <v>54</v>
      </c>
      <c r="B26" s="8" t="str">
        <f>TRIM('Raw Dataset'!B26)</f>
        <v>Flyover</v>
      </c>
      <c r="C26" s="8" t="str">
        <f>TRIM('Raw Dataset'!C26)</f>
        <v>Bau-Bau</v>
      </c>
      <c r="D26" s="8" t="str">
        <f>TRIM('Raw Dataset'!D26)</f>
        <v>Pembuatan Flyover Bau-Bau</v>
      </c>
      <c r="E26" s="14">
        <v>44935</v>
      </c>
      <c r="F26" s="14">
        <v>44971</v>
      </c>
      <c r="G26" s="10">
        <v>4534202846</v>
      </c>
      <c r="H26" s="8" t="str">
        <f>TRIM('Raw Dataset'!H26)</f>
        <v>CV Sihombing</v>
      </c>
      <c r="J26" t="str">
        <v>OK</v>
      </c>
      <c r="K26" t="str">
        <v>OK</v>
      </c>
    </row>
    <row r="27" spans="1:11" ht="14.25" customHeight="1" x14ac:dyDescent="0.35">
      <c r="A27" s="8" t="s">
        <v>600</v>
      </c>
      <c r="B27" s="8" t="str">
        <f>TRIM('Raw Dataset'!B27)</f>
        <v>Drainase</v>
      </c>
      <c r="C27" s="8" t="str">
        <f>TRIM('Raw Dataset'!C27)</f>
        <v>Medan</v>
      </c>
      <c r="D27" s="8" t="str">
        <f>TRIM('Raw Dataset'!D27)</f>
        <v>Perbaikan Drainase Medan</v>
      </c>
      <c r="E27" s="14">
        <v>45338</v>
      </c>
      <c r="F27" s="14">
        <v>45346</v>
      </c>
      <c r="G27" s="10">
        <v>257898943</v>
      </c>
      <c r="H27" s="8" t="str">
        <f>TRIM('Raw Dataset'!H27)</f>
        <v>PT. Yuniar Hakim Tbk</v>
      </c>
      <c r="J27" t="str">
        <v>OK</v>
      </c>
      <c r="K27" t="str">
        <v>OK</v>
      </c>
    </row>
    <row r="28" spans="1:11" ht="14.25" customHeight="1" x14ac:dyDescent="0.35">
      <c r="A28" s="8" t="s">
        <v>55</v>
      </c>
      <c r="B28" s="8" t="str">
        <f>TRIM('Raw Dataset'!B28)</f>
        <v>Drainase</v>
      </c>
      <c r="C28" s="8" t="str">
        <f>TRIM('Raw Dataset'!C28)</f>
        <v>Medan</v>
      </c>
      <c r="D28" s="8" t="str">
        <f>TRIM('Raw Dataset'!D28)</f>
        <v>Perbaikan Drainase Medan</v>
      </c>
      <c r="E28" s="14">
        <v>44936</v>
      </c>
      <c r="F28" s="14">
        <v>45295</v>
      </c>
      <c r="G28" s="10">
        <v>489065831</v>
      </c>
      <c r="H28" s="8" t="str">
        <f>TRIM('Raw Dataset'!H28)</f>
        <v>PT A</v>
      </c>
      <c r="J28" t="str">
        <v>OK</v>
      </c>
      <c r="K28" t="str">
        <v>OK</v>
      </c>
    </row>
    <row r="29" spans="1:11" ht="14.25" customHeight="1" x14ac:dyDescent="0.35">
      <c r="A29" s="8" t="s">
        <v>601</v>
      </c>
      <c r="B29" s="8" t="str">
        <f>TRIM('Raw Dataset'!B29)</f>
        <v>Jalan Raya</v>
      </c>
      <c r="C29" s="8" t="str">
        <f>TRIM('Raw Dataset'!C29)</f>
        <v>Surabaya</v>
      </c>
      <c r="D29" s="8" t="str">
        <f>TRIM('Raw Dataset'!D29)</f>
        <v>Perbaikan Jalan Raya Surabaya</v>
      </c>
      <c r="E29" s="14">
        <v>45339</v>
      </c>
      <c r="F29" s="14">
        <v>45379</v>
      </c>
      <c r="G29" s="10">
        <v>545662746</v>
      </c>
      <c r="H29" s="8" t="str">
        <f>TRIM('Raw Dataset'!H29)</f>
        <v>PT A</v>
      </c>
      <c r="J29" t="str">
        <v>OK</v>
      </c>
      <c r="K29" t="str">
        <v>OK</v>
      </c>
    </row>
    <row r="30" spans="1:11" ht="14.25" customHeight="1" x14ac:dyDescent="0.35">
      <c r="A30" s="8" t="s">
        <v>57</v>
      </c>
      <c r="B30" s="8" t="str">
        <f>TRIM('Raw Dataset'!B30)</f>
        <v>Jalan Raya</v>
      </c>
      <c r="C30" s="8" t="str">
        <f>TRIM('Raw Dataset'!C30)</f>
        <v>Medan</v>
      </c>
      <c r="D30" s="8" t="str">
        <f>TRIM('Raw Dataset'!D30)</f>
        <v>Perbaikan Jalan Raya Medan</v>
      </c>
      <c r="E30" s="14">
        <v>44938</v>
      </c>
      <c r="F30" s="14">
        <v>44985</v>
      </c>
      <c r="G30" s="10">
        <v>486357978</v>
      </c>
      <c r="H30" s="8" t="str">
        <f>TRIM('Raw Dataset'!H30)</f>
        <v/>
      </c>
      <c r="J30" t="str">
        <v>OK</v>
      </c>
      <c r="K30" t="str">
        <v>OK</v>
      </c>
    </row>
    <row r="31" spans="1:11" ht="14.25" customHeight="1" x14ac:dyDescent="0.35">
      <c r="A31" s="8" t="s">
        <v>604</v>
      </c>
      <c r="B31" s="8" t="str">
        <f>TRIM('Raw Dataset'!B31)</f>
        <v>Jalan Raya</v>
      </c>
      <c r="C31" s="8" t="str">
        <f>TRIM('Raw Dataset'!C31)</f>
        <v>Surabaya</v>
      </c>
      <c r="D31" s="8" t="str">
        <f>TRIM('Raw Dataset'!D31)</f>
        <v>Perbaikan Jalan Raya Surabaya</v>
      </c>
      <c r="E31" s="14">
        <v>45340</v>
      </c>
      <c r="F31" s="14">
        <v>45371</v>
      </c>
      <c r="G31" s="10">
        <v>810414368</v>
      </c>
      <c r="H31" s="8" t="str">
        <f>TRIM('Raw Dataset'!H31)</f>
        <v>PT C</v>
      </c>
      <c r="J31" t="str">
        <v>OK</v>
      </c>
      <c r="K31" t="str">
        <v>OK</v>
      </c>
    </row>
    <row r="32" spans="1:11" ht="14.25" customHeight="1" x14ac:dyDescent="0.35">
      <c r="A32" s="8" t="s">
        <v>59</v>
      </c>
      <c r="B32" s="8" t="str">
        <f>TRIM('Raw Dataset'!B32)</f>
        <v>Jalan Raya</v>
      </c>
      <c r="C32" s="8" t="str">
        <f>TRIM('Raw Dataset'!C32)</f>
        <v>Tomohon</v>
      </c>
      <c r="D32" s="8" t="str">
        <f>TRIM('Raw Dataset'!D32)</f>
        <v>Perbaikan Jalan Raya Tomohon</v>
      </c>
      <c r="E32" s="14">
        <v>44938</v>
      </c>
      <c r="F32" s="14">
        <v>45262</v>
      </c>
      <c r="G32" s="10">
        <v>341929482</v>
      </c>
      <c r="H32" s="8" t="str">
        <f>TRIM('Raw Dataset'!H32)</f>
        <v>PT. Yuniar Hakim Tbk</v>
      </c>
      <c r="J32" t="str">
        <v>OK</v>
      </c>
      <c r="K32" t="str">
        <v>OK</v>
      </c>
    </row>
    <row r="33" spans="1:11" ht="14.25" customHeight="1" x14ac:dyDescent="0.35">
      <c r="A33" s="8" t="s">
        <v>606</v>
      </c>
      <c r="B33" s="8" t="str">
        <f>TRIM('Raw Dataset'!B33)</f>
        <v>Jalan Raya</v>
      </c>
      <c r="C33" s="8" t="str">
        <f>TRIM('Raw Dataset'!C33)</f>
        <v>Bau-Bau</v>
      </c>
      <c r="D33" s="8" t="str">
        <f>TRIM('Raw Dataset'!D33)</f>
        <v>Perbaikan Jalan Raya Bau-Bau</v>
      </c>
      <c r="E33" s="14">
        <v>45341</v>
      </c>
      <c r="F33" s="14">
        <v>45388</v>
      </c>
      <c r="G33" s="10">
        <v>599466235</v>
      </c>
      <c r="H33" s="8" t="str">
        <f>TRIM('Raw Dataset'!H33)</f>
        <v>PT. Yuniar Hakim Tbk</v>
      </c>
      <c r="J33" t="str">
        <v>OK</v>
      </c>
      <c r="K33" t="str">
        <v>OK</v>
      </c>
    </row>
    <row r="34" spans="1:11" ht="14.25" customHeight="1" x14ac:dyDescent="0.35">
      <c r="A34" s="8" t="s">
        <v>62</v>
      </c>
      <c r="B34" s="8" t="str">
        <f>TRIM('Raw Dataset'!B34)</f>
        <v>Gedung</v>
      </c>
      <c r="C34" s="8" t="str">
        <f>TRIM('Raw Dataset'!C34)</f>
        <v>Tomohon</v>
      </c>
      <c r="D34" s="8" t="str">
        <f>TRIM('Raw Dataset'!D34)</f>
        <v>Perbaikan Gedung Pemerintah Tomohon</v>
      </c>
      <c r="E34" s="14">
        <v>44939</v>
      </c>
      <c r="F34" s="14">
        <v>45185</v>
      </c>
      <c r="G34" s="10">
        <v>4929333305</v>
      </c>
      <c r="H34" s="8" t="str">
        <f>TRIM('Raw Dataset'!H34)</f>
        <v>PT. Yuniar Hakim Tbk</v>
      </c>
      <c r="J34" t="str">
        <v>OK</v>
      </c>
      <c r="K34" t="str">
        <v>OK</v>
      </c>
    </row>
    <row r="35" spans="1:11" ht="14.25" customHeight="1" x14ac:dyDescent="0.35">
      <c r="A35" s="8" t="s">
        <v>607</v>
      </c>
      <c r="B35" s="8" t="str">
        <f>TRIM('Raw Dataset'!B35)</f>
        <v>Drainase</v>
      </c>
      <c r="C35" s="8" t="str">
        <f>TRIM('Raw Dataset'!C35)</f>
        <v>Bandung</v>
      </c>
      <c r="D35" s="8" t="str">
        <f>TRIM('Raw Dataset'!D35)</f>
        <v>Perbaikan Drainase Bandung</v>
      </c>
      <c r="E35" s="14">
        <v>45341</v>
      </c>
      <c r="F35" s="14">
        <v>45350</v>
      </c>
      <c r="G35" s="10">
        <v>333089653</v>
      </c>
      <c r="H35" s="8" t="str">
        <f>TRIM('Raw Dataset'!H35)</f>
        <v>PT B</v>
      </c>
      <c r="J35" t="str">
        <v>OK</v>
      </c>
      <c r="K35" t="str">
        <v>OK</v>
      </c>
    </row>
    <row r="36" spans="1:11" ht="14.25" customHeight="1" x14ac:dyDescent="0.35">
      <c r="A36" s="8" t="s">
        <v>64</v>
      </c>
      <c r="B36" s="8" t="str">
        <f>TRIM('Raw Dataset'!B36)</f>
        <v>Drainase</v>
      </c>
      <c r="C36" s="8" t="str">
        <f>TRIM('Raw Dataset'!C36)</f>
        <v>Tomohon</v>
      </c>
      <c r="D36" s="8" t="str">
        <f>TRIM('Raw Dataset'!D36)</f>
        <v>Perbaikan Drainase Tomohon</v>
      </c>
      <c r="E36" s="14">
        <v>44940</v>
      </c>
      <c r="F36" s="14">
        <v>45043</v>
      </c>
      <c r="G36" s="10">
        <v>523689841</v>
      </c>
      <c r="H36" s="8" t="str">
        <f>TRIM('Raw Dataset'!H36)</f>
        <v>PT D</v>
      </c>
      <c r="J36" t="str">
        <v>OK</v>
      </c>
      <c r="K36" t="str">
        <v>OK</v>
      </c>
    </row>
    <row r="37" spans="1:11" ht="14.25" customHeight="1" x14ac:dyDescent="0.35">
      <c r="A37" s="8" t="s">
        <v>608</v>
      </c>
      <c r="B37" s="8" t="str">
        <f>TRIM('Raw Dataset'!B37)</f>
        <v>Flyover</v>
      </c>
      <c r="C37" s="8" t="str">
        <f>TRIM('Raw Dataset'!C37)</f>
        <v>Bandung</v>
      </c>
      <c r="D37" s="8" t="str">
        <f>TRIM('Raw Dataset'!D37)</f>
        <v>Pembuatan Flyover Bandung</v>
      </c>
      <c r="E37" s="14">
        <v>45341</v>
      </c>
      <c r="F37" s="14">
        <v>45406</v>
      </c>
      <c r="G37" s="10">
        <v>3757312666</v>
      </c>
      <c r="H37" s="8" t="str">
        <f>TRIM('Raw Dataset'!H37)</f>
        <v>PT B</v>
      </c>
      <c r="J37" t="str">
        <v>OK</v>
      </c>
      <c r="K37" t="str">
        <v>OK</v>
      </c>
    </row>
    <row r="38" spans="1:11" ht="14.25" customHeight="1" x14ac:dyDescent="0.35">
      <c r="A38" s="8" t="s">
        <v>65</v>
      </c>
      <c r="B38" s="8" t="str">
        <f>TRIM('Raw Dataset'!B38)</f>
        <v>Flyover</v>
      </c>
      <c r="C38" s="8" t="str">
        <f>TRIM('Raw Dataset'!C38)</f>
        <v>Medan</v>
      </c>
      <c r="D38" s="8" t="str">
        <f>TRIM('Raw Dataset'!D38)</f>
        <v>Pembuatan Flyover Medan</v>
      </c>
      <c r="E38" s="14">
        <v>44940</v>
      </c>
      <c r="F38" s="14">
        <v>45206</v>
      </c>
      <c r="G38" s="10">
        <v>3894709817</v>
      </c>
      <c r="H38" s="8" t="str">
        <f>TRIM('Raw Dataset'!H38)</f>
        <v>PT. Yuniar Hakim Tbk</v>
      </c>
      <c r="J38" t="str">
        <v>OK</v>
      </c>
      <c r="K38" t="str">
        <v>OK</v>
      </c>
    </row>
    <row r="39" spans="1:11" ht="14.25" customHeight="1" x14ac:dyDescent="0.35">
      <c r="A39" s="8" t="s">
        <v>609</v>
      </c>
      <c r="B39" s="8" t="str">
        <f>TRIM('Raw Dataset'!B39)</f>
        <v>Jalan Raya</v>
      </c>
      <c r="C39" s="8" t="str">
        <f>TRIM('Raw Dataset'!C39)</f>
        <v>Depok</v>
      </c>
      <c r="D39" s="8" t="str">
        <f>TRIM('Raw Dataset'!D39)</f>
        <v>Perbaikan Jalan Raya Depok</v>
      </c>
      <c r="E39" s="14">
        <v>45343</v>
      </c>
      <c r="F39" s="14">
        <v>45382</v>
      </c>
      <c r="G39" s="10">
        <v>462876320</v>
      </c>
      <c r="H39" s="8" t="str">
        <f>TRIM('Raw Dataset'!H39)</f>
        <v/>
      </c>
      <c r="J39" t="str">
        <v>OK</v>
      </c>
      <c r="K39" t="str">
        <v>OK</v>
      </c>
    </row>
    <row r="40" spans="1:11" ht="14.25" customHeight="1" x14ac:dyDescent="0.35">
      <c r="A40" s="8" t="s">
        <v>68</v>
      </c>
      <c r="B40" s="8" t="str">
        <f>TRIM('Raw Dataset'!B40)</f>
        <v>Jembatan</v>
      </c>
      <c r="C40" s="8" t="str">
        <f>TRIM('Raw Dataset'!C40)</f>
        <v>Jakarta</v>
      </c>
      <c r="D40" s="8" t="str">
        <f>TRIM('Raw Dataset'!D40)</f>
        <v>Pembuatan Jembatan Jakarta</v>
      </c>
      <c r="E40" s="14">
        <v>44941</v>
      </c>
      <c r="F40" s="14">
        <v>45188</v>
      </c>
      <c r="G40" s="10">
        <v>4532376815</v>
      </c>
      <c r="H40" s="8" t="str">
        <f>TRIM('Raw Dataset'!H40)</f>
        <v>PT D</v>
      </c>
      <c r="J40" t="str">
        <v>OK</v>
      </c>
      <c r="K40" t="str">
        <v>OK</v>
      </c>
    </row>
    <row r="41" spans="1:11" ht="14.25" customHeight="1" x14ac:dyDescent="0.35">
      <c r="A41" s="8" t="s">
        <v>611</v>
      </c>
      <c r="B41" s="8" t="str">
        <f>TRIM('Raw Dataset'!B41)</f>
        <v>Jembatan</v>
      </c>
      <c r="C41" s="8" t="str">
        <f>TRIM('Raw Dataset'!C41)</f>
        <v>Depok</v>
      </c>
      <c r="D41" s="8" t="str">
        <f>TRIM('Raw Dataset'!D41)</f>
        <v>Pembuatan Jembatan Depok</v>
      </c>
      <c r="E41" s="14">
        <v>45346</v>
      </c>
      <c r="F41" s="14">
        <v>45398</v>
      </c>
      <c r="G41" s="10">
        <v>3821117140</v>
      </c>
      <c r="H41" s="8" t="str">
        <f>TRIM('Raw Dataset'!H41)</f>
        <v>PT D</v>
      </c>
      <c r="J41" t="str">
        <v>OK</v>
      </c>
      <c r="K41" t="str">
        <v>OK</v>
      </c>
    </row>
    <row r="42" spans="1:11" ht="14.25" customHeight="1" x14ac:dyDescent="0.35">
      <c r="A42" s="8" t="s">
        <v>70</v>
      </c>
      <c r="B42" s="8" t="str">
        <f>TRIM('Raw Dataset'!B42)</f>
        <v>Flyover</v>
      </c>
      <c r="C42" s="8" t="str">
        <f>TRIM('Raw Dataset'!C42)</f>
        <v>Bau-Bau</v>
      </c>
      <c r="D42" s="8" t="str">
        <f>TRIM('Raw Dataset'!D42)</f>
        <v>Perbaikan Flyover Bau-Bau</v>
      </c>
      <c r="E42" s="14">
        <v>44941</v>
      </c>
      <c r="F42" s="14">
        <v>45290</v>
      </c>
      <c r="G42" s="10">
        <v>4159855566</v>
      </c>
      <c r="H42" s="8" t="str">
        <f>TRIM('Raw Dataset'!H42)</f>
        <v>PT C</v>
      </c>
      <c r="J42" t="str">
        <v>OK</v>
      </c>
      <c r="K42" t="str">
        <v>OK</v>
      </c>
    </row>
    <row r="43" spans="1:11" ht="14.25" customHeight="1" x14ac:dyDescent="0.35">
      <c r="A43" s="8" t="s">
        <v>72</v>
      </c>
      <c r="B43" s="8" t="str">
        <f>TRIM('Raw Dataset'!B43)</f>
        <v>Jembatan</v>
      </c>
      <c r="C43" s="8" t="str">
        <f>TRIM('Raw Dataset'!C43)</f>
        <v>Bandung</v>
      </c>
      <c r="D43" s="8" t="str">
        <f>TRIM('Raw Dataset'!D43)</f>
        <v>Perbaikan Jembatan Bandung</v>
      </c>
      <c r="E43" s="14">
        <v>44941</v>
      </c>
      <c r="F43" s="14">
        <v>45095</v>
      </c>
      <c r="G43" s="10">
        <v>4492886828</v>
      </c>
      <c r="H43" s="8" t="str">
        <f>TRIM('Raw Dataset'!H43)</f>
        <v>PT D</v>
      </c>
      <c r="J43" t="str">
        <v>OK</v>
      </c>
      <c r="K43" t="str">
        <v>OK</v>
      </c>
    </row>
    <row r="44" spans="1:11" ht="14.25" customHeight="1" x14ac:dyDescent="0.35">
      <c r="A44" s="8" t="s">
        <v>73</v>
      </c>
      <c r="B44" s="8" t="str">
        <f>TRIM('Raw Dataset'!B44)</f>
        <v>Jembatan</v>
      </c>
      <c r="C44" s="8" t="str">
        <f>TRIM('Raw Dataset'!C44)</f>
        <v>Surabaya</v>
      </c>
      <c r="D44" s="8" t="str">
        <f>TRIM('Raw Dataset'!D44)</f>
        <v>Pembuatan Jembatan Surabaya</v>
      </c>
      <c r="E44" s="14">
        <v>44942</v>
      </c>
      <c r="F44" s="14">
        <v>45034</v>
      </c>
      <c r="G44" s="10">
        <v>1424729417</v>
      </c>
      <c r="H44" s="8" t="str">
        <f>TRIM('Raw Dataset'!H44)</f>
        <v>PT. Yuniar Hakim Tbk</v>
      </c>
      <c r="J44" t="str">
        <v>OK</v>
      </c>
      <c r="K44" t="str">
        <v>OK</v>
      </c>
    </row>
    <row r="45" spans="1:11" ht="14.25" customHeight="1" x14ac:dyDescent="0.35">
      <c r="A45" s="8" t="s">
        <v>75</v>
      </c>
      <c r="B45" s="8" t="str">
        <f>TRIM('Raw Dataset'!B45)</f>
        <v>Jembatan</v>
      </c>
      <c r="C45" s="8" t="str">
        <f>TRIM('Raw Dataset'!C45)</f>
        <v>Bau-Bau</v>
      </c>
      <c r="D45" s="8" t="str">
        <f>TRIM('Raw Dataset'!D45)</f>
        <v>Pembuatan Jembatan Bau-Bau</v>
      </c>
      <c r="E45" s="14">
        <v>44943</v>
      </c>
      <c r="F45" s="14">
        <v>45027</v>
      </c>
      <c r="G45" s="10">
        <v>1425616276</v>
      </c>
      <c r="H45" s="8" t="str">
        <f>TRIM('Raw Dataset'!H45)</f>
        <v>CV Sihombing</v>
      </c>
      <c r="J45" t="str">
        <v>OK</v>
      </c>
      <c r="K45" t="str">
        <v>OK</v>
      </c>
    </row>
    <row r="46" spans="1:11" ht="14.25" customHeight="1" x14ac:dyDescent="0.35">
      <c r="A46" s="8" t="s">
        <v>76</v>
      </c>
      <c r="B46" s="8" t="str">
        <f>TRIM('Raw Dataset'!B46)</f>
        <v>Jalan Raya</v>
      </c>
      <c r="C46" s="8" t="str">
        <f>TRIM('Raw Dataset'!C46)</f>
        <v>Bandung</v>
      </c>
      <c r="D46" s="8" t="str">
        <f>TRIM('Raw Dataset'!D46)</f>
        <v>Perbaikan Jalan Raya Bandung</v>
      </c>
      <c r="E46" s="14">
        <v>44943</v>
      </c>
      <c r="F46" s="14">
        <v>45136</v>
      </c>
      <c r="G46" s="10">
        <v>307413755</v>
      </c>
      <c r="H46" s="8" t="str">
        <f>TRIM('Raw Dataset'!H46)</f>
        <v>CV Sihombing</v>
      </c>
      <c r="J46" t="str">
        <v>OK</v>
      </c>
      <c r="K46" t="str">
        <v>OK</v>
      </c>
    </row>
    <row r="47" spans="1:11" ht="14.25" customHeight="1" x14ac:dyDescent="0.35">
      <c r="A47" s="8" t="s">
        <v>77</v>
      </c>
      <c r="B47" s="8" t="str">
        <f>TRIM('Raw Dataset'!B47)</f>
        <v>Jembatan</v>
      </c>
      <c r="C47" s="8" t="str">
        <f>TRIM('Raw Dataset'!C47)</f>
        <v>Bau-Bau</v>
      </c>
      <c r="D47" s="8" t="str">
        <f>TRIM('Raw Dataset'!D47)</f>
        <v>Pembuatan Jembatan Bau-Bau</v>
      </c>
      <c r="E47" s="14">
        <v>44944</v>
      </c>
      <c r="F47" s="14">
        <v>45113</v>
      </c>
      <c r="G47" s="10">
        <v>6929733135</v>
      </c>
      <c r="H47" s="8" t="str">
        <f>TRIM('Raw Dataset'!H47)</f>
        <v>PT C</v>
      </c>
      <c r="J47" t="str">
        <v>OK</v>
      </c>
      <c r="K47" t="str">
        <v>OK</v>
      </c>
    </row>
    <row r="48" spans="1:11" ht="14.25" customHeight="1" x14ac:dyDescent="0.35">
      <c r="A48" s="8" t="s">
        <v>79</v>
      </c>
      <c r="B48" s="8" t="str">
        <f>TRIM('Raw Dataset'!B48)</f>
        <v>Jembatan</v>
      </c>
      <c r="C48" s="8" t="str">
        <f>TRIM('Raw Dataset'!C48)</f>
        <v>Bau-Bau</v>
      </c>
      <c r="D48" s="8" t="str">
        <f>TRIM('Raw Dataset'!D48)</f>
        <v>Perbaikan Jembatan Bau-Bau</v>
      </c>
      <c r="E48" s="14">
        <v>44944</v>
      </c>
      <c r="F48" s="14">
        <v>45284</v>
      </c>
      <c r="G48" s="10">
        <v>1567712170</v>
      </c>
      <c r="H48" s="8" t="str">
        <f>TRIM('Raw Dataset'!H48)</f>
        <v>PT. Yuniar Hakim Tbk</v>
      </c>
      <c r="J48" t="str">
        <v>OK</v>
      </c>
      <c r="K48" t="str">
        <v>OK</v>
      </c>
    </row>
    <row r="49" spans="1:11" ht="14.25" customHeight="1" x14ac:dyDescent="0.35">
      <c r="A49" s="8" t="s">
        <v>81</v>
      </c>
      <c r="B49" s="8" t="str">
        <f>TRIM('Raw Dataset'!B49)</f>
        <v>Jembatan</v>
      </c>
      <c r="C49" s="8" t="str">
        <f>TRIM('Raw Dataset'!C49)</f>
        <v>Jakarta</v>
      </c>
      <c r="D49" s="8" t="str">
        <f>TRIM('Raw Dataset'!D49)</f>
        <v>Pembuatan Jembatan Jakarta</v>
      </c>
      <c r="E49" s="14">
        <v>44945</v>
      </c>
      <c r="F49" s="14">
        <v>45037</v>
      </c>
      <c r="G49" s="10">
        <v>3020860458</v>
      </c>
      <c r="H49" s="8" t="str">
        <f>TRIM('Raw Dataset'!H49)</f>
        <v>PT. Yuniar Hakim Tbk</v>
      </c>
      <c r="J49" t="str">
        <v>OK</v>
      </c>
      <c r="K49" t="str">
        <v>OK</v>
      </c>
    </row>
    <row r="50" spans="1:11" ht="14.25" customHeight="1" x14ac:dyDescent="0.35">
      <c r="A50" s="8" t="s">
        <v>82</v>
      </c>
      <c r="B50" s="8" t="str">
        <f>TRIM('Raw Dataset'!B50)</f>
        <v>Drainase</v>
      </c>
      <c r="C50" s="8" t="str">
        <f>TRIM('Raw Dataset'!C50)</f>
        <v>Medan</v>
      </c>
      <c r="D50" s="8" t="str">
        <f>TRIM('Raw Dataset'!D50)</f>
        <v>Perbaikan Drainase Medan</v>
      </c>
      <c r="E50" s="14">
        <v>44946</v>
      </c>
      <c r="F50" s="14">
        <v>45105</v>
      </c>
      <c r="G50" s="10">
        <v>443234047</v>
      </c>
      <c r="H50" s="8" t="str">
        <f>TRIM('Raw Dataset'!H50)</f>
        <v>PT. Lailasari Hariyah (Persero) Tbk</v>
      </c>
      <c r="J50" t="str">
        <v>OK</v>
      </c>
      <c r="K50" t="str">
        <v>OK</v>
      </c>
    </row>
    <row r="51" spans="1:11" ht="14.25" customHeight="1" x14ac:dyDescent="0.35">
      <c r="A51" s="8" t="s">
        <v>84</v>
      </c>
      <c r="B51" s="8" t="str">
        <f>TRIM('Raw Dataset'!B51)</f>
        <v>Flyover</v>
      </c>
      <c r="C51" s="8" t="str">
        <f>TRIM('Raw Dataset'!C51)</f>
        <v>Makassar</v>
      </c>
      <c r="D51" s="8" t="str">
        <f>TRIM('Raw Dataset'!D51)</f>
        <v>Pembuatan Flyover Makassar</v>
      </c>
      <c r="E51" s="14">
        <v>44947</v>
      </c>
      <c r="F51" s="14">
        <v>45177</v>
      </c>
      <c r="G51" s="10">
        <v>4609627000</v>
      </c>
      <c r="H51" s="8" t="str">
        <f>TRIM('Raw Dataset'!H51)</f>
        <v>PT C</v>
      </c>
      <c r="J51" t="str">
        <v>OK</v>
      </c>
      <c r="K51" t="str">
        <v>OK</v>
      </c>
    </row>
    <row r="52" spans="1:11" ht="14.25" customHeight="1" x14ac:dyDescent="0.35">
      <c r="A52" s="8" t="s">
        <v>86</v>
      </c>
      <c r="B52" s="8" t="str">
        <f>TRIM('Raw Dataset'!B52)</f>
        <v>Jalan Raya</v>
      </c>
      <c r="C52" s="8" t="str">
        <f>TRIM('Raw Dataset'!C52)</f>
        <v>Bandung</v>
      </c>
      <c r="D52" s="8" t="str">
        <f>TRIM('Raw Dataset'!D52)</f>
        <v>Perbaikan Jalan Raya Bandung</v>
      </c>
      <c r="E52" s="14">
        <v>44948</v>
      </c>
      <c r="F52" s="14">
        <v>45054</v>
      </c>
      <c r="G52" s="10">
        <v>995204213</v>
      </c>
      <c r="H52" s="8" t="str">
        <f>TRIM('Raw Dataset'!H52)</f>
        <v>PT. Yuniar Hakim Tbk</v>
      </c>
      <c r="J52" t="str">
        <v>OK</v>
      </c>
      <c r="K52" t="str">
        <v>OK</v>
      </c>
    </row>
    <row r="53" spans="1:11" ht="14.25" customHeight="1" x14ac:dyDescent="0.35">
      <c r="A53" s="8" t="s">
        <v>88</v>
      </c>
      <c r="B53" s="8" t="str">
        <f>TRIM('Raw Dataset'!B53)</f>
        <v>Flyover</v>
      </c>
      <c r="C53" s="8" t="str">
        <f>TRIM('Raw Dataset'!C53)</f>
        <v>Medan</v>
      </c>
      <c r="D53" s="8" t="str">
        <f>TRIM('Raw Dataset'!D53)</f>
        <v>Perbaikan Flyover Medan</v>
      </c>
      <c r="E53" s="14">
        <v>44949</v>
      </c>
      <c r="F53" s="14">
        <v>45041</v>
      </c>
      <c r="G53" s="10">
        <v>3867579335</v>
      </c>
      <c r="H53" s="8" t="str">
        <f>TRIM('Raw Dataset'!H53)</f>
        <v>PT D</v>
      </c>
      <c r="J53" t="str">
        <v>OK</v>
      </c>
      <c r="K53" t="str">
        <v>OK</v>
      </c>
    </row>
    <row r="54" spans="1:11" ht="14.25" customHeight="1" x14ac:dyDescent="0.35">
      <c r="A54" s="8" t="s">
        <v>89</v>
      </c>
      <c r="B54" s="8" t="str">
        <f>TRIM('Raw Dataset'!B54)</f>
        <v>Gedung</v>
      </c>
      <c r="C54" s="8" t="str">
        <f>TRIM('Raw Dataset'!C54)</f>
        <v>Depok</v>
      </c>
      <c r="D54" s="8" t="str">
        <f>TRIM('Raw Dataset'!D54)</f>
        <v>Perbaikan Gedung Pemerintah Depok</v>
      </c>
      <c r="E54" s="14">
        <v>44949</v>
      </c>
      <c r="F54" s="14">
        <v>44986</v>
      </c>
      <c r="G54" s="10">
        <v>8428412586</v>
      </c>
      <c r="H54" s="8" t="str">
        <f>TRIM('Raw Dataset'!H54)</f>
        <v>PT. Lailasari Hariyah (Persero) Tbk</v>
      </c>
      <c r="J54" t="str">
        <v>OK</v>
      </c>
      <c r="K54" t="str">
        <v>OK</v>
      </c>
    </row>
    <row r="55" spans="1:11" ht="14.25" customHeight="1" x14ac:dyDescent="0.35">
      <c r="A55" s="8" t="s">
        <v>90</v>
      </c>
      <c r="B55" s="8" t="str">
        <f>TRIM('Raw Dataset'!B55)</f>
        <v>Flyover</v>
      </c>
      <c r="C55" s="8" t="str">
        <f>TRIM('Raw Dataset'!C55)</f>
        <v>Tomohon</v>
      </c>
      <c r="D55" s="8" t="str">
        <f>TRIM('Raw Dataset'!D55)</f>
        <v>Perbaikan Flyover Tomohon</v>
      </c>
      <c r="E55" s="14">
        <v>44950</v>
      </c>
      <c r="F55" s="14">
        <v>45078</v>
      </c>
      <c r="G55" s="10">
        <v>2004784321</v>
      </c>
      <c r="H55" s="8" t="str">
        <f>TRIM('Raw Dataset'!H55)</f>
        <v>PT A</v>
      </c>
      <c r="J55" t="str">
        <v>OK</v>
      </c>
      <c r="K55" t="str">
        <v>OK</v>
      </c>
    </row>
    <row r="56" spans="1:11" ht="14.25" customHeight="1" x14ac:dyDescent="0.35">
      <c r="A56" s="8" t="s">
        <v>92</v>
      </c>
      <c r="B56" s="8" t="str">
        <f>TRIM('Raw Dataset'!B56)</f>
        <v>Jembatan</v>
      </c>
      <c r="C56" s="8" t="str">
        <f>TRIM('Raw Dataset'!C56)</f>
        <v>Surabaya</v>
      </c>
      <c r="D56" s="8" t="str">
        <f>TRIM('Raw Dataset'!D56)</f>
        <v>Perbaikan Jembatan Surabaya</v>
      </c>
      <c r="E56" s="14">
        <v>44950</v>
      </c>
      <c r="F56" s="14">
        <v>45023</v>
      </c>
      <c r="G56" s="10">
        <v>2364631347</v>
      </c>
      <c r="H56" s="8" t="str">
        <f>TRIM('Raw Dataset'!H56)</f>
        <v>CV Sihombing</v>
      </c>
      <c r="J56" t="str">
        <v>OK</v>
      </c>
      <c r="K56" t="str">
        <v>OK</v>
      </c>
    </row>
    <row r="57" spans="1:11" ht="14.25" customHeight="1" x14ac:dyDescent="0.35">
      <c r="A57" s="8" t="s">
        <v>94</v>
      </c>
      <c r="B57" s="8" t="str">
        <f>TRIM('Raw Dataset'!B57)</f>
        <v>Jembatan</v>
      </c>
      <c r="C57" s="8" t="str">
        <f>TRIM('Raw Dataset'!C57)</f>
        <v>Bau-Bau</v>
      </c>
      <c r="D57" s="8" t="str">
        <f>TRIM('Raw Dataset'!D57)</f>
        <v>Perbaikan Jembatan Bau-Bau</v>
      </c>
      <c r="E57" s="14">
        <v>44951</v>
      </c>
      <c r="F57" s="14">
        <v>45187</v>
      </c>
      <c r="G57" s="10">
        <v>7177546505</v>
      </c>
      <c r="H57" s="8" t="str">
        <f>TRIM('Raw Dataset'!H57)</f>
        <v>PT A</v>
      </c>
      <c r="J57" t="str">
        <v>OK</v>
      </c>
      <c r="K57" t="str">
        <v>OK</v>
      </c>
    </row>
    <row r="58" spans="1:11" ht="14.25" customHeight="1" x14ac:dyDescent="0.35">
      <c r="A58" s="8" t="s">
        <v>96</v>
      </c>
      <c r="B58" s="8" t="str">
        <f>TRIM('Raw Dataset'!B58)</f>
        <v>Drainase</v>
      </c>
      <c r="C58" s="8" t="str">
        <f>TRIM('Raw Dataset'!C58)</f>
        <v>Bau-Bau</v>
      </c>
      <c r="D58" s="8" t="str">
        <f>TRIM('Raw Dataset'!D58)</f>
        <v>Perbaikan Drainase Bau-Bau</v>
      </c>
      <c r="E58" s="14">
        <v>44951</v>
      </c>
      <c r="F58" s="14">
        <v>45262</v>
      </c>
      <c r="G58" s="10">
        <v>420827734</v>
      </c>
      <c r="H58" s="8" t="str">
        <f>TRIM('Raw Dataset'!H58)</f>
        <v>PT B</v>
      </c>
      <c r="J58" t="str">
        <v>OK</v>
      </c>
      <c r="K58" t="str">
        <v>OK</v>
      </c>
    </row>
    <row r="59" spans="1:11" ht="14.25" customHeight="1" x14ac:dyDescent="0.35">
      <c r="A59" s="8" t="s">
        <v>98</v>
      </c>
      <c r="B59" s="8" t="str">
        <f>TRIM('Raw Dataset'!B59)</f>
        <v>Drainase</v>
      </c>
      <c r="C59" s="8" t="str">
        <f>TRIM('Raw Dataset'!C59)</f>
        <v>Tomohon</v>
      </c>
      <c r="D59" s="8" t="str">
        <f>TRIM('Raw Dataset'!D59)</f>
        <v>Perbaikan Drainase Tomohon</v>
      </c>
      <c r="E59" s="14">
        <v>44954</v>
      </c>
      <c r="F59" s="14">
        <v>45186</v>
      </c>
      <c r="G59" s="10">
        <v>382266210</v>
      </c>
      <c r="H59" s="8" t="str">
        <f>TRIM('Raw Dataset'!H59)</f>
        <v/>
      </c>
      <c r="J59" t="str">
        <v>OK</v>
      </c>
      <c r="K59" t="str">
        <v>OK</v>
      </c>
    </row>
    <row r="60" spans="1:11" ht="14.25" customHeight="1" x14ac:dyDescent="0.35">
      <c r="A60" s="8" t="s">
        <v>99</v>
      </c>
      <c r="B60" s="8" t="str">
        <f>TRIM('Raw Dataset'!B60)</f>
        <v>Flyover</v>
      </c>
      <c r="C60" s="8" t="str">
        <f>TRIM('Raw Dataset'!C60)</f>
        <v>Bau-Bau</v>
      </c>
      <c r="D60" s="8" t="str">
        <f>TRIM('Raw Dataset'!D60)</f>
        <v>Pembuatan Flyover Bau-Bau</v>
      </c>
      <c r="E60" s="14">
        <v>44954</v>
      </c>
      <c r="F60" s="14">
        <v>45220</v>
      </c>
      <c r="G60" s="10">
        <v>1545241955</v>
      </c>
      <c r="H60" s="8" t="str">
        <f>TRIM('Raw Dataset'!H60)</f>
        <v>CV Sihombing</v>
      </c>
      <c r="J60" t="str">
        <v>OK</v>
      </c>
      <c r="K60" t="str">
        <v>OK</v>
      </c>
    </row>
    <row r="61" spans="1:11" ht="14.25" customHeight="1" x14ac:dyDescent="0.35">
      <c r="A61" s="8" t="s">
        <v>100</v>
      </c>
      <c r="B61" s="8" t="str">
        <f>TRIM('Raw Dataset'!B61)</f>
        <v>Gedung</v>
      </c>
      <c r="C61" s="8" t="str">
        <f>TRIM('Raw Dataset'!C61)</f>
        <v>Medan</v>
      </c>
      <c r="D61" s="8" t="str">
        <f>TRIM('Raw Dataset'!D61)</f>
        <v>Perbaikan Gedung Pemerintah Medan</v>
      </c>
      <c r="E61" s="14">
        <v>44954</v>
      </c>
      <c r="F61" s="14">
        <v>45158</v>
      </c>
      <c r="G61" s="10">
        <v>6831252497</v>
      </c>
      <c r="H61" s="8" t="str">
        <f>TRIM('Raw Dataset'!H61)</f>
        <v>PT A</v>
      </c>
      <c r="J61" t="str">
        <v>OK</v>
      </c>
      <c r="K61" t="str">
        <v>OK</v>
      </c>
    </row>
    <row r="62" spans="1:11" ht="14.25" customHeight="1" x14ac:dyDescent="0.35">
      <c r="A62" s="8" t="s">
        <v>102</v>
      </c>
      <c r="B62" s="8" t="str">
        <f>TRIM('Raw Dataset'!B62)</f>
        <v>Jembatan</v>
      </c>
      <c r="C62" s="8" t="str">
        <f>TRIM('Raw Dataset'!C62)</f>
        <v>Bau-Bau</v>
      </c>
      <c r="D62" s="8" t="str">
        <f>TRIM('Raw Dataset'!D62)</f>
        <v>Perbaikan Jembatan Bau-Bau</v>
      </c>
      <c r="E62" s="14">
        <v>44955</v>
      </c>
      <c r="F62" s="14">
        <v>45116</v>
      </c>
      <c r="G62" s="10">
        <v>3703277131</v>
      </c>
      <c r="H62" s="8" t="str">
        <f>TRIM('Raw Dataset'!H62)</f>
        <v/>
      </c>
      <c r="J62" t="str">
        <v>OK</v>
      </c>
      <c r="K62" t="str">
        <v>OK</v>
      </c>
    </row>
    <row r="63" spans="1:11" ht="14.25" customHeight="1" x14ac:dyDescent="0.35">
      <c r="A63" s="8" t="s">
        <v>103</v>
      </c>
      <c r="B63" s="8" t="str">
        <f>TRIM('Raw Dataset'!B63)</f>
        <v>Flyover</v>
      </c>
      <c r="C63" s="8" t="str">
        <f>TRIM('Raw Dataset'!C63)</f>
        <v>Surabaya</v>
      </c>
      <c r="D63" s="8" t="str">
        <f>TRIM('Raw Dataset'!D63)</f>
        <v>Perbaikan Flyover Surabaya</v>
      </c>
      <c r="E63" s="14">
        <v>44958</v>
      </c>
      <c r="F63" s="14">
        <v>45158</v>
      </c>
      <c r="G63" s="10">
        <v>3678391600</v>
      </c>
      <c r="H63" s="8" t="str">
        <f>TRIM('Raw Dataset'!H63)</f>
        <v>PT B</v>
      </c>
      <c r="J63" t="str">
        <v>OK</v>
      </c>
      <c r="K63" t="str">
        <v>OK</v>
      </c>
    </row>
    <row r="64" spans="1:11" ht="14.25" customHeight="1" x14ac:dyDescent="0.35">
      <c r="A64" s="8" t="s">
        <v>104</v>
      </c>
      <c r="B64" s="8" t="str">
        <f>TRIM('Raw Dataset'!B64)</f>
        <v>Jalan Raya</v>
      </c>
      <c r="C64" s="8" t="str">
        <f>TRIM('Raw Dataset'!C64)</f>
        <v>Bandung</v>
      </c>
      <c r="D64" s="8" t="str">
        <f>TRIM('Raw Dataset'!D64)</f>
        <v>Perbaikan Jalan Raya Bandung</v>
      </c>
      <c r="E64" s="14">
        <v>44959</v>
      </c>
      <c r="F64" s="14">
        <v>45258</v>
      </c>
      <c r="G64" s="10">
        <v>888014731</v>
      </c>
      <c r="H64" s="8" t="str">
        <f>TRIM('Raw Dataset'!H64)</f>
        <v>PT B</v>
      </c>
      <c r="J64" t="str">
        <v>OK</v>
      </c>
      <c r="K64" t="str">
        <v>OK</v>
      </c>
    </row>
    <row r="65" spans="1:11" ht="14.25" customHeight="1" x14ac:dyDescent="0.35">
      <c r="A65" s="8" t="s">
        <v>105</v>
      </c>
      <c r="B65" s="8" t="str">
        <f>TRIM('Raw Dataset'!B65)</f>
        <v>Jalan Raya</v>
      </c>
      <c r="C65" s="8" t="str">
        <f>TRIM('Raw Dataset'!C65)</f>
        <v>Jakarta</v>
      </c>
      <c r="D65" s="8" t="str">
        <f>TRIM('Raw Dataset'!D65)</f>
        <v>Perbaikan Jalan Raya Jakarta</v>
      </c>
      <c r="E65" s="14">
        <v>44959</v>
      </c>
      <c r="F65" s="14">
        <v>45150</v>
      </c>
      <c r="G65" s="10">
        <v>593629020</v>
      </c>
      <c r="H65" s="8" t="str">
        <f>TRIM('Raw Dataset'!H65)</f>
        <v>PT D</v>
      </c>
      <c r="J65" t="str">
        <v>OK</v>
      </c>
      <c r="K65" t="str">
        <v>OK</v>
      </c>
    </row>
    <row r="66" spans="1:11" ht="14.25" customHeight="1" x14ac:dyDescent="0.35">
      <c r="A66" s="8" t="s">
        <v>106</v>
      </c>
      <c r="B66" s="8" t="str">
        <f>TRIM('Raw Dataset'!B66)</f>
        <v>Jembatan</v>
      </c>
      <c r="C66" s="8" t="str">
        <f>TRIM('Raw Dataset'!C66)</f>
        <v>Makassar</v>
      </c>
      <c r="D66" s="8" t="str">
        <f>TRIM('Raw Dataset'!D66)</f>
        <v>Pembuatan Jembatan Makassar</v>
      </c>
      <c r="E66" s="14">
        <v>44959</v>
      </c>
      <c r="F66" s="14">
        <v>45167</v>
      </c>
      <c r="G66" s="10">
        <v>5835541492</v>
      </c>
      <c r="H66" s="8" t="str">
        <f>TRIM('Raw Dataset'!H66)</f>
        <v/>
      </c>
      <c r="J66" t="str">
        <v>OK</v>
      </c>
      <c r="K66" t="str">
        <v>OK</v>
      </c>
    </row>
    <row r="67" spans="1:11" ht="14.25" customHeight="1" x14ac:dyDescent="0.35">
      <c r="A67" s="8" t="s">
        <v>107</v>
      </c>
      <c r="B67" s="8" t="str">
        <f>TRIM('Raw Dataset'!B67)</f>
        <v>Drainase</v>
      </c>
      <c r="C67" s="8" t="str">
        <f>TRIM('Raw Dataset'!C67)</f>
        <v>Bandung</v>
      </c>
      <c r="D67" s="8" t="str">
        <f>TRIM('Raw Dataset'!D67)</f>
        <v>Perbaikan Drainase Bandung</v>
      </c>
      <c r="E67" s="14">
        <v>44960</v>
      </c>
      <c r="F67" s="14">
        <v>45303</v>
      </c>
      <c r="G67" s="10">
        <v>213457440</v>
      </c>
      <c r="H67" s="8" t="str">
        <f>TRIM('Raw Dataset'!H67)</f>
        <v>PT A</v>
      </c>
      <c r="J67" t="str">
        <v>OK</v>
      </c>
      <c r="K67" t="str">
        <v>OK</v>
      </c>
    </row>
    <row r="68" spans="1:11" ht="14.25" customHeight="1" x14ac:dyDescent="0.35">
      <c r="A68" s="8" t="s">
        <v>108</v>
      </c>
      <c r="B68" s="8" t="str">
        <f>TRIM('Raw Dataset'!B68)</f>
        <v>Drainase</v>
      </c>
      <c r="C68" s="8" t="str">
        <f>TRIM('Raw Dataset'!C68)</f>
        <v>Jakarta</v>
      </c>
      <c r="D68" s="8" t="str">
        <f>TRIM('Raw Dataset'!D68)</f>
        <v>Perbaikan Drainase Jakarta</v>
      </c>
      <c r="E68" s="14">
        <v>44961</v>
      </c>
      <c r="F68" s="14">
        <v>45065</v>
      </c>
      <c r="G68" s="10">
        <v>327569561</v>
      </c>
      <c r="H68" s="8" t="str">
        <f>TRIM('Raw Dataset'!H68)</f>
        <v>PT A</v>
      </c>
      <c r="J68" t="str">
        <v>OK</v>
      </c>
      <c r="K68" t="str">
        <v>OK</v>
      </c>
    </row>
    <row r="69" spans="1:11" ht="14.25" customHeight="1" x14ac:dyDescent="0.35">
      <c r="A69" s="8" t="s">
        <v>109</v>
      </c>
      <c r="B69" s="8" t="str">
        <f>TRIM('Raw Dataset'!B69)</f>
        <v>Drainase</v>
      </c>
      <c r="C69" s="8" t="str">
        <f>TRIM('Raw Dataset'!C69)</f>
        <v>Jakarta</v>
      </c>
      <c r="D69" s="8" t="str">
        <f>TRIM('Raw Dataset'!D69)</f>
        <v>Perbaikan Drainase Jakarta</v>
      </c>
      <c r="E69" s="14">
        <v>44961</v>
      </c>
      <c r="F69" s="14">
        <v>45078</v>
      </c>
      <c r="G69" s="10">
        <v>705483967</v>
      </c>
      <c r="H69" s="8" t="str">
        <f>TRIM('Raw Dataset'!H69)</f>
        <v>CV Sihombing</v>
      </c>
      <c r="J69" t="str">
        <v>OK</v>
      </c>
      <c r="K69" t="str">
        <v>OK</v>
      </c>
    </row>
    <row r="70" spans="1:11" ht="14.25" customHeight="1" x14ac:dyDescent="0.35">
      <c r="A70" s="8" t="s">
        <v>110</v>
      </c>
      <c r="B70" s="8" t="str">
        <f>TRIM('Raw Dataset'!B70)</f>
        <v>Jembatan</v>
      </c>
      <c r="C70" s="8" t="str">
        <f>TRIM('Raw Dataset'!C70)</f>
        <v>Makassar</v>
      </c>
      <c r="D70" s="8" t="str">
        <f>TRIM('Raw Dataset'!D70)</f>
        <v>Perbaikan Jembatan Makassar</v>
      </c>
      <c r="E70" s="14">
        <v>44963</v>
      </c>
      <c r="F70" s="14">
        <v>45048</v>
      </c>
      <c r="G70" s="10">
        <v>3447782131</v>
      </c>
      <c r="H70" s="8" t="str">
        <f>TRIM('Raw Dataset'!H70)</f>
        <v>PT D</v>
      </c>
      <c r="J70" t="str">
        <v>OK</v>
      </c>
      <c r="K70" t="str">
        <v>OK</v>
      </c>
    </row>
    <row r="71" spans="1:11" ht="14.25" customHeight="1" x14ac:dyDescent="0.35">
      <c r="A71" s="8" t="s">
        <v>112</v>
      </c>
      <c r="B71" s="8" t="str">
        <f>TRIM('Raw Dataset'!B71)</f>
        <v>Flyover</v>
      </c>
      <c r="C71" s="8" t="str">
        <f>TRIM('Raw Dataset'!C71)</f>
        <v>Depok</v>
      </c>
      <c r="D71" s="8" t="str">
        <f>TRIM('Raw Dataset'!D71)</f>
        <v>Pembuatan Flyover Depok</v>
      </c>
      <c r="E71" s="14">
        <v>44963</v>
      </c>
      <c r="F71" s="14">
        <v>45313</v>
      </c>
      <c r="G71" s="10">
        <v>2635808219</v>
      </c>
      <c r="H71" s="8" t="str">
        <f>TRIM('Raw Dataset'!H71)</f>
        <v>PT B</v>
      </c>
      <c r="J71" t="str">
        <v>OK</v>
      </c>
      <c r="K71" t="str">
        <v>OK</v>
      </c>
    </row>
    <row r="72" spans="1:11" ht="14.25" customHeight="1" x14ac:dyDescent="0.35">
      <c r="A72" s="8" t="s">
        <v>113</v>
      </c>
      <c r="B72" s="8" t="str">
        <f>TRIM('Raw Dataset'!B72)</f>
        <v>Flyover</v>
      </c>
      <c r="C72" s="8" t="str">
        <f>TRIM('Raw Dataset'!C72)</f>
        <v>Surabaya</v>
      </c>
      <c r="D72" s="8" t="str">
        <f>TRIM('Raw Dataset'!D72)</f>
        <v>Pembuatan Flyover Surabaya</v>
      </c>
      <c r="E72" s="14">
        <v>44965</v>
      </c>
      <c r="F72" s="14">
        <v>45267</v>
      </c>
      <c r="G72" s="10">
        <v>2011712412</v>
      </c>
      <c r="H72" s="8" t="str">
        <f>TRIM('Raw Dataset'!H72)</f>
        <v>PT D</v>
      </c>
      <c r="J72" t="str">
        <v>OK</v>
      </c>
      <c r="K72" t="str">
        <v>OK</v>
      </c>
    </row>
    <row r="73" spans="1:11" ht="14.25" customHeight="1" x14ac:dyDescent="0.35">
      <c r="A73" s="8" t="s">
        <v>114</v>
      </c>
      <c r="B73" s="8" t="str">
        <f>TRIM('Raw Dataset'!B73)</f>
        <v>Flyover</v>
      </c>
      <c r="C73" s="8" t="str">
        <f>TRIM('Raw Dataset'!C73)</f>
        <v>Jakarta</v>
      </c>
      <c r="D73" s="8" t="str">
        <f>TRIM('Raw Dataset'!D73)</f>
        <v>Pembuatan Flyover Jakarta</v>
      </c>
      <c r="E73" s="14">
        <v>44965</v>
      </c>
      <c r="F73" s="14">
        <v>45066</v>
      </c>
      <c r="G73" s="10">
        <v>3202495526</v>
      </c>
      <c r="H73" s="8" t="str">
        <f>TRIM('Raw Dataset'!H73)</f>
        <v>CV Sihombing</v>
      </c>
      <c r="J73" t="str">
        <v>OK</v>
      </c>
      <c r="K73" t="str">
        <v>OK</v>
      </c>
    </row>
    <row r="74" spans="1:11" ht="14.25" customHeight="1" x14ac:dyDescent="0.35">
      <c r="A74" s="8" t="s">
        <v>115</v>
      </c>
      <c r="B74" s="8" t="str">
        <f>TRIM('Raw Dataset'!B74)</f>
        <v>Flyover</v>
      </c>
      <c r="C74" s="8" t="str">
        <f>TRIM('Raw Dataset'!C74)</f>
        <v>Surabaya</v>
      </c>
      <c r="D74" s="8" t="str">
        <f>TRIM('Raw Dataset'!D74)</f>
        <v>Perbaikan Flyover Surabaya</v>
      </c>
      <c r="E74" s="14">
        <v>44967</v>
      </c>
      <c r="F74" s="14">
        <v>45260</v>
      </c>
      <c r="G74" s="10">
        <v>1655558865</v>
      </c>
      <c r="H74" s="8" t="str">
        <f>TRIM('Raw Dataset'!H74)</f>
        <v>PT B</v>
      </c>
      <c r="J74" t="str">
        <v>OK</v>
      </c>
      <c r="K74" t="str">
        <v>OK</v>
      </c>
    </row>
    <row r="75" spans="1:11" ht="14.25" customHeight="1" x14ac:dyDescent="0.35">
      <c r="A75" s="8" t="s">
        <v>116</v>
      </c>
      <c r="B75" s="8" t="str">
        <f>TRIM('Raw Dataset'!B75)</f>
        <v>Flyover</v>
      </c>
      <c r="C75" s="8" t="str">
        <f>TRIM('Raw Dataset'!C75)</f>
        <v>Bandung</v>
      </c>
      <c r="D75" s="8" t="str">
        <f>TRIM('Raw Dataset'!D75)</f>
        <v>Pembuatan Flyover Bandung</v>
      </c>
      <c r="E75" s="14">
        <v>44967</v>
      </c>
      <c r="F75" s="14">
        <v>45099</v>
      </c>
      <c r="G75" s="10">
        <v>4806787932</v>
      </c>
      <c r="H75" s="8" t="str">
        <f>TRIM('Raw Dataset'!H75)</f>
        <v>CV Sihombing</v>
      </c>
      <c r="J75" t="str">
        <v>OK</v>
      </c>
      <c r="K75" t="str">
        <v>OK</v>
      </c>
    </row>
    <row r="76" spans="1:11" ht="14.25" customHeight="1" x14ac:dyDescent="0.35">
      <c r="A76" s="8" t="s">
        <v>117</v>
      </c>
      <c r="B76" s="8" t="str">
        <f>TRIM('Raw Dataset'!B76)</f>
        <v>Jalan Raya</v>
      </c>
      <c r="C76" s="8" t="str">
        <f>TRIM('Raw Dataset'!C76)</f>
        <v>Tomohon</v>
      </c>
      <c r="D76" s="8" t="str">
        <f>TRIM('Raw Dataset'!D76)</f>
        <v>Perbaikan Jalan Raya Tomohon</v>
      </c>
      <c r="E76" s="14">
        <v>44968</v>
      </c>
      <c r="F76" s="14">
        <v>45329</v>
      </c>
      <c r="G76" s="10">
        <v>699551361</v>
      </c>
      <c r="H76" s="8" t="str">
        <f>TRIM('Raw Dataset'!H76)</f>
        <v>PT A</v>
      </c>
      <c r="J76" t="str">
        <v>OK</v>
      </c>
      <c r="K76" t="str">
        <v>OK</v>
      </c>
    </row>
    <row r="77" spans="1:11" ht="14.25" customHeight="1" x14ac:dyDescent="0.35">
      <c r="A77" s="8" t="s">
        <v>118</v>
      </c>
      <c r="B77" s="8" t="str">
        <f>TRIM('Raw Dataset'!B77)</f>
        <v>Drainase</v>
      </c>
      <c r="C77" s="8" t="str">
        <f>TRIM('Raw Dataset'!C77)</f>
        <v>Bau-Bau</v>
      </c>
      <c r="D77" s="8" t="str">
        <f>TRIM('Raw Dataset'!D77)</f>
        <v>Perbaikan Drainase Bau-Bau</v>
      </c>
      <c r="E77" s="14">
        <v>44968</v>
      </c>
      <c r="F77" s="14">
        <v>45186</v>
      </c>
      <c r="G77" s="10">
        <v>363997813</v>
      </c>
      <c r="H77" s="8" t="str">
        <f>TRIM('Raw Dataset'!H77)</f>
        <v>PT. Yuniar Hakim Tbk</v>
      </c>
      <c r="J77" t="str">
        <v>OK</v>
      </c>
      <c r="K77" t="str">
        <v>OK</v>
      </c>
    </row>
    <row r="78" spans="1:11" ht="14.25" customHeight="1" x14ac:dyDescent="0.35">
      <c r="A78" s="8" t="s">
        <v>119</v>
      </c>
      <c r="B78" s="8" t="str">
        <f>TRIM('Raw Dataset'!B78)</f>
        <v>Jalan Raya</v>
      </c>
      <c r="C78" s="8" t="str">
        <f>TRIM('Raw Dataset'!C78)</f>
        <v>Depok</v>
      </c>
      <c r="D78" s="8" t="str">
        <f>TRIM('Raw Dataset'!D78)</f>
        <v>Perbaikan Jalan Raya Depok</v>
      </c>
      <c r="E78" s="14">
        <v>44969</v>
      </c>
      <c r="F78" s="14">
        <v>45123</v>
      </c>
      <c r="G78" s="10">
        <v>926922328</v>
      </c>
      <c r="H78" s="8" t="str">
        <f>TRIM('Raw Dataset'!H78)</f>
        <v>PT C</v>
      </c>
      <c r="J78" t="str">
        <v>OK</v>
      </c>
      <c r="K78" t="str">
        <v>OK</v>
      </c>
    </row>
    <row r="79" spans="1:11" ht="14.25" customHeight="1" x14ac:dyDescent="0.35">
      <c r="A79" s="8" t="s">
        <v>120</v>
      </c>
      <c r="B79" s="11"/>
      <c r="C79" s="11"/>
      <c r="D79" s="11"/>
      <c r="E79" s="14">
        <v>44969</v>
      </c>
      <c r="F79" s="14">
        <v>45030</v>
      </c>
      <c r="G79" s="10">
        <v>314690070</v>
      </c>
      <c r="H79" s="8" t="str">
        <f>TRIM('Raw Dataset'!H79)</f>
        <v>CV Sihombing</v>
      </c>
      <c r="J79" t="str">
        <v>OK</v>
      </c>
      <c r="K79" t="str">
        <v>OK</v>
      </c>
    </row>
    <row r="80" spans="1:11" ht="14.25" customHeight="1" x14ac:dyDescent="0.35">
      <c r="A80" s="8" t="s">
        <v>122</v>
      </c>
      <c r="B80" s="8" t="s">
        <v>35</v>
      </c>
      <c r="C80" s="8" t="s">
        <v>48</v>
      </c>
      <c r="D80" s="8" t="s">
        <v>49</v>
      </c>
      <c r="E80" s="14">
        <v>44971</v>
      </c>
      <c r="F80" s="14">
        <v>45232</v>
      </c>
      <c r="G80" s="10">
        <v>708312743</v>
      </c>
      <c r="H80" s="8" t="str">
        <f>TRIM('Raw Dataset'!H80)</f>
        <v>PT D</v>
      </c>
      <c r="J80" t="str">
        <v>OK</v>
      </c>
      <c r="K80" t="str">
        <v>OK</v>
      </c>
    </row>
    <row r="81" spans="1:11" ht="14.25" customHeight="1" x14ac:dyDescent="0.35">
      <c r="A81" s="8" t="s">
        <v>123</v>
      </c>
      <c r="B81" s="8" t="s">
        <v>35</v>
      </c>
      <c r="C81" s="8" t="s">
        <v>42</v>
      </c>
      <c r="D81" s="8" t="s">
        <v>69</v>
      </c>
      <c r="E81" s="14">
        <v>44971</v>
      </c>
      <c r="F81" s="14">
        <v>45228</v>
      </c>
      <c r="G81" s="10">
        <v>419037113</v>
      </c>
      <c r="H81" s="8" t="str">
        <f>TRIM('Raw Dataset'!H81)</f>
        <v>PT A</v>
      </c>
      <c r="J81" t="str">
        <v>OK</v>
      </c>
      <c r="K81" t="str">
        <v>OK</v>
      </c>
    </row>
    <row r="82" spans="1:11" ht="14.25" customHeight="1" x14ac:dyDescent="0.35">
      <c r="A82" s="8" t="s">
        <v>124</v>
      </c>
      <c r="B82" s="8" t="s">
        <v>35</v>
      </c>
      <c r="C82" s="8" t="s">
        <v>39</v>
      </c>
      <c r="D82" s="8" t="s">
        <v>145</v>
      </c>
      <c r="E82" s="14">
        <v>44972</v>
      </c>
      <c r="F82" s="14">
        <v>45130</v>
      </c>
      <c r="G82" s="10">
        <v>500841363</v>
      </c>
      <c r="H82" s="8" t="str">
        <f>TRIM('Raw Dataset'!H82)</f>
        <v>PT. Yuniar Hakim Tbk</v>
      </c>
      <c r="J82" t="str">
        <v>OK</v>
      </c>
      <c r="K82" t="str">
        <v>OK</v>
      </c>
    </row>
    <row r="83" spans="1:11" ht="14.25" customHeight="1" x14ac:dyDescent="0.35">
      <c r="A83" s="8" t="s">
        <v>125</v>
      </c>
      <c r="B83" s="8" t="s">
        <v>12</v>
      </c>
      <c r="C83" s="8" t="s">
        <v>39</v>
      </c>
      <c r="D83" s="8" t="s">
        <v>591</v>
      </c>
      <c r="E83" s="14">
        <v>44973</v>
      </c>
      <c r="F83" s="14">
        <v>45289</v>
      </c>
      <c r="G83" s="10">
        <v>209304110</v>
      </c>
      <c r="H83" s="8" t="str">
        <f>TRIM('Raw Dataset'!H83)</f>
        <v>PT. Yuniar Hakim Tbk</v>
      </c>
      <c r="J83" t="str">
        <v>OK</v>
      </c>
      <c r="K83" t="str">
        <v>OK</v>
      </c>
    </row>
    <row r="84" spans="1:11" ht="14.25" customHeight="1" x14ac:dyDescent="0.35">
      <c r="A84" s="8" t="s">
        <v>126</v>
      </c>
      <c r="B84" s="8" t="s">
        <v>30</v>
      </c>
      <c r="C84" s="8" t="s">
        <v>42</v>
      </c>
      <c r="D84" s="8" t="s">
        <v>627</v>
      </c>
      <c r="E84" s="14">
        <v>44974</v>
      </c>
      <c r="F84" s="14">
        <v>45082</v>
      </c>
      <c r="G84" s="10">
        <v>3686469051</v>
      </c>
      <c r="H84" s="8" t="str">
        <f>TRIM('Raw Dataset'!H84)</f>
        <v>PT. Yuniar Hakim Tbk</v>
      </c>
      <c r="J84" t="str">
        <v>OK</v>
      </c>
      <c r="K84" t="str">
        <v>OK</v>
      </c>
    </row>
    <row r="85" spans="1:11" ht="14.25" customHeight="1" x14ac:dyDescent="0.35">
      <c r="A85" s="8" t="s">
        <v>127</v>
      </c>
      <c r="B85" s="8" t="s">
        <v>12</v>
      </c>
      <c r="C85" s="8" t="s">
        <v>36</v>
      </c>
      <c r="D85" s="8" t="s">
        <v>578</v>
      </c>
      <c r="E85" s="14">
        <v>44974</v>
      </c>
      <c r="F85" s="14">
        <v>45112</v>
      </c>
      <c r="G85" s="10">
        <v>353290709</v>
      </c>
      <c r="H85" s="8" t="str">
        <f>TRIM('Raw Dataset'!H85)</f>
        <v>PT. Lailasari Hariyah (Persero) Tbk</v>
      </c>
      <c r="J85" t="str">
        <v>OK</v>
      </c>
      <c r="K85" t="str">
        <v>OK</v>
      </c>
    </row>
    <row r="86" spans="1:11" ht="14.25" customHeight="1" x14ac:dyDescent="0.35">
      <c r="A86" s="8" t="s">
        <v>128</v>
      </c>
      <c r="B86" s="8" t="s">
        <v>18</v>
      </c>
      <c r="C86" s="8" t="s">
        <v>39</v>
      </c>
      <c r="D86" s="8" t="s">
        <v>577</v>
      </c>
      <c r="E86" s="14">
        <v>44974</v>
      </c>
      <c r="F86" s="14">
        <v>45230</v>
      </c>
      <c r="G86" s="10">
        <v>8935017863</v>
      </c>
      <c r="H86" s="8" t="str">
        <f>TRIM('Raw Dataset'!H86)</f>
        <v>PT A</v>
      </c>
      <c r="J86" t="str">
        <v>OK</v>
      </c>
      <c r="K86" t="str">
        <v>OK</v>
      </c>
    </row>
    <row r="87" spans="1:11" ht="14.25" customHeight="1" x14ac:dyDescent="0.35">
      <c r="A87" s="8" t="s">
        <v>129</v>
      </c>
      <c r="B87" s="8" t="s">
        <v>30</v>
      </c>
      <c r="C87" s="8" t="s">
        <v>31</v>
      </c>
      <c r="D87" s="8" t="s">
        <v>585</v>
      </c>
      <c r="E87" s="14">
        <v>44975</v>
      </c>
      <c r="F87" s="14">
        <v>45193</v>
      </c>
      <c r="G87" s="10">
        <v>5518454926</v>
      </c>
      <c r="H87" s="8" t="str">
        <f>TRIM('Raw Dataset'!H87)</f>
        <v>PT C</v>
      </c>
      <c r="J87" t="str">
        <v>OK</v>
      </c>
      <c r="K87" t="str">
        <v>OK</v>
      </c>
    </row>
    <row r="88" spans="1:11" ht="14.25" customHeight="1" x14ac:dyDescent="0.35">
      <c r="A88" s="8" t="s">
        <v>130</v>
      </c>
      <c r="B88" s="8" t="s">
        <v>60</v>
      </c>
      <c r="C88" s="8" t="s">
        <v>42</v>
      </c>
      <c r="D88" s="8" t="s">
        <v>617</v>
      </c>
      <c r="E88" s="14">
        <v>44975</v>
      </c>
      <c r="F88" s="14">
        <v>45256</v>
      </c>
      <c r="G88" s="10">
        <v>3367495384</v>
      </c>
      <c r="H88" s="8" t="str">
        <f>TRIM('Raw Dataset'!H88)</f>
        <v/>
      </c>
      <c r="J88" t="str">
        <v>OK</v>
      </c>
      <c r="K88" t="str">
        <v>OK</v>
      </c>
    </row>
    <row r="89" spans="1:11" ht="14.25" customHeight="1" x14ac:dyDescent="0.35">
      <c r="A89" s="8" t="s">
        <v>131</v>
      </c>
      <c r="B89" s="8" t="s">
        <v>60</v>
      </c>
      <c r="C89" s="8" t="s">
        <v>36</v>
      </c>
      <c r="D89" s="8" t="s">
        <v>628</v>
      </c>
      <c r="E89" s="14">
        <v>44976</v>
      </c>
      <c r="F89" s="14">
        <v>45307</v>
      </c>
      <c r="G89" s="10">
        <v>2293993253</v>
      </c>
      <c r="H89" s="8" t="str">
        <f>TRIM('Raw Dataset'!H89)</f>
        <v>PT C</v>
      </c>
      <c r="J89" t="str">
        <v>OK</v>
      </c>
      <c r="K89" t="str">
        <v>OK</v>
      </c>
    </row>
    <row r="90" spans="1:11" ht="14.25" customHeight="1" x14ac:dyDescent="0.35">
      <c r="A90" s="8" t="s">
        <v>132</v>
      </c>
      <c r="B90" s="8" t="s">
        <v>60</v>
      </c>
      <c r="C90" s="8" t="s">
        <v>19</v>
      </c>
      <c r="D90" s="8" t="s">
        <v>616</v>
      </c>
      <c r="E90" s="14">
        <v>44976</v>
      </c>
      <c r="F90" s="14">
        <v>45318</v>
      </c>
      <c r="G90" s="10">
        <v>1790927128</v>
      </c>
      <c r="H90" s="8" t="str">
        <f>TRIM('Raw Dataset'!H90)</f>
        <v>PT D</v>
      </c>
      <c r="J90" t="str">
        <v>OK</v>
      </c>
      <c r="K90" t="str">
        <v>OK</v>
      </c>
    </row>
    <row r="91" spans="1:11" ht="14.25" customHeight="1" x14ac:dyDescent="0.35">
      <c r="A91" s="8" t="s">
        <v>134</v>
      </c>
      <c r="B91" s="8" t="s">
        <v>18</v>
      </c>
      <c r="C91" s="8" t="s">
        <v>39</v>
      </c>
      <c r="D91" s="11"/>
      <c r="E91" s="14">
        <v>44977</v>
      </c>
      <c r="F91" s="14">
        <v>45285</v>
      </c>
      <c r="G91" s="10">
        <v>7432359735</v>
      </c>
      <c r="H91" s="8" t="str">
        <f>TRIM('Raw Dataset'!H91)</f>
        <v/>
      </c>
      <c r="J91" t="str">
        <v>OK</v>
      </c>
      <c r="K91" t="str">
        <v>OK</v>
      </c>
    </row>
    <row r="92" spans="1:11" ht="14.25" customHeight="1" x14ac:dyDescent="0.35">
      <c r="A92" s="8" t="s">
        <v>136</v>
      </c>
      <c r="B92" s="8" t="s">
        <v>18</v>
      </c>
      <c r="C92" s="8" t="s">
        <v>48</v>
      </c>
      <c r="D92" s="8" t="s">
        <v>629</v>
      </c>
      <c r="E92" s="14">
        <v>44977</v>
      </c>
      <c r="F92" s="14">
        <v>45233</v>
      </c>
      <c r="G92" s="10">
        <v>7645065116</v>
      </c>
      <c r="H92" s="8" t="str">
        <f>TRIM('Raw Dataset'!H92)</f>
        <v/>
      </c>
      <c r="J92" t="str">
        <v>OK</v>
      </c>
      <c r="K92" t="str">
        <v>OK</v>
      </c>
    </row>
    <row r="93" spans="1:11" ht="14.25" customHeight="1" x14ac:dyDescent="0.35">
      <c r="A93" s="8" t="s">
        <v>137</v>
      </c>
      <c r="B93" s="8" t="s">
        <v>30</v>
      </c>
      <c r="C93" s="8" t="s">
        <v>13</v>
      </c>
      <c r="D93" s="8" t="s">
        <v>630</v>
      </c>
      <c r="E93" s="14">
        <v>44979</v>
      </c>
      <c r="F93" s="14">
        <v>45295</v>
      </c>
      <c r="G93" s="10">
        <v>5522312320</v>
      </c>
      <c r="H93" s="8" t="str">
        <f>TRIM('Raw Dataset'!H93)</f>
        <v>PT. Yuniar Hakim Tbk</v>
      </c>
      <c r="J93" t="str">
        <v>OK</v>
      </c>
      <c r="K93" t="str">
        <v>OK</v>
      </c>
    </row>
    <row r="94" spans="1:11" ht="14.25" customHeight="1" x14ac:dyDescent="0.35">
      <c r="A94" s="8" t="s">
        <v>138</v>
      </c>
      <c r="B94" s="8" t="s">
        <v>12</v>
      </c>
      <c r="C94" s="8" t="s">
        <v>42</v>
      </c>
      <c r="D94" s="8" t="s">
        <v>603</v>
      </c>
      <c r="E94" s="14">
        <v>44979</v>
      </c>
      <c r="F94" s="14">
        <v>45074</v>
      </c>
      <c r="G94" s="10">
        <v>934325560</v>
      </c>
      <c r="H94" s="8" t="str">
        <f>TRIM('Raw Dataset'!H94)</f>
        <v>PT D</v>
      </c>
      <c r="J94" t="str">
        <v>OK</v>
      </c>
      <c r="K94" t="str">
        <v>OK</v>
      </c>
    </row>
    <row r="95" spans="1:11" ht="14.25" customHeight="1" x14ac:dyDescent="0.35">
      <c r="A95" s="8" t="s">
        <v>139</v>
      </c>
      <c r="B95" s="8" t="s">
        <v>12</v>
      </c>
      <c r="C95" s="8" t="s">
        <v>19</v>
      </c>
      <c r="D95" s="8" t="s">
        <v>631</v>
      </c>
      <c r="E95" s="14">
        <v>44979</v>
      </c>
      <c r="F95" s="14">
        <v>45058</v>
      </c>
      <c r="G95" s="10">
        <v>121142623</v>
      </c>
      <c r="H95" s="8" t="str">
        <f>TRIM('Raw Dataset'!H95)</f>
        <v>CV Sihombing</v>
      </c>
      <c r="J95" t="str">
        <v>OK</v>
      </c>
      <c r="K95" t="str">
        <v>OK</v>
      </c>
    </row>
    <row r="96" spans="1:11" ht="14.25" customHeight="1" x14ac:dyDescent="0.35">
      <c r="A96" s="8" t="s">
        <v>140</v>
      </c>
      <c r="B96" s="8" t="s">
        <v>30</v>
      </c>
      <c r="C96" s="8" t="s">
        <v>42</v>
      </c>
      <c r="D96" s="8" t="s">
        <v>632</v>
      </c>
      <c r="E96" s="14">
        <v>44982</v>
      </c>
      <c r="F96" s="14">
        <v>45181</v>
      </c>
      <c r="G96" s="10">
        <v>1493231996</v>
      </c>
      <c r="H96" s="8" t="str">
        <f>TRIM('Raw Dataset'!H96)</f>
        <v>PT C</v>
      </c>
      <c r="J96" t="str">
        <v>OK</v>
      </c>
      <c r="K96" t="str">
        <v>OK</v>
      </c>
    </row>
    <row r="97" spans="1:11" ht="14.25" customHeight="1" x14ac:dyDescent="0.35">
      <c r="A97" s="8" t="s">
        <v>141</v>
      </c>
      <c r="B97" s="8" t="s">
        <v>30</v>
      </c>
      <c r="C97" s="8" t="s">
        <v>39</v>
      </c>
      <c r="D97" s="8" t="s">
        <v>590</v>
      </c>
      <c r="E97" s="14">
        <v>44984</v>
      </c>
      <c r="F97" s="14">
        <v>45324</v>
      </c>
      <c r="G97" s="10">
        <v>5860997586</v>
      </c>
      <c r="H97" s="8" t="str">
        <f>TRIM('Raw Dataset'!H97)</f>
        <v>PT. Lailasari Hariyah (Persero) Tbk</v>
      </c>
      <c r="J97" t="str">
        <v>OK</v>
      </c>
      <c r="K97" t="str">
        <v>OK</v>
      </c>
    </row>
    <row r="98" spans="1:11" ht="14.25" customHeight="1" x14ac:dyDescent="0.35">
      <c r="A98" s="8" t="s">
        <v>142</v>
      </c>
      <c r="B98" s="8" t="s">
        <v>35</v>
      </c>
      <c r="C98" s="8" t="s">
        <v>39</v>
      </c>
      <c r="D98" s="8" t="s">
        <v>145</v>
      </c>
      <c r="E98" s="14">
        <v>44984</v>
      </c>
      <c r="F98" s="14">
        <v>45149</v>
      </c>
      <c r="G98" s="10">
        <v>551513519</v>
      </c>
      <c r="H98" s="8" t="str">
        <f>TRIM('Raw Dataset'!H98)</f>
        <v>CV Sihombing</v>
      </c>
      <c r="J98" t="str">
        <v>OK</v>
      </c>
      <c r="K98" t="str">
        <v>OK</v>
      </c>
    </row>
    <row r="99" spans="1:11" ht="14.25" customHeight="1" x14ac:dyDescent="0.35">
      <c r="A99" s="8" t="s">
        <v>144</v>
      </c>
      <c r="B99" s="8" t="s">
        <v>12</v>
      </c>
      <c r="C99" s="8" t="s">
        <v>48</v>
      </c>
      <c r="D99" s="8" t="s">
        <v>602</v>
      </c>
      <c r="E99" s="14">
        <v>44985</v>
      </c>
      <c r="F99" s="14">
        <v>45186</v>
      </c>
      <c r="G99" s="10">
        <v>359783228</v>
      </c>
      <c r="H99" s="8" t="str">
        <f>TRIM('Raw Dataset'!H99)</f>
        <v>CV Sihombing</v>
      </c>
      <c r="J99" t="str">
        <v>OK</v>
      </c>
      <c r="K99" t="str">
        <v>OK</v>
      </c>
    </row>
    <row r="100" spans="1:11" ht="14.25" customHeight="1" x14ac:dyDescent="0.35">
      <c r="A100" s="8" t="s">
        <v>146</v>
      </c>
      <c r="B100" s="8" t="s">
        <v>60</v>
      </c>
      <c r="C100" s="8" t="s">
        <v>48</v>
      </c>
      <c r="D100" s="8" t="s">
        <v>622</v>
      </c>
      <c r="E100" s="14">
        <v>44986</v>
      </c>
      <c r="F100" s="14">
        <v>45105</v>
      </c>
      <c r="G100" s="10">
        <v>4429242773</v>
      </c>
      <c r="H100" s="8" t="str">
        <f>TRIM('Raw Dataset'!H100)</f>
        <v>PT D</v>
      </c>
      <c r="J100" t="str">
        <v>OK</v>
      </c>
      <c r="K100" t="str">
        <v>OK</v>
      </c>
    </row>
    <row r="101" spans="1:11" ht="14.25" customHeight="1" x14ac:dyDescent="0.35">
      <c r="A101" s="8" t="s">
        <v>147</v>
      </c>
      <c r="B101" s="8" t="s">
        <v>18</v>
      </c>
      <c r="C101" s="8" t="s">
        <v>13</v>
      </c>
      <c r="D101" s="8" t="s">
        <v>580</v>
      </c>
      <c r="E101" s="14">
        <v>44987</v>
      </c>
      <c r="F101" s="14">
        <v>45234</v>
      </c>
      <c r="G101" s="10">
        <v>2034415367</v>
      </c>
      <c r="H101" s="8" t="str">
        <f>TRIM('Raw Dataset'!H101)</f>
        <v>PT B</v>
      </c>
      <c r="J101" t="str">
        <v>OK</v>
      </c>
      <c r="K101" t="str">
        <v>OK</v>
      </c>
    </row>
    <row r="102" spans="1:11" ht="14.25" customHeight="1" x14ac:dyDescent="0.35">
      <c r="A102" s="8" t="s">
        <v>148</v>
      </c>
      <c r="B102" s="8" t="s">
        <v>30</v>
      </c>
      <c r="C102" s="8" t="s">
        <v>42</v>
      </c>
      <c r="D102" s="8" t="s">
        <v>627</v>
      </c>
      <c r="E102" s="14">
        <v>44989</v>
      </c>
      <c r="F102" s="14">
        <v>45301</v>
      </c>
      <c r="G102" s="10">
        <v>1597122511</v>
      </c>
      <c r="H102" s="8" t="str">
        <f>TRIM('Raw Dataset'!H102)</f>
        <v>CV Sihombing</v>
      </c>
      <c r="J102" t="str">
        <v>OK</v>
      </c>
      <c r="K102" t="str">
        <v>OK</v>
      </c>
    </row>
    <row r="103" spans="1:11" ht="14.25" customHeight="1" x14ac:dyDescent="0.35">
      <c r="A103" s="8" t="s">
        <v>149</v>
      </c>
      <c r="B103" s="8" t="s">
        <v>12</v>
      </c>
      <c r="C103" s="8" t="s">
        <v>42</v>
      </c>
      <c r="D103" s="8" t="s">
        <v>603</v>
      </c>
      <c r="E103" s="14">
        <v>44989</v>
      </c>
      <c r="F103" s="14">
        <v>45120</v>
      </c>
      <c r="G103" s="10">
        <v>966519099</v>
      </c>
      <c r="H103" s="8" t="str">
        <f>TRIM('Raw Dataset'!H103)</f>
        <v>PT C</v>
      </c>
      <c r="J103" t="str">
        <v>OK</v>
      </c>
      <c r="K103" t="str">
        <v>OK</v>
      </c>
    </row>
    <row r="104" spans="1:11" ht="14.25" customHeight="1" x14ac:dyDescent="0.35">
      <c r="A104" s="8" t="s">
        <v>150</v>
      </c>
      <c r="B104" s="8" t="s">
        <v>12</v>
      </c>
      <c r="C104" s="8" t="s">
        <v>13</v>
      </c>
      <c r="D104" s="8" t="s">
        <v>605</v>
      </c>
      <c r="E104" s="14">
        <v>44990</v>
      </c>
      <c r="F104" s="14">
        <v>45158</v>
      </c>
      <c r="G104" s="10">
        <v>881938572</v>
      </c>
      <c r="H104" s="8" t="str">
        <f>TRIM('Raw Dataset'!H104)</f>
        <v>PT. Yuniar Hakim Tbk</v>
      </c>
      <c r="J104" t="str">
        <v>OK</v>
      </c>
      <c r="K104" t="str">
        <v>OK</v>
      </c>
    </row>
    <row r="105" spans="1:11" ht="14.25" customHeight="1" x14ac:dyDescent="0.35">
      <c r="A105" s="8" t="s">
        <v>151</v>
      </c>
      <c r="B105" s="8" t="s">
        <v>60</v>
      </c>
      <c r="C105" s="8" t="s">
        <v>39</v>
      </c>
      <c r="D105" s="8" t="s">
        <v>626</v>
      </c>
      <c r="E105" s="14">
        <v>44990</v>
      </c>
      <c r="F105" s="14">
        <v>45020</v>
      </c>
      <c r="G105" s="10">
        <v>4508122990</v>
      </c>
      <c r="H105" s="8" t="str">
        <f>TRIM('Raw Dataset'!H105)</f>
        <v>PT D</v>
      </c>
      <c r="J105" t="str">
        <v>OK</v>
      </c>
      <c r="K105" t="str">
        <v>OK</v>
      </c>
    </row>
    <row r="106" spans="1:11" ht="14.25" customHeight="1" x14ac:dyDescent="0.35">
      <c r="A106" s="8" t="s">
        <v>152</v>
      </c>
      <c r="B106" s="8" t="s">
        <v>60</v>
      </c>
      <c r="C106" s="8" t="s">
        <v>42</v>
      </c>
      <c r="D106" s="8" t="s">
        <v>587</v>
      </c>
      <c r="E106" s="14">
        <v>44990</v>
      </c>
      <c r="F106" s="14">
        <v>45311</v>
      </c>
      <c r="G106" s="10">
        <v>1863372939</v>
      </c>
      <c r="H106" s="8" t="str">
        <f>TRIM('Raw Dataset'!H106)</f>
        <v>CV Sihombing</v>
      </c>
      <c r="J106" t="str">
        <v>OK</v>
      </c>
      <c r="K106" t="str">
        <v>OK</v>
      </c>
    </row>
    <row r="107" spans="1:11" ht="14.25" customHeight="1" x14ac:dyDescent="0.35">
      <c r="A107" s="8" t="s">
        <v>153</v>
      </c>
      <c r="B107" s="8" t="s">
        <v>35</v>
      </c>
      <c r="C107" s="8" t="s">
        <v>13</v>
      </c>
      <c r="D107" s="8" t="s">
        <v>78</v>
      </c>
      <c r="E107" s="14">
        <v>44991</v>
      </c>
      <c r="F107" s="14">
        <v>45062</v>
      </c>
      <c r="G107" s="10">
        <v>512883235</v>
      </c>
      <c r="H107" s="8" t="str">
        <f>TRIM('Raw Dataset'!H107)</f>
        <v>PT. Lailasari Hariyah (Persero) Tbk</v>
      </c>
      <c r="J107" t="str">
        <v>OK</v>
      </c>
      <c r="K107" t="str">
        <v>OK</v>
      </c>
    </row>
    <row r="108" spans="1:11" ht="14.25" customHeight="1" x14ac:dyDescent="0.35">
      <c r="A108" s="8" t="s">
        <v>155</v>
      </c>
      <c r="B108" s="8" t="s">
        <v>18</v>
      </c>
      <c r="C108" s="8" t="s">
        <v>42</v>
      </c>
      <c r="D108" s="8" t="s">
        <v>621</v>
      </c>
      <c r="E108" s="14">
        <v>44991</v>
      </c>
      <c r="F108" s="14">
        <v>45338</v>
      </c>
      <c r="G108" s="10">
        <v>4679669631</v>
      </c>
      <c r="H108" s="8" t="str">
        <f>TRIM('Raw Dataset'!H108)</f>
        <v>CV Sihombing</v>
      </c>
      <c r="J108" t="str">
        <v>OK</v>
      </c>
      <c r="K108" t="str">
        <v>OK</v>
      </c>
    </row>
    <row r="109" spans="1:11" ht="14.25" customHeight="1" x14ac:dyDescent="0.35">
      <c r="A109" s="8" t="s">
        <v>156</v>
      </c>
      <c r="B109" s="8" t="s">
        <v>30</v>
      </c>
      <c r="C109" s="8" t="s">
        <v>31</v>
      </c>
      <c r="D109" s="8" t="s">
        <v>595</v>
      </c>
      <c r="E109" s="14">
        <v>44991</v>
      </c>
      <c r="F109" s="14">
        <v>45269</v>
      </c>
      <c r="G109" s="10">
        <v>4513453864</v>
      </c>
      <c r="H109" s="8" t="str">
        <f>TRIM('Raw Dataset'!H109)</f>
        <v>PT. Lailasari Hariyah (Persero) Tbk</v>
      </c>
      <c r="J109" t="str">
        <v>OK</v>
      </c>
      <c r="K109" t="str">
        <v>OK</v>
      </c>
    </row>
    <row r="110" spans="1:11" ht="14.25" customHeight="1" x14ac:dyDescent="0.35">
      <c r="A110" s="8" t="s">
        <v>157</v>
      </c>
      <c r="B110" s="8" t="s">
        <v>30</v>
      </c>
      <c r="C110" s="8" t="s">
        <v>36</v>
      </c>
      <c r="D110" s="8" t="s">
        <v>614</v>
      </c>
      <c r="E110" s="14">
        <v>44992</v>
      </c>
      <c r="F110" s="14">
        <v>45322</v>
      </c>
      <c r="G110" s="10">
        <v>7126604362</v>
      </c>
      <c r="H110" s="8" t="str">
        <f>TRIM('Raw Dataset'!H110)</f>
        <v>PT D</v>
      </c>
      <c r="J110" t="str">
        <v>OK</v>
      </c>
      <c r="K110" t="str">
        <v>OK</v>
      </c>
    </row>
    <row r="111" spans="1:11" ht="14.25" customHeight="1" x14ac:dyDescent="0.35">
      <c r="A111" s="8" t="s">
        <v>158</v>
      </c>
      <c r="B111" s="8" t="s">
        <v>30</v>
      </c>
      <c r="C111" s="8" t="s">
        <v>42</v>
      </c>
      <c r="D111" s="8" t="s">
        <v>627</v>
      </c>
      <c r="E111" s="14">
        <v>44994</v>
      </c>
      <c r="F111" s="14">
        <v>45241</v>
      </c>
      <c r="G111" s="10">
        <v>4952427692</v>
      </c>
      <c r="H111" s="8" t="str">
        <f>TRIM('Raw Dataset'!H111)</f>
        <v>PT. Lailasari Hariyah (Persero) Tbk</v>
      </c>
      <c r="J111" t="str">
        <v>OK</v>
      </c>
      <c r="K111" t="str">
        <v>OK</v>
      </c>
    </row>
    <row r="112" spans="1:11" ht="14.25" customHeight="1" x14ac:dyDescent="0.35">
      <c r="A112" s="8" t="s">
        <v>159</v>
      </c>
      <c r="B112" s="8" t="s">
        <v>35</v>
      </c>
      <c r="C112" s="8" t="s">
        <v>31</v>
      </c>
      <c r="D112" s="8" t="s">
        <v>91</v>
      </c>
      <c r="E112" s="14">
        <v>44994</v>
      </c>
      <c r="F112" s="14">
        <v>45231</v>
      </c>
      <c r="G112" s="10">
        <v>542759810</v>
      </c>
      <c r="H112" s="8" t="str">
        <f>TRIM('Raw Dataset'!H112)</f>
        <v>CV Sihombing</v>
      </c>
      <c r="J112" t="str">
        <v>OK</v>
      </c>
      <c r="K112" t="str">
        <v>OK</v>
      </c>
    </row>
    <row r="113" spans="1:11" ht="14.25" customHeight="1" x14ac:dyDescent="0.35">
      <c r="A113" s="8" t="s">
        <v>161</v>
      </c>
      <c r="B113" s="8" t="s">
        <v>18</v>
      </c>
      <c r="C113" s="8" t="s">
        <v>48</v>
      </c>
      <c r="D113" s="8" t="s">
        <v>629</v>
      </c>
      <c r="E113" s="14">
        <v>44994</v>
      </c>
      <c r="F113" s="14">
        <v>45074</v>
      </c>
      <c r="G113" s="10">
        <v>5059161734</v>
      </c>
      <c r="H113" s="8" t="str">
        <f>TRIM('Raw Dataset'!H113)</f>
        <v>PT D</v>
      </c>
      <c r="J113" t="str">
        <v>OK</v>
      </c>
      <c r="K113" t="str">
        <v>OK</v>
      </c>
    </row>
    <row r="114" spans="1:11" ht="14.25" customHeight="1" x14ac:dyDescent="0.35">
      <c r="A114" s="8" t="s">
        <v>162</v>
      </c>
      <c r="B114" s="8" t="s">
        <v>30</v>
      </c>
      <c r="C114" s="8" t="s">
        <v>31</v>
      </c>
      <c r="D114" s="8" t="s">
        <v>585</v>
      </c>
      <c r="E114" s="14">
        <v>44996</v>
      </c>
      <c r="F114" s="14">
        <v>45203</v>
      </c>
      <c r="G114" s="10">
        <v>5462259142</v>
      </c>
      <c r="H114" s="8" t="str">
        <f>TRIM('Raw Dataset'!H114)</f>
        <v>PT A</v>
      </c>
      <c r="J114" t="str">
        <v>OK</v>
      </c>
      <c r="K114" t="str">
        <v>OK</v>
      </c>
    </row>
    <row r="115" spans="1:11" ht="14.25" customHeight="1" x14ac:dyDescent="0.35">
      <c r="A115" s="8" t="s">
        <v>163</v>
      </c>
      <c r="B115" s="8" t="s">
        <v>60</v>
      </c>
      <c r="C115" s="8" t="s">
        <v>13</v>
      </c>
      <c r="D115" s="8" t="s">
        <v>619</v>
      </c>
      <c r="E115" s="14">
        <v>44996</v>
      </c>
      <c r="F115" s="14">
        <v>45181</v>
      </c>
      <c r="G115" s="10">
        <v>3922070251</v>
      </c>
      <c r="H115" s="8" t="str">
        <f>TRIM('Raw Dataset'!H115)</f>
        <v>PT D</v>
      </c>
      <c r="J115" t="str">
        <v>OK</v>
      </c>
      <c r="K115" t="str">
        <v>OK</v>
      </c>
    </row>
    <row r="116" spans="1:11" ht="14.25" customHeight="1" x14ac:dyDescent="0.35">
      <c r="A116" s="8" t="s">
        <v>164</v>
      </c>
      <c r="B116" s="8" t="s">
        <v>18</v>
      </c>
      <c r="C116" s="8" t="s">
        <v>19</v>
      </c>
      <c r="D116" s="8" t="s">
        <v>633</v>
      </c>
      <c r="E116" s="14">
        <v>44998</v>
      </c>
      <c r="F116" s="14">
        <v>45341</v>
      </c>
      <c r="G116" s="10">
        <v>9404668499</v>
      </c>
      <c r="H116" s="8" t="str">
        <f>TRIM('Raw Dataset'!H116)</f>
        <v/>
      </c>
      <c r="J116" t="str">
        <v>OK</v>
      </c>
      <c r="K116" t="str">
        <v>OK</v>
      </c>
    </row>
    <row r="117" spans="1:11" ht="14.25" customHeight="1" x14ac:dyDescent="0.35">
      <c r="A117" s="8" t="s">
        <v>165</v>
      </c>
      <c r="B117" s="8" t="s">
        <v>18</v>
      </c>
      <c r="C117" s="8" t="s">
        <v>13</v>
      </c>
      <c r="D117" s="8" t="s">
        <v>580</v>
      </c>
      <c r="E117" s="14">
        <v>45000</v>
      </c>
      <c r="F117" s="14">
        <v>45038</v>
      </c>
      <c r="G117" s="10">
        <v>6049021945</v>
      </c>
      <c r="H117" s="8" t="str">
        <f>TRIM('Raw Dataset'!H117)</f>
        <v>CV Sihombing</v>
      </c>
      <c r="J117" t="str">
        <v>OK</v>
      </c>
      <c r="K117" t="str">
        <v>OK</v>
      </c>
    </row>
    <row r="118" spans="1:11" ht="14.25" customHeight="1" x14ac:dyDescent="0.35">
      <c r="A118" s="8" t="s">
        <v>166</v>
      </c>
      <c r="B118" s="8" t="s">
        <v>12</v>
      </c>
      <c r="C118" s="8" t="s">
        <v>13</v>
      </c>
      <c r="D118" s="8" t="s">
        <v>605</v>
      </c>
      <c r="E118" s="14">
        <v>45001</v>
      </c>
      <c r="F118" s="14">
        <v>45325</v>
      </c>
      <c r="G118" s="10">
        <v>989197622</v>
      </c>
      <c r="H118" s="8" t="str">
        <f>TRIM('Raw Dataset'!H118)</f>
        <v>CV Sihombing</v>
      </c>
      <c r="J118" t="str">
        <v>OK</v>
      </c>
      <c r="K118" t="str">
        <v>OK</v>
      </c>
    </row>
    <row r="119" spans="1:11" ht="14.25" customHeight="1" x14ac:dyDescent="0.35">
      <c r="A119" s="8" t="s">
        <v>167</v>
      </c>
      <c r="B119" s="8" t="s">
        <v>12</v>
      </c>
      <c r="C119" s="8" t="s">
        <v>36</v>
      </c>
      <c r="D119" s="8" t="s">
        <v>578</v>
      </c>
      <c r="E119" s="14">
        <v>45001</v>
      </c>
      <c r="F119" s="14">
        <v>45268</v>
      </c>
      <c r="G119" s="10">
        <v>923609376</v>
      </c>
      <c r="H119" s="8" t="str">
        <f>TRIM('Raw Dataset'!H119)</f>
        <v>PT C</v>
      </c>
      <c r="J119" t="str">
        <v>OK</v>
      </c>
      <c r="K119" t="str">
        <v>OK</v>
      </c>
    </row>
    <row r="120" spans="1:11" ht="14.25" customHeight="1" x14ac:dyDescent="0.35">
      <c r="A120" s="8" t="s">
        <v>168</v>
      </c>
      <c r="B120" s="8" t="s">
        <v>18</v>
      </c>
      <c r="C120" s="8" t="s">
        <v>36</v>
      </c>
      <c r="D120" s="8" t="s">
        <v>634</v>
      </c>
      <c r="E120" s="14">
        <v>45001</v>
      </c>
      <c r="F120" s="14">
        <v>45173</v>
      </c>
      <c r="G120" s="10">
        <v>7000822070</v>
      </c>
      <c r="H120" s="8" t="str">
        <f>TRIM('Raw Dataset'!H120)</f>
        <v>PT D</v>
      </c>
      <c r="J120" t="str">
        <v>OK</v>
      </c>
      <c r="K120" t="str">
        <v>OK</v>
      </c>
    </row>
    <row r="121" spans="1:11" ht="14.25" customHeight="1" x14ac:dyDescent="0.35">
      <c r="A121" s="8" t="s">
        <v>169</v>
      </c>
      <c r="B121" s="8" t="s">
        <v>18</v>
      </c>
      <c r="C121" s="8" t="s">
        <v>39</v>
      </c>
      <c r="D121" s="8" t="s">
        <v>577</v>
      </c>
      <c r="E121" s="14">
        <v>45003</v>
      </c>
      <c r="F121" s="14">
        <v>45165</v>
      </c>
      <c r="G121" s="10">
        <v>4006400142</v>
      </c>
      <c r="H121" s="8" t="str">
        <f>TRIM('Raw Dataset'!H121)</f>
        <v>PT. Lailasari Hariyah (Persero) Tbk</v>
      </c>
      <c r="J121" t="str">
        <v>OK</v>
      </c>
      <c r="K121" t="str">
        <v>OK</v>
      </c>
    </row>
    <row r="122" spans="1:11" ht="14.25" customHeight="1" x14ac:dyDescent="0.35">
      <c r="A122" s="8" t="s">
        <v>170</v>
      </c>
      <c r="B122" s="8" t="s">
        <v>18</v>
      </c>
      <c r="C122" s="8" t="s">
        <v>24</v>
      </c>
      <c r="D122" s="8" t="s">
        <v>618</v>
      </c>
      <c r="E122" s="14">
        <v>45004</v>
      </c>
      <c r="F122" s="14">
        <v>45314</v>
      </c>
      <c r="G122" s="10">
        <v>7054924571</v>
      </c>
      <c r="H122" s="8" t="str">
        <f>TRIM('Raw Dataset'!H122)</f>
        <v>PT. Yuniar Hakim Tbk</v>
      </c>
      <c r="J122" t="str">
        <v>OK</v>
      </c>
      <c r="K122" t="str">
        <v>OK</v>
      </c>
    </row>
    <row r="123" spans="1:11" ht="14.25" customHeight="1" x14ac:dyDescent="0.35">
      <c r="A123" s="8" t="s">
        <v>172</v>
      </c>
      <c r="B123" s="8" t="s">
        <v>30</v>
      </c>
      <c r="C123" s="8" t="s">
        <v>42</v>
      </c>
      <c r="D123" s="8" t="s">
        <v>627</v>
      </c>
      <c r="E123" s="14">
        <v>45006</v>
      </c>
      <c r="F123" s="14">
        <v>45234</v>
      </c>
      <c r="G123" s="10">
        <v>7494641055</v>
      </c>
      <c r="H123" s="8" t="str">
        <f>TRIM('Raw Dataset'!H123)</f>
        <v/>
      </c>
      <c r="J123" t="str">
        <v>OK</v>
      </c>
      <c r="K123" t="str">
        <v>OK</v>
      </c>
    </row>
    <row r="124" spans="1:11" ht="14.25" customHeight="1" x14ac:dyDescent="0.35">
      <c r="A124" s="8" t="s">
        <v>173</v>
      </c>
      <c r="B124" s="8" t="s">
        <v>18</v>
      </c>
      <c r="C124" s="8" t="s">
        <v>42</v>
      </c>
      <c r="D124" s="8" t="s">
        <v>621</v>
      </c>
      <c r="E124" s="14">
        <v>45008</v>
      </c>
      <c r="F124" s="14">
        <v>45268</v>
      </c>
      <c r="G124" s="10">
        <v>7221183664</v>
      </c>
      <c r="H124" s="8" t="str">
        <f>TRIM('Raw Dataset'!H124)</f>
        <v>PT C</v>
      </c>
      <c r="J124" t="str">
        <v>OK</v>
      </c>
      <c r="K124" t="str">
        <v>OK</v>
      </c>
    </row>
    <row r="125" spans="1:11" ht="14.25" customHeight="1" x14ac:dyDescent="0.35">
      <c r="A125" s="8" t="s">
        <v>174</v>
      </c>
      <c r="B125" s="8" t="s">
        <v>12</v>
      </c>
      <c r="C125" s="8" t="s">
        <v>36</v>
      </c>
      <c r="D125" s="8" t="s">
        <v>578</v>
      </c>
      <c r="E125" s="14">
        <v>45008</v>
      </c>
      <c r="F125" s="14">
        <v>45121</v>
      </c>
      <c r="G125" s="10">
        <v>870876750</v>
      </c>
      <c r="H125" s="8" t="str">
        <f>TRIM('Raw Dataset'!H125)</f>
        <v>PT. Lailasari Hariyah (Persero) Tbk</v>
      </c>
      <c r="J125" t="str">
        <v>OK</v>
      </c>
      <c r="K125" t="str">
        <v>OK</v>
      </c>
    </row>
    <row r="126" spans="1:11" ht="14.25" customHeight="1" x14ac:dyDescent="0.35">
      <c r="A126" s="8" t="s">
        <v>175</v>
      </c>
      <c r="B126" s="8" t="s">
        <v>60</v>
      </c>
      <c r="C126" s="8" t="s">
        <v>19</v>
      </c>
      <c r="D126" s="8" t="s">
        <v>635</v>
      </c>
      <c r="E126" s="14">
        <v>45009</v>
      </c>
      <c r="F126" s="14">
        <v>45316</v>
      </c>
      <c r="G126" s="10">
        <v>2164051592</v>
      </c>
      <c r="H126" s="8" t="str">
        <f>TRIM('Raw Dataset'!H126)</f>
        <v>PT C</v>
      </c>
      <c r="J126" t="str">
        <v>OK</v>
      </c>
      <c r="K126" t="str">
        <v>OK</v>
      </c>
    </row>
    <row r="127" spans="1:11" ht="14.25" customHeight="1" x14ac:dyDescent="0.35">
      <c r="A127" s="8" t="s">
        <v>176</v>
      </c>
      <c r="B127" s="8" t="s">
        <v>60</v>
      </c>
      <c r="C127" s="8" t="s">
        <v>36</v>
      </c>
      <c r="D127" s="8" t="s">
        <v>597</v>
      </c>
      <c r="E127" s="14">
        <v>45009</v>
      </c>
      <c r="F127" s="14">
        <v>45280</v>
      </c>
      <c r="G127" s="10">
        <v>3746270294</v>
      </c>
      <c r="H127" s="8" t="str">
        <f>TRIM('Raw Dataset'!H127)</f>
        <v>PT C</v>
      </c>
      <c r="J127" t="str">
        <v>OK</v>
      </c>
      <c r="K127" t="str">
        <v>OK</v>
      </c>
    </row>
    <row r="128" spans="1:11" ht="14.25" customHeight="1" x14ac:dyDescent="0.35">
      <c r="A128" s="8" t="s">
        <v>177</v>
      </c>
      <c r="B128" s="8" t="s">
        <v>18</v>
      </c>
      <c r="C128" s="8" t="s">
        <v>31</v>
      </c>
      <c r="D128" s="8" t="s">
        <v>636</v>
      </c>
      <c r="E128" s="14">
        <v>45010</v>
      </c>
      <c r="F128" s="14">
        <v>45049</v>
      </c>
      <c r="G128" s="10">
        <v>3094147448</v>
      </c>
      <c r="H128" s="8" t="str">
        <f>TRIM('Raw Dataset'!H128)</f>
        <v>PT. Yuniar Hakim Tbk</v>
      </c>
      <c r="J128" t="str">
        <v>OK</v>
      </c>
      <c r="K128" t="str">
        <v>OK</v>
      </c>
    </row>
    <row r="129" spans="1:11" ht="14.25" customHeight="1" x14ac:dyDescent="0.35">
      <c r="A129" s="8" t="s">
        <v>178</v>
      </c>
      <c r="B129" s="11"/>
      <c r="C129" s="8" t="s">
        <v>36</v>
      </c>
      <c r="D129" s="11"/>
      <c r="E129" s="14">
        <v>45010</v>
      </c>
      <c r="F129" s="14">
        <v>45091</v>
      </c>
      <c r="G129" s="10">
        <v>2960912774</v>
      </c>
      <c r="H129" s="8" t="str">
        <f>TRIM('Raw Dataset'!H129)</f>
        <v/>
      </c>
      <c r="J129" t="str">
        <v>OK</v>
      </c>
      <c r="K129" t="str">
        <v>OK</v>
      </c>
    </row>
    <row r="130" spans="1:11" ht="14.25" customHeight="1" x14ac:dyDescent="0.35">
      <c r="A130" s="8" t="s">
        <v>179</v>
      </c>
      <c r="B130" s="8" t="s">
        <v>35</v>
      </c>
      <c r="C130" s="8" t="s">
        <v>19</v>
      </c>
      <c r="D130" s="8" t="s">
        <v>97</v>
      </c>
      <c r="E130" s="14">
        <v>45011</v>
      </c>
      <c r="F130" s="14">
        <v>45235</v>
      </c>
      <c r="G130" s="10">
        <v>421859230</v>
      </c>
      <c r="H130" s="8" t="str">
        <f>TRIM('Raw Dataset'!H130)</f>
        <v/>
      </c>
      <c r="J130" t="str">
        <v>OK</v>
      </c>
      <c r="K130" t="str">
        <v>OK</v>
      </c>
    </row>
    <row r="131" spans="1:11" ht="14.25" customHeight="1" x14ac:dyDescent="0.35">
      <c r="A131" s="8" t="s">
        <v>180</v>
      </c>
      <c r="B131" s="8" t="s">
        <v>12</v>
      </c>
      <c r="C131" s="8" t="s">
        <v>42</v>
      </c>
      <c r="D131" s="8" t="s">
        <v>603</v>
      </c>
      <c r="E131" s="14">
        <v>45013</v>
      </c>
      <c r="F131" s="14">
        <v>45161</v>
      </c>
      <c r="G131" s="10">
        <v>776411814</v>
      </c>
      <c r="H131" s="8" t="str">
        <f>TRIM('Raw Dataset'!H131)</f>
        <v>CV Sihombing</v>
      </c>
      <c r="J131" t="str">
        <v>OK</v>
      </c>
      <c r="K131" t="str">
        <v>OK</v>
      </c>
    </row>
    <row r="132" spans="1:11" ht="14.25" customHeight="1" x14ac:dyDescent="0.35">
      <c r="A132" s="8" t="s">
        <v>181</v>
      </c>
      <c r="B132" s="8" t="s">
        <v>18</v>
      </c>
      <c r="C132" s="8" t="s">
        <v>36</v>
      </c>
      <c r="D132" s="8" t="s">
        <v>634</v>
      </c>
      <c r="E132" s="14">
        <v>45013</v>
      </c>
      <c r="F132" s="14">
        <v>45095</v>
      </c>
      <c r="G132" s="10">
        <v>5326254824</v>
      </c>
      <c r="H132" s="8" t="str">
        <f>TRIM('Raw Dataset'!H132)</f>
        <v>PT. Yuniar Hakim Tbk</v>
      </c>
      <c r="J132" t="str">
        <v>OK</v>
      </c>
      <c r="K132" t="str">
        <v>OK</v>
      </c>
    </row>
    <row r="133" spans="1:11" ht="14.25" customHeight="1" x14ac:dyDescent="0.35">
      <c r="A133" s="8" t="s">
        <v>183</v>
      </c>
      <c r="B133" s="8" t="s">
        <v>35</v>
      </c>
      <c r="C133" s="8" t="s">
        <v>36</v>
      </c>
      <c r="D133" s="8" t="s">
        <v>37</v>
      </c>
      <c r="E133" s="14">
        <v>45015</v>
      </c>
      <c r="F133" s="14">
        <v>45074</v>
      </c>
      <c r="G133" s="10">
        <v>737874671</v>
      </c>
      <c r="H133" s="8" t="str">
        <f>TRIM('Raw Dataset'!H133)</f>
        <v>PT A</v>
      </c>
      <c r="J133" t="str">
        <v>OK</v>
      </c>
      <c r="K133" t="str">
        <v>OK</v>
      </c>
    </row>
    <row r="134" spans="1:11" ht="14.25" customHeight="1" x14ac:dyDescent="0.35">
      <c r="A134" s="8" t="s">
        <v>184</v>
      </c>
      <c r="B134" s="8" t="s">
        <v>18</v>
      </c>
      <c r="C134" s="8" t="s">
        <v>42</v>
      </c>
      <c r="D134" s="8" t="s">
        <v>621</v>
      </c>
      <c r="E134" s="14">
        <v>45016</v>
      </c>
      <c r="F134" s="14">
        <v>45248</v>
      </c>
      <c r="G134" s="10">
        <v>6410731228</v>
      </c>
      <c r="H134" s="8" t="str">
        <f>TRIM('Raw Dataset'!H134)</f>
        <v>PT B</v>
      </c>
      <c r="J134" t="str">
        <v>OK</v>
      </c>
      <c r="K134" t="str">
        <v>OK</v>
      </c>
    </row>
    <row r="135" spans="1:11" ht="14.25" customHeight="1" x14ac:dyDescent="0.35">
      <c r="A135" s="8" t="s">
        <v>186</v>
      </c>
      <c r="B135" s="8" t="s">
        <v>12</v>
      </c>
      <c r="C135" s="8" t="s">
        <v>24</v>
      </c>
      <c r="D135" s="8" t="s">
        <v>610</v>
      </c>
      <c r="E135" s="14">
        <v>45017</v>
      </c>
      <c r="F135" s="14">
        <v>45162</v>
      </c>
      <c r="G135" s="10">
        <v>584530717</v>
      </c>
      <c r="H135" s="8" t="str">
        <f>TRIM('Raw Dataset'!H135)</f>
        <v>PT. Yuniar Hakim Tbk</v>
      </c>
      <c r="J135" t="str">
        <v>OK</v>
      </c>
      <c r="K135" t="str">
        <v>OK</v>
      </c>
    </row>
    <row r="136" spans="1:11" ht="14.25" customHeight="1" x14ac:dyDescent="0.35">
      <c r="A136" s="8" t="s">
        <v>187</v>
      </c>
      <c r="B136" s="8" t="s">
        <v>18</v>
      </c>
      <c r="C136" s="8" t="s">
        <v>48</v>
      </c>
      <c r="D136" s="8" t="s">
        <v>629</v>
      </c>
      <c r="E136" s="14">
        <v>45017</v>
      </c>
      <c r="F136" s="14">
        <v>45209</v>
      </c>
      <c r="G136" s="10">
        <v>5399904068</v>
      </c>
      <c r="H136" s="8" t="str">
        <f>TRIM('Raw Dataset'!H136)</f>
        <v>PT C</v>
      </c>
      <c r="J136" t="str">
        <v>OK</v>
      </c>
      <c r="K136" t="str">
        <v>OK</v>
      </c>
    </row>
    <row r="137" spans="1:11" ht="14.25" customHeight="1" x14ac:dyDescent="0.35">
      <c r="A137" s="8" t="s">
        <v>188</v>
      </c>
      <c r="B137" s="8" t="s">
        <v>35</v>
      </c>
      <c r="C137" s="8" t="s">
        <v>24</v>
      </c>
      <c r="D137" s="8" t="s">
        <v>133</v>
      </c>
      <c r="E137" s="14">
        <v>45017</v>
      </c>
      <c r="F137" s="14">
        <v>45267</v>
      </c>
      <c r="G137" s="10">
        <v>620525430</v>
      </c>
      <c r="H137" s="8" t="str">
        <f>TRIM('Raw Dataset'!H137)</f>
        <v>PT D</v>
      </c>
      <c r="J137" t="str">
        <v>OK</v>
      </c>
      <c r="K137" t="str">
        <v>OK</v>
      </c>
    </row>
    <row r="138" spans="1:11" ht="14.25" customHeight="1" x14ac:dyDescent="0.35">
      <c r="A138" s="8" t="s">
        <v>189</v>
      </c>
      <c r="B138" s="8" t="s">
        <v>60</v>
      </c>
      <c r="C138" s="8" t="s">
        <v>39</v>
      </c>
      <c r="D138" s="8" t="s">
        <v>626</v>
      </c>
      <c r="E138" s="14">
        <v>45017</v>
      </c>
      <c r="F138" s="14">
        <v>45372</v>
      </c>
      <c r="G138" s="10">
        <v>2278233533</v>
      </c>
      <c r="H138" s="8" t="str">
        <f>TRIM('Raw Dataset'!H138)</f>
        <v>PT. Yuniar Hakim Tbk</v>
      </c>
      <c r="J138" t="str">
        <v>OK</v>
      </c>
      <c r="K138" t="str">
        <v>OK</v>
      </c>
    </row>
    <row r="139" spans="1:11" ht="14.25" customHeight="1" x14ac:dyDescent="0.35">
      <c r="A139" s="8" t="s">
        <v>190</v>
      </c>
      <c r="B139" s="8" t="s">
        <v>18</v>
      </c>
      <c r="C139" s="8" t="s">
        <v>39</v>
      </c>
      <c r="D139" s="8" t="s">
        <v>577</v>
      </c>
      <c r="E139" s="14">
        <v>45017</v>
      </c>
      <c r="F139" s="14">
        <v>45369</v>
      </c>
      <c r="G139" s="10">
        <v>2425304687</v>
      </c>
      <c r="H139" s="8" t="str">
        <f>TRIM('Raw Dataset'!H139)</f>
        <v>PT C</v>
      </c>
      <c r="J139" t="str">
        <v>OK</v>
      </c>
      <c r="K139" t="str">
        <v>OK</v>
      </c>
    </row>
    <row r="140" spans="1:11" ht="14.25" customHeight="1" x14ac:dyDescent="0.35">
      <c r="A140" s="8" t="s">
        <v>191</v>
      </c>
      <c r="B140" s="8" t="s">
        <v>18</v>
      </c>
      <c r="C140" s="8" t="s">
        <v>24</v>
      </c>
      <c r="D140" s="8" t="s">
        <v>618</v>
      </c>
      <c r="E140" s="14">
        <v>45017</v>
      </c>
      <c r="F140" s="14">
        <v>45053</v>
      </c>
      <c r="G140" s="10">
        <v>3263728734</v>
      </c>
      <c r="H140" s="8" t="str">
        <f>TRIM('Raw Dataset'!H140)</f>
        <v>CV Sihombing</v>
      </c>
      <c r="J140" t="str">
        <v>OK</v>
      </c>
      <c r="K140" t="str">
        <v>OK</v>
      </c>
    </row>
    <row r="141" spans="1:11" ht="14.25" customHeight="1" x14ac:dyDescent="0.35">
      <c r="A141" s="8" t="s">
        <v>192</v>
      </c>
      <c r="B141" s="8" t="s">
        <v>18</v>
      </c>
      <c r="C141" s="8" t="s">
        <v>19</v>
      </c>
      <c r="D141" s="8" t="s">
        <v>633</v>
      </c>
      <c r="E141" s="14">
        <v>45018</v>
      </c>
      <c r="F141" s="14">
        <v>45255</v>
      </c>
      <c r="G141" s="10">
        <v>7299558365</v>
      </c>
      <c r="H141" s="8" t="str">
        <f>TRIM('Raw Dataset'!H141)</f>
        <v>PT. Yuniar Hakim Tbk</v>
      </c>
      <c r="J141" t="str">
        <v>OK</v>
      </c>
      <c r="K141" t="str">
        <v>OK</v>
      </c>
    </row>
    <row r="142" spans="1:11" ht="14.25" customHeight="1" x14ac:dyDescent="0.35">
      <c r="A142" s="8" t="s">
        <v>193</v>
      </c>
      <c r="B142" s="8" t="s">
        <v>12</v>
      </c>
      <c r="C142" s="8" t="s">
        <v>42</v>
      </c>
      <c r="D142" s="8" t="s">
        <v>603</v>
      </c>
      <c r="E142" s="14">
        <v>45018</v>
      </c>
      <c r="F142" s="14">
        <v>45084</v>
      </c>
      <c r="G142" s="10">
        <v>304540977</v>
      </c>
      <c r="H142" s="8" t="str">
        <f>TRIM('Raw Dataset'!H142)</f>
        <v>CV Sihombing</v>
      </c>
      <c r="J142" t="str">
        <v>OK</v>
      </c>
      <c r="K142" t="str">
        <v>OK</v>
      </c>
    </row>
    <row r="143" spans="1:11" ht="14.25" customHeight="1" x14ac:dyDescent="0.35">
      <c r="A143" s="8" t="s">
        <v>194</v>
      </c>
      <c r="B143" s="8" t="s">
        <v>30</v>
      </c>
      <c r="C143" s="8" t="s">
        <v>24</v>
      </c>
      <c r="D143" s="8" t="s">
        <v>637</v>
      </c>
      <c r="E143" s="14">
        <v>45018</v>
      </c>
      <c r="F143" s="14">
        <v>45371</v>
      </c>
      <c r="G143" s="10">
        <v>5043663492</v>
      </c>
      <c r="H143" s="8" t="str">
        <f>TRIM('Raw Dataset'!H143)</f>
        <v>PT. Yuniar Hakim Tbk</v>
      </c>
      <c r="J143" t="str">
        <v>OK</v>
      </c>
      <c r="K143" t="str">
        <v>OK</v>
      </c>
    </row>
    <row r="144" spans="1:11" ht="14.25" customHeight="1" x14ac:dyDescent="0.35">
      <c r="A144" s="8" t="s">
        <v>195</v>
      </c>
      <c r="B144" s="8" t="s">
        <v>60</v>
      </c>
      <c r="C144" s="8" t="s">
        <v>19</v>
      </c>
      <c r="D144" s="8" t="s">
        <v>635</v>
      </c>
      <c r="E144" s="14">
        <v>45020</v>
      </c>
      <c r="F144" s="14">
        <v>45200</v>
      </c>
      <c r="G144" s="10">
        <v>3438414318</v>
      </c>
      <c r="H144" s="8" t="str">
        <f>TRIM('Raw Dataset'!H144)</f>
        <v>PT. Lailasari Hariyah (Persero) Tbk</v>
      </c>
      <c r="J144" t="str">
        <v>OK</v>
      </c>
      <c r="K144" t="str">
        <v>OK</v>
      </c>
    </row>
    <row r="145" spans="1:11" ht="14.25" customHeight="1" x14ac:dyDescent="0.35">
      <c r="A145" s="8" t="s">
        <v>196</v>
      </c>
      <c r="B145" s="8" t="s">
        <v>12</v>
      </c>
      <c r="C145" s="8" t="s">
        <v>19</v>
      </c>
      <c r="D145" s="8" t="s">
        <v>631</v>
      </c>
      <c r="E145" s="14">
        <v>45020</v>
      </c>
      <c r="F145" s="14">
        <v>45381</v>
      </c>
      <c r="G145" s="10">
        <v>538173778</v>
      </c>
      <c r="H145" s="8" t="str">
        <f>TRIM('Raw Dataset'!H145)</f>
        <v>PT. Yuniar Hakim Tbk</v>
      </c>
      <c r="J145" t="str">
        <v>OK</v>
      </c>
      <c r="K145" t="str">
        <v>OK</v>
      </c>
    </row>
    <row r="146" spans="1:11" ht="14.25" customHeight="1" x14ac:dyDescent="0.35">
      <c r="A146" s="8" t="s">
        <v>197</v>
      </c>
      <c r="B146" s="8" t="s">
        <v>18</v>
      </c>
      <c r="C146" s="8" t="s">
        <v>39</v>
      </c>
      <c r="D146" s="8" t="s">
        <v>577</v>
      </c>
      <c r="E146" s="14">
        <v>45022</v>
      </c>
      <c r="F146" s="14">
        <v>45248</v>
      </c>
      <c r="G146" s="10">
        <v>4142478037</v>
      </c>
      <c r="H146" s="8" t="str">
        <f>TRIM('Raw Dataset'!H146)</f>
        <v>PT B</v>
      </c>
      <c r="J146" t="str">
        <v>OK</v>
      </c>
      <c r="K146" t="str">
        <v>OK</v>
      </c>
    </row>
    <row r="147" spans="1:11" ht="14.25" customHeight="1" x14ac:dyDescent="0.35">
      <c r="A147" s="8" t="s">
        <v>198</v>
      </c>
      <c r="B147" s="8" t="s">
        <v>30</v>
      </c>
      <c r="C147" s="8" t="s">
        <v>48</v>
      </c>
      <c r="D147" s="8" t="s">
        <v>615</v>
      </c>
      <c r="E147" s="14">
        <v>45023</v>
      </c>
      <c r="F147" s="14">
        <v>45075</v>
      </c>
      <c r="G147" s="10">
        <v>4552866676</v>
      </c>
      <c r="H147" s="8" t="str">
        <f>TRIM('Raw Dataset'!H147)</f>
        <v>PT A</v>
      </c>
      <c r="J147" t="str">
        <v>OK</v>
      </c>
      <c r="K147" t="str">
        <v>OK</v>
      </c>
    </row>
    <row r="148" spans="1:11" ht="14.25" customHeight="1" x14ac:dyDescent="0.35">
      <c r="A148" s="8" t="s">
        <v>199</v>
      </c>
      <c r="B148" s="8" t="s">
        <v>12</v>
      </c>
      <c r="C148" s="8" t="s">
        <v>13</v>
      </c>
      <c r="D148" s="8" t="s">
        <v>605</v>
      </c>
      <c r="E148" s="14">
        <v>45024</v>
      </c>
      <c r="F148" s="14">
        <v>45121</v>
      </c>
      <c r="G148" s="10">
        <v>902216985</v>
      </c>
      <c r="H148" s="8" t="str">
        <f>TRIM('Raw Dataset'!H148)</f>
        <v>PT D</v>
      </c>
      <c r="J148" t="str">
        <v>OK</v>
      </c>
      <c r="K148" t="str">
        <v>OK</v>
      </c>
    </row>
    <row r="149" spans="1:11" ht="14.25" customHeight="1" x14ac:dyDescent="0.35">
      <c r="A149" s="8" t="s">
        <v>200</v>
      </c>
      <c r="B149" s="8" t="s">
        <v>30</v>
      </c>
      <c r="C149" s="8" t="s">
        <v>36</v>
      </c>
      <c r="D149" s="8" t="s">
        <v>614</v>
      </c>
      <c r="E149" s="14">
        <v>45024</v>
      </c>
      <c r="F149" s="14">
        <v>45253</v>
      </c>
      <c r="G149" s="10">
        <v>6582376288</v>
      </c>
      <c r="H149" s="8" t="str">
        <f>TRIM('Raw Dataset'!H149)</f>
        <v>PT C</v>
      </c>
      <c r="J149" t="str">
        <v>OK</v>
      </c>
      <c r="K149" t="str">
        <v>OK</v>
      </c>
    </row>
    <row r="150" spans="1:11" ht="14.25" customHeight="1" x14ac:dyDescent="0.35">
      <c r="A150" s="8" t="s">
        <v>201</v>
      </c>
      <c r="B150" s="8" t="s">
        <v>35</v>
      </c>
      <c r="C150" s="8" t="s">
        <v>48</v>
      </c>
      <c r="D150" s="8" t="s">
        <v>49</v>
      </c>
      <c r="E150" s="14">
        <v>45026</v>
      </c>
      <c r="F150" s="14">
        <v>45305</v>
      </c>
      <c r="G150" s="10">
        <v>204769884</v>
      </c>
      <c r="H150" s="8" t="str">
        <f>TRIM('Raw Dataset'!H150)</f>
        <v>PT. Lailasari Hariyah (Persero) Tbk</v>
      </c>
      <c r="J150" t="str">
        <v>OK</v>
      </c>
      <c r="K150" t="str">
        <v>OK</v>
      </c>
    </row>
    <row r="151" spans="1:11" ht="14.25" customHeight="1" x14ac:dyDescent="0.35">
      <c r="A151" s="8" t="s">
        <v>202</v>
      </c>
      <c r="B151" s="8" t="s">
        <v>12</v>
      </c>
      <c r="C151" s="8" t="s">
        <v>36</v>
      </c>
      <c r="D151" s="8" t="s">
        <v>578</v>
      </c>
      <c r="E151" s="14">
        <v>45026</v>
      </c>
      <c r="F151" s="14">
        <v>45320</v>
      </c>
      <c r="G151" s="10">
        <v>100103542</v>
      </c>
      <c r="H151" s="8" t="str">
        <f>TRIM('Raw Dataset'!H151)</f>
        <v>PT B</v>
      </c>
      <c r="J151" t="str">
        <v>OK</v>
      </c>
      <c r="K151" t="str">
        <v>OK</v>
      </c>
    </row>
    <row r="152" spans="1:11" ht="14.25" customHeight="1" x14ac:dyDescent="0.35">
      <c r="A152" s="8" t="s">
        <v>203</v>
      </c>
      <c r="B152" s="8" t="s">
        <v>30</v>
      </c>
      <c r="C152" s="8" t="s">
        <v>39</v>
      </c>
      <c r="D152" s="8" t="s">
        <v>590</v>
      </c>
      <c r="E152" s="14">
        <v>45028</v>
      </c>
      <c r="F152" s="14">
        <v>45097</v>
      </c>
      <c r="G152" s="10">
        <v>567827038</v>
      </c>
      <c r="H152" s="8" t="str">
        <f>TRIM('Raw Dataset'!H152)</f>
        <v>PT. Yuniar Hakim Tbk</v>
      </c>
      <c r="J152" t="str">
        <v>OK</v>
      </c>
      <c r="K152" t="str">
        <v>OK</v>
      </c>
    </row>
    <row r="153" spans="1:11" ht="14.25" customHeight="1" x14ac:dyDescent="0.35">
      <c r="A153" s="8" t="s">
        <v>204</v>
      </c>
      <c r="B153" s="8" t="s">
        <v>18</v>
      </c>
      <c r="C153" s="8" t="s">
        <v>48</v>
      </c>
      <c r="D153" s="8" t="s">
        <v>629</v>
      </c>
      <c r="E153" s="14">
        <v>45031</v>
      </c>
      <c r="F153" s="14">
        <v>45211</v>
      </c>
      <c r="G153" s="10">
        <v>7382613940</v>
      </c>
      <c r="H153" s="8" t="str">
        <f>TRIM('Raw Dataset'!H153)</f>
        <v>PT A</v>
      </c>
      <c r="J153" t="str">
        <v>OK</v>
      </c>
      <c r="K153" t="str">
        <v>OK</v>
      </c>
    </row>
    <row r="154" spans="1:11" ht="14.25" customHeight="1" x14ac:dyDescent="0.35">
      <c r="A154" s="8" t="s">
        <v>205</v>
      </c>
      <c r="B154" s="8" t="s">
        <v>18</v>
      </c>
      <c r="C154" s="8" t="s">
        <v>39</v>
      </c>
      <c r="D154" s="8" t="s">
        <v>577</v>
      </c>
      <c r="E154" s="14">
        <v>45031</v>
      </c>
      <c r="F154" s="14">
        <v>45123</v>
      </c>
      <c r="G154" s="10">
        <v>3840273247</v>
      </c>
      <c r="H154" s="8" t="str">
        <f>TRIM('Raw Dataset'!H154)</f>
        <v>PT C</v>
      </c>
      <c r="J154" t="str">
        <v>OK</v>
      </c>
      <c r="K154" t="str">
        <v>OK</v>
      </c>
    </row>
    <row r="155" spans="1:11" ht="14.25" customHeight="1" x14ac:dyDescent="0.35">
      <c r="A155" s="8" t="s">
        <v>206</v>
      </c>
      <c r="B155" s="8" t="s">
        <v>12</v>
      </c>
      <c r="C155" s="8" t="s">
        <v>31</v>
      </c>
      <c r="D155" s="8" t="s">
        <v>593</v>
      </c>
      <c r="E155" s="14">
        <v>45033</v>
      </c>
      <c r="F155" s="14">
        <v>45370</v>
      </c>
      <c r="G155" s="10">
        <v>510276507</v>
      </c>
      <c r="H155" s="8" t="str">
        <f>TRIM('Raw Dataset'!H155)</f>
        <v>CV Sihombing</v>
      </c>
      <c r="J155" t="str">
        <v>OK</v>
      </c>
      <c r="K155" t="str">
        <v>OK</v>
      </c>
    </row>
    <row r="156" spans="1:11" ht="14.25" customHeight="1" x14ac:dyDescent="0.35">
      <c r="A156" s="8" t="s">
        <v>207</v>
      </c>
      <c r="B156" s="8" t="s">
        <v>12</v>
      </c>
      <c r="C156" s="8" t="s">
        <v>36</v>
      </c>
      <c r="D156" s="8" t="s">
        <v>578</v>
      </c>
      <c r="E156" s="14">
        <v>45033</v>
      </c>
      <c r="F156" s="14">
        <v>45291</v>
      </c>
      <c r="G156" s="10">
        <v>806848236</v>
      </c>
      <c r="H156" s="8" t="str">
        <f>TRIM('Raw Dataset'!H156)</f>
        <v>PT B</v>
      </c>
      <c r="J156" t="str">
        <v>OK</v>
      </c>
      <c r="K156" t="str">
        <v>OK</v>
      </c>
    </row>
    <row r="157" spans="1:11" ht="14.25" customHeight="1" x14ac:dyDescent="0.35">
      <c r="A157" s="8" t="s">
        <v>208</v>
      </c>
      <c r="B157" s="8" t="s">
        <v>60</v>
      </c>
      <c r="C157" s="8" t="s">
        <v>48</v>
      </c>
      <c r="D157" s="8" t="s">
        <v>622</v>
      </c>
      <c r="E157" s="14">
        <v>45034</v>
      </c>
      <c r="F157" s="14">
        <v>45257</v>
      </c>
      <c r="G157" s="10">
        <v>3687967195</v>
      </c>
      <c r="H157" s="8" t="str">
        <f>TRIM('Raw Dataset'!H157)</f>
        <v>PT C</v>
      </c>
      <c r="J157" t="str">
        <v>OK</v>
      </c>
      <c r="K157" t="str">
        <v>OK</v>
      </c>
    </row>
    <row r="158" spans="1:11" ht="14.25" customHeight="1" x14ac:dyDescent="0.35">
      <c r="A158" s="8" t="s">
        <v>209</v>
      </c>
      <c r="B158" s="8" t="s">
        <v>30</v>
      </c>
      <c r="C158" s="8" t="s">
        <v>39</v>
      </c>
      <c r="D158" s="8" t="s">
        <v>638</v>
      </c>
      <c r="E158" s="14">
        <v>45035</v>
      </c>
      <c r="F158" s="14">
        <v>45339</v>
      </c>
      <c r="G158" s="10">
        <v>4409857336</v>
      </c>
      <c r="H158" s="8" t="str">
        <f>TRIM('Raw Dataset'!H158)</f>
        <v/>
      </c>
      <c r="J158" t="str">
        <v>OK</v>
      </c>
      <c r="K158" t="str">
        <v>OK</v>
      </c>
    </row>
    <row r="159" spans="1:11" ht="14.25" customHeight="1" x14ac:dyDescent="0.35">
      <c r="A159" s="8" t="s">
        <v>210</v>
      </c>
      <c r="B159" s="8" t="s">
        <v>35</v>
      </c>
      <c r="C159" s="8" t="s">
        <v>13</v>
      </c>
      <c r="D159" s="8" t="s">
        <v>78</v>
      </c>
      <c r="E159" s="14">
        <v>45035</v>
      </c>
      <c r="F159" s="14">
        <v>45297</v>
      </c>
      <c r="G159" s="10">
        <v>603531905</v>
      </c>
      <c r="H159" s="8" t="str">
        <f>TRIM('Raw Dataset'!H159)</f>
        <v>PT. Lailasari Hariyah (Persero) Tbk</v>
      </c>
      <c r="J159" t="str">
        <v>OK</v>
      </c>
      <c r="K159" t="str">
        <v>OK</v>
      </c>
    </row>
    <row r="160" spans="1:11" ht="14.25" customHeight="1" x14ac:dyDescent="0.35">
      <c r="A160" s="8" t="s">
        <v>211</v>
      </c>
      <c r="B160" s="8" t="s">
        <v>35</v>
      </c>
      <c r="C160" s="8" t="s">
        <v>48</v>
      </c>
      <c r="D160" s="8" t="s">
        <v>49</v>
      </c>
      <c r="E160" s="14">
        <v>45035</v>
      </c>
      <c r="F160" s="14">
        <v>45269</v>
      </c>
      <c r="G160" s="10">
        <v>648732190</v>
      </c>
      <c r="H160" s="8" t="str">
        <f>TRIM('Raw Dataset'!H160)</f>
        <v>PT. Yuniar Hakim Tbk</v>
      </c>
      <c r="J160" t="str">
        <v>OK</v>
      </c>
      <c r="K160" t="str">
        <v>OK</v>
      </c>
    </row>
    <row r="161" spans="1:11" ht="14.25" customHeight="1" x14ac:dyDescent="0.35">
      <c r="A161" s="8" t="s">
        <v>212</v>
      </c>
      <c r="B161" s="8" t="s">
        <v>12</v>
      </c>
      <c r="C161" s="8" t="s">
        <v>48</v>
      </c>
      <c r="D161" s="8" t="s">
        <v>602</v>
      </c>
      <c r="E161" s="14">
        <v>45035</v>
      </c>
      <c r="F161" s="14">
        <v>45179</v>
      </c>
      <c r="G161" s="10">
        <v>872561312</v>
      </c>
      <c r="H161" s="8" t="str">
        <f>TRIM('Raw Dataset'!H161)</f>
        <v>PT C</v>
      </c>
      <c r="J161" t="str">
        <v>OK</v>
      </c>
      <c r="K161" t="str">
        <v>OK</v>
      </c>
    </row>
    <row r="162" spans="1:11" ht="14.25" customHeight="1" x14ac:dyDescent="0.35">
      <c r="A162" s="8" t="s">
        <v>213</v>
      </c>
      <c r="B162" s="8" t="s">
        <v>35</v>
      </c>
      <c r="C162" s="8" t="s">
        <v>48</v>
      </c>
      <c r="D162" s="8" t="s">
        <v>49</v>
      </c>
      <c r="E162" s="14">
        <v>45036</v>
      </c>
      <c r="F162" s="14">
        <v>45119</v>
      </c>
      <c r="G162" s="10">
        <v>461667131</v>
      </c>
      <c r="H162" s="8" t="str">
        <f>TRIM('Raw Dataset'!H162)</f>
        <v>PT D</v>
      </c>
      <c r="J162" t="str">
        <v>OK</v>
      </c>
      <c r="K162" t="str">
        <v>OK</v>
      </c>
    </row>
    <row r="163" spans="1:11" ht="14.25" customHeight="1" x14ac:dyDescent="0.35">
      <c r="A163" s="8" t="s">
        <v>214</v>
      </c>
      <c r="B163" s="8" t="s">
        <v>35</v>
      </c>
      <c r="C163" s="8" t="s">
        <v>36</v>
      </c>
      <c r="D163" s="8" t="s">
        <v>37</v>
      </c>
      <c r="E163" s="14">
        <v>45036</v>
      </c>
      <c r="F163" s="14">
        <v>45313</v>
      </c>
      <c r="G163" s="10">
        <v>265879074</v>
      </c>
      <c r="H163" s="8" t="str">
        <f>TRIM('Raw Dataset'!H163)</f>
        <v/>
      </c>
      <c r="J163" t="str">
        <v>OK</v>
      </c>
      <c r="K163" t="str">
        <v>OK</v>
      </c>
    </row>
    <row r="164" spans="1:11" ht="14.25" customHeight="1" x14ac:dyDescent="0.35">
      <c r="A164" s="8" t="s">
        <v>215</v>
      </c>
      <c r="B164" s="8" t="s">
        <v>12</v>
      </c>
      <c r="C164" s="8" t="s">
        <v>39</v>
      </c>
      <c r="D164" s="8" t="s">
        <v>591</v>
      </c>
      <c r="E164" s="14">
        <v>45037</v>
      </c>
      <c r="F164" s="14">
        <v>45384</v>
      </c>
      <c r="G164" s="10">
        <v>339042702</v>
      </c>
      <c r="H164" s="8" t="str">
        <f>TRIM('Raw Dataset'!H164)</f>
        <v>PT B</v>
      </c>
      <c r="J164" t="str">
        <v>OK</v>
      </c>
      <c r="K164" t="str">
        <v>OK</v>
      </c>
    </row>
    <row r="165" spans="1:11" ht="14.25" customHeight="1" x14ac:dyDescent="0.35">
      <c r="A165" s="8" t="s">
        <v>216</v>
      </c>
      <c r="B165" s="8" t="s">
        <v>18</v>
      </c>
      <c r="C165" s="8" t="s">
        <v>42</v>
      </c>
      <c r="D165" s="8" t="s">
        <v>621</v>
      </c>
      <c r="E165" s="14">
        <v>45038</v>
      </c>
      <c r="F165" s="14">
        <v>45308</v>
      </c>
      <c r="G165" s="10">
        <v>9295259236</v>
      </c>
      <c r="H165" s="8" t="str">
        <f>TRIM('Raw Dataset'!H165)</f>
        <v>PT A</v>
      </c>
      <c r="J165" t="str">
        <v>OK</v>
      </c>
      <c r="K165" t="str">
        <v>OK</v>
      </c>
    </row>
    <row r="166" spans="1:11" ht="14.25" customHeight="1" x14ac:dyDescent="0.35">
      <c r="A166" s="8" t="s">
        <v>217</v>
      </c>
      <c r="B166" s="8" t="s">
        <v>18</v>
      </c>
      <c r="C166" s="8" t="s">
        <v>31</v>
      </c>
      <c r="D166" s="8" t="s">
        <v>636</v>
      </c>
      <c r="E166" s="14">
        <v>45038</v>
      </c>
      <c r="F166" s="14">
        <v>45333</v>
      </c>
      <c r="G166" s="10">
        <v>7601913991</v>
      </c>
      <c r="H166" s="8" t="str">
        <f>TRIM('Raw Dataset'!H166)</f>
        <v>CV Sihombing</v>
      </c>
      <c r="J166" t="str">
        <v>OK</v>
      </c>
      <c r="K166" t="str">
        <v>OK</v>
      </c>
    </row>
    <row r="167" spans="1:11" ht="14.25" customHeight="1" x14ac:dyDescent="0.35">
      <c r="A167" s="8" t="s">
        <v>218</v>
      </c>
      <c r="B167" s="8" t="s">
        <v>12</v>
      </c>
      <c r="C167" s="8" t="s">
        <v>31</v>
      </c>
      <c r="D167" s="8" t="s">
        <v>593</v>
      </c>
      <c r="E167" s="14">
        <v>45039</v>
      </c>
      <c r="F167" s="14">
        <v>45306</v>
      </c>
      <c r="G167" s="10">
        <v>307072675</v>
      </c>
      <c r="H167" s="8" t="str">
        <f>TRIM('Raw Dataset'!H167)</f>
        <v>CV Sihombing</v>
      </c>
      <c r="J167" t="str">
        <v>OK</v>
      </c>
      <c r="K167" t="str">
        <v>OK</v>
      </c>
    </row>
    <row r="168" spans="1:11" ht="14.25" customHeight="1" x14ac:dyDescent="0.35">
      <c r="A168" s="8" t="s">
        <v>219</v>
      </c>
      <c r="B168" s="8" t="s">
        <v>30</v>
      </c>
      <c r="C168" s="8" t="s">
        <v>36</v>
      </c>
      <c r="D168" s="8" t="s">
        <v>639</v>
      </c>
      <c r="E168" s="14">
        <v>45039</v>
      </c>
      <c r="F168" s="14">
        <v>45274</v>
      </c>
      <c r="G168" s="10">
        <v>3190510162</v>
      </c>
      <c r="H168" s="8" t="str">
        <f>TRIM('Raw Dataset'!H168)</f>
        <v>PT B</v>
      </c>
      <c r="J168" t="str">
        <v>OK</v>
      </c>
      <c r="K168" t="str">
        <v>OK</v>
      </c>
    </row>
    <row r="169" spans="1:11" ht="14.25" customHeight="1" x14ac:dyDescent="0.35">
      <c r="A169" s="8" t="s">
        <v>220</v>
      </c>
      <c r="B169" s="8" t="s">
        <v>35</v>
      </c>
      <c r="C169" s="8" t="s">
        <v>42</v>
      </c>
      <c r="D169" s="8" t="s">
        <v>69</v>
      </c>
      <c r="E169" s="14">
        <v>45041</v>
      </c>
      <c r="F169" s="14">
        <v>45102</v>
      </c>
      <c r="G169" s="10">
        <v>724043833</v>
      </c>
      <c r="H169" s="8" t="str">
        <f>TRIM('Raw Dataset'!H169)</f>
        <v>PT B</v>
      </c>
      <c r="J169" t="str">
        <v>OK</v>
      </c>
      <c r="K169" t="str">
        <v>OK</v>
      </c>
    </row>
    <row r="170" spans="1:11" ht="14.25" customHeight="1" x14ac:dyDescent="0.35">
      <c r="A170" s="8" t="s">
        <v>221</v>
      </c>
      <c r="B170" s="8" t="s">
        <v>60</v>
      </c>
      <c r="C170" s="8" t="s">
        <v>24</v>
      </c>
      <c r="D170" s="8" t="s">
        <v>640</v>
      </c>
      <c r="E170" s="14">
        <v>45041</v>
      </c>
      <c r="F170" s="14">
        <v>45359</v>
      </c>
      <c r="G170" s="10">
        <v>3094852115</v>
      </c>
      <c r="H170" s="8" t="str">
        <f>TRIM('Raw Dataset'!H170)</f>
        <v>PT D</v>
      </c>
      <c r="J170" t="str">
        <v>OK</v>
      </c>
      <c r="K170" t="str">
        <v>OK</v>
      </c>
    </row>
    <row r="171" spans="1:11" ht="14.25" customHeight="1" x14ac:dyDescent="0.35">
      <c r="A171" s="8" t="s">
        <v>222</v>
      </c>
      <c r="B171" s="8" t="s">
        <v>35</v>
      </c>
      <c r="C171" s="8" t="s">
        <v>13</v>
      </c>
      <c r="D171" s="8" t="s">
        <v>78</v>
      </c>
      <c r="E171" s="14">
        <v>45042</v>
      </c>
      <c r="F171" s="14">
        <v>45364</v>
      </c>
      <c r="G171" s="10">
        <v>433880373</v>
      </c>
      <c r="H171" s="8" t="str">
        <f>TRIM('Raw Dataset'!H171)</f>
        <v/>
      </c>
      <c r="J171" t="str">
        <v>OK</v>
      </c>
      <c r="K171" t="str">
        <v>OK</v>
      </c>
    </row>
    <row r="172" spans="1:11" ht="14.25" customHeight="1" x14ac:dyDescent="0.35">
      <c r="A172" s="8" t="s">
        <v>223</v>
      </c>
      <c r="B172" s="8" t="s">
        <v>30</v>
      </c>
      <c r="C172" s="8" t="s">
        <v>48</v>
      </c>
      <c r="D172" s="8" t="s">
        <v>615</v>
      </c>
      <c r="E172" s="14">
        <v>45045</v>
      </c>
      <c r="F172" s="14">
        <v>45394</v>
      </c>
      <c r="G172" s="10">
        <v>5094791554</v>
      </c>
      <c r="H172" s="8" t="str">
        <f>TRIM('Raw Dataset'!H172)</f>
        <v>CV Sihombing</v>
      </c>
      <c r="J172" t="str">
        <v>OK</v>
      </c>
      <c r="K172" t="str">
        <v>OK</v>
      </c>
    </row>
    <row r="173" spans="1:11" ht="14.25" customHeight="1" x14ac:dyDescent="0.35">
      <c r="A173" s="8" t="s">
        <v>224</v>
      </c>
      <c r="B173" s="8" t="s">
        <v>12</v>
      </c>
      <c r="C173" s="8" t="s">
        <v>48</v>
      </c>
      <c r="D173" s="8" t="s">
        <v>602</v>
      </c>
      <c r="E173" s="14">
        <v>45045</v>
      </c>
      <c r="F173" s="14">
        <v>45324</v>
      </c>
      <c r="G173" s="10">
        <v>407950829</v>
      </c>
      <c r="H173" s="8" t="str">
        <f>TRIM('Raw Dataset'!H173)</f>
        <v/>
      </c>
      <c r="J173" t="str">
        <v>OK</v>
      </c>
      <c r="K173" t="str">
        <v>OK</v>
      </c>
    </row>
    <row r="174" spans="1:11" ht="14.25" customHeight="1" x14ac:dyDescent="0.35">
      <c r="A174" s="8" t="s">
        <v>225</v>
      </c>
      <c r="B174" s="8" t="s">
        <v>18</v>
      </c>
      <c r="C174" s="8" t="s">
        <v>13</v>
      </c>
      <c r="D174" s="8" t="s">
        <v>580</v>
      </c>
      <c r="E174" s="14">
        <v>45045</v>
      </c>
      <c r="F174" s="14">
        <v>45376</v>
      </c>
      <c r="G174" s="10">
        <v>1692019622</v>
      </c>
      <c r="H174" s="8" t="str">
        <f>TRIM('Raw Dataset'!H174)</f>
        <v>PT A</v>
      </c>
      <c r="J174" t="str">
        <v>OK</v>
      </c>
      <c r="K174" t="str">
        <v>OK</v>
      </c>
    </row>
    <row r="175" spans="1:11" ht="14.25" customHeight="1" x14ac:dyDescent="0.35">
      <c r="A175" s="8" t="s">
        <v>226</v>
      </c>
      <c r="B175" s="8" t="s">
        <v>60</v>
      </c>
      <c r="C175" s="8" t="s">
        <v>24</v>
      </c>
      <c r="D175" s="8" t="s">
        <v>640</v>
      </c>
      <c r="E175" s="14">
        <v>45045</v>
      </c>
      <c r="F175" s="14">
        <v>45404</v>
      </c>
      <c r="G175" s="10">
        <v>4909765412</v>
      </c>
      <c r="H175" s="8" t="str">
        <f>TRIM('Raw Dataset'!H175)</f>
        <v>PT. Yuniar Hakim Tbk</v>
      </c>
      <c r="J175" t="str">
        <v>OK</v>
      </c>
      <c r="K175" t="str">
        <v>OK</v>
      </c>
    </row>
    <row r="176" spans="1:11" ht="14.25" customHeight="1" x14ac:dyDescent="0.35">
      <c r="A176" s="8" t="s">
        <v>227</v>
      </c>
      <c r="B176" s="8" t="s">
        <v>60</v>
      </c>
      <c r="C176" s="8" t="s">
        <v>24</v>
      </c>
      <c r="D176" s="8" t="s">
        <v>640</v>
      </c>
      <c r="E176" s="14">
        <v>45045</v>
      </c>
      <c r="F176" s="14">
        <v>45150</v>
      </c>
      <c r="G176" s="10">
        <v>3396315626</v>
      </c>
      <c r="H176" s="8" t="str">
        <f>TRIM('Raw Dataset'!H176)</f>
        <v>PT C</v>
      </c>
      <c r="J176" t="str">
        <v>OK</v>
      </c>
      <c r="K176" t="str">
        <v>OK</v>
      </c>
    </row>
    <row r="177" spans="1:11" ht="14.25" customHeight="1" x14ac:dyDescent="0.35">
      <c r="A177" s="8" t="s">
        <v>228</v>
      </c>
      <c r="B177" s="8" t="s">
        <v>60</v>
      </c>
      <c r="C177" s="8" t="s">
        <v>31</v>
      </c>
      <c r="D177" s="8" t="s">
        <v>599</v>
      </c>
      <c r="E177" s="14">
        <v>45048</v>
      </c>
      <c r="F177" s="14">
        <v>45358</v>
      </c>
      <c r="G177" s="10">
        <v>2665194797</v>
      </c>
      <c r="H177" s="8" t="str">
        <f>TRIM('Raw Dataset'!H177)</f>
        <v/>
      </c>
      <c r="J177" t="str">
        <v>OK</v>
      </c>
      <c r="K177" t="str">
        <v>OK</v>
      </c>
    </row>
    <row r="178" spans="1:11" ht="14.25" customHeight="1" x14ac:dyDescent="0.35">
      <c r="A178" s="8" t="s">
        <v>229</v>
      </c>
      <c r="B178" s="8" t="s">
        <v>30</v>
      </c>
      <c r="C178" s="8" t="s">
        <v>31</v>
      </c>
      <c r="D178" s="8" t="s">
        <v>585</v>
      </c>
      <c r="E178" s="14">
        <v>45049</v>
      </c>
      <c r="F178" s="14">
        <v>45401</v>
      </c>
      <c r="G178" s="10">
        <v>2586947699</v>
      </c>
      <c r="H178" s="8" t="str">
        <f>TRIM('Raw Dataset'!H178)</f>
        <v/>
      </c>
      <c r="J178" t="str">
        <v>OK</v>
      </c>
      <c r="K178" t="str">
        <v>OK</v>
      </c>
    </row>
    <row r="179" spans="1:11" ht="14.25" customHeight="1" x14ac:dyDescent="0.35">
      <c r="A179" s="8" t="s">
        <v>230</v>
      </c>
      <c r="B179" s="8" t="s">
        <v>12</v>
      </c>
      <c r="C179" s="8" t="s">
        <v>36</v>
      </c>
      <c r="D179" s="8" t="s">
        <v>578</v>
      </c>
      <c r="E179" s="14">
        <v>45052</v>
      </c>
      <c r="F179" s="14">
        <v>45087</v>
      </c>
      <c r="G179" s="10">
        <v>189032296</v>
      </c>
      <c r="H179" s="8" t="str">
        <f>TRIM('Raw Dataset'!H179)</f>
        <v/>
      </c>
      <c r="J179" t="str">
        <v>OK</v>
      </c>
      <c r="K179" t="str">
        <v>OK</v>
      </c>
    </row>
    <row r="180" spans="1:11" ht="14.25" customHeight="1" x14ac:dyDescent="0.35">
      <c r="A180" s="8" t="s">
        <v>231</v>
      </c>
      <c r="B180" s="8" t="s">
        <v>12</v>
      </c>
      <c r="C180" s="8" t="s">
        <v>39</v>
      </c>
      <c r="D180" s="8" t="s">
        <v>591</v>
      </c>
      <c r="E180" s="14">
        <v>45052</v>
      </c>
      <c r="F180" s="14">
        <v>45253</v>
      </c>
      <c r="G180" s="10">
        <v>484231869</v>
      </c>
      <c r="H180" s="8" t="str">
        <f>TRIM('Raw Dataset'!H180)</f>
        <v>CV Sihombing</v>
      </c>
      <c r="J180" t="str">
        <v>OK</v>
      </c>
      <c r="K180" t="str">
        <v>OK</v>
      </c>
    </row>
    <row r="181" spans="1:11" ht="14.25" customHeight="1" x14ac:dyDescent="0.35">
      <c r="A181" s="8" t="s">
        <v>232</v>
      </c>
      <c r="B181" s="8" t="s">
        <v>60</v>
      </c>
      <c r="C181" s="8" t="s">
        <v>36</v>
      </c>
      <c r="D181" s="8" t="s">
        <v>597</v>
      </c>
      <c r="E181" s="14">
        <v>45053</v>
      </c>
      <c r="F181" s="14">
        <v>45321</v>
      </c>
      <c r="G181" s="10">
        <v>1552182554</v>
      </c>
      <c r="H181" s="8" t="str">
        <f>TRIM('Raw Dataset'!H181)</f>
        <v>PT B</v>
      </c>
      <c r="J181" t="str">
        <v>OK</v>
      </c>
      <c r="K181" t="str">
        <v>OK</v>
      </c>
    </row>
    <row r="182" spans="1:11" ht="14.25" customHeight="1" x14ac:dyDescent="0.35">
      <c r="A182" s="8" t="s">
        <v>233</v>
      </c>
      <c r="B182" s="8" t="s">
        <v>35</v>
      </c>
      <c r="C182" s="8" t="s">
        <v>31</v>
      </c>
      <c r="D182" s="8" t="s">
        <v>91</v>
      </c>
      <c r="E182" s="14">
        <v>45053</v>
      </c>
      <c r="F182" s="14">
        <v>45410</v>
      </c>
      <c r="G182" s="10">
        <v>212901636</v>
      </c>
      <c r="H182" s="8" t="str">
        <f>TRIM('Raw Dataset'!H182)</f>
        <v>PT C</v>
      </c>
      <c r="J182" t="str">
        <v>OK</v>
      </c>
      <c r="K182" t="str">
        <v>OK</v>
      </c>
    </row>
    <row r="183" spans="1:11" ht="14.25" customHeight="1" x14ac:dyDescent="0.35">
      <c r="A183" s="8" t="s">
        <v>234</v>
      </c>
      <c r="B183" s="8" t="s">
        <v>12</v>
      </c>
      <c r="C183" s="8" t="s">
        <v>31</v>
      </c>
      <c r="D183" s="8" t="s">
        <v>593</v>
      </c>
      <c r="E183" s="14">
        <v>45055</v>
      </c>
      <c r="F183" s="14">
        <v>45315</v>
      </c>
      <c r="G183" s="10">
        <v>862295964</v>
      </c>
      <c r="H183" s="8" t="str">
        <f>TRIM('Raw Dataset'!H183)</f>
        <v>PT B</v>
      </c>
      <c r="J183" t="str">
        <v>OK</v>
      </c>
      <c r="K183" t="str">
        <v>OK</v>
      </c>
    </row>
    <row r="184" spans="1:11" ht="14.25" customHeight="1" x14ac:dyDescent="0.35">
      <c r="A184" s="8" t="s">
        <v>235</v>
      </c>
      <c r="B184" s="8" t="s">
        <v>35</v>
      </c>
      <c r="C184" s="8" t="s">
        <v>36</v>
      </c>
      <c r="D184" s="8" t="s">
        <v>37</v>
      </c>
      <c r="E184" s="14">
        <v>45055</v>
      </c>
      <c r="F184" s="14">
        <v>45273</v>
      </c>
      <c r="G184" s="10">
        <v>636437813</v>
      </c>
      <c r="H184" s="8" t="str">
        <f>TRIM('Raw Dataset'!H184)</f>
        <v>PT. Yuniar Hakim Tbk</v>
      </c>
      <c r="J184" t="str">
        <v>OK</v>
      </c>
      <c r="K184" t="str">
        <v>OK</v>
      </c>
    </row>
    <row r="185" spans="1:11" ht="14.25" customHeight="1" x14ac:dyDescent="0.35">
      <c r="A185" s="8" t="s">
        <v>236</v>
      </c>
      <c r="B185" s="8" t="s">
        <v>18</v>
      </c>
      <c r="C185" s="8" t="s">
        <v>19</v>
      </c>
      <c r="D185" s="8" t="s">
        <v>633</v>
      </c>
      <c r="E185" s="14">
        <v>45056</v>
      </c>
      <c r="F185" s="14">
        <v>45210</v>
      </c>
      <c r="G185" s="10">
        <v>22993543140</v>
      </c>
      <c r="H185" s="8" t="str">
        <f>TRIM('Raw Dataset'!H185)</f>
        <v>PT A</v>
      </c>
      <c r="J185" t="str">
        <v>OK</v>
      </c>
      <c r="K185" t="str">
        <v>OK</v>
      </c>
    </row>
    <row r="186" spans="1:11" ht="14.25" customHeight="1" x14ac:dyDescent="0.35">
      <c r="A186" s="8" t="s">
        <v>237</v>
      </c>
      <c r="B186" s="8" t="s">
        <v>30</v>
      </c>
      <c r="C186" s="8" t="s">
        <v>31</v>
      </c>
      <c r="D186" s="8" t="s">
        <v>595</v>
      </c>
      <c r="E186" s="14">
        <v>45056</v>
      </c>
      <c r="F186" s="14">
        <v>45364</v>
      </c>
      <c r="G186" s="10">
        <v>5097478222</v>
      </c>
      <c r="H186" s="8" t="str">
        <f>TRIM('Raw Dataset'!H186)</f>
        <v>CV Sihombing</v>
      </c>
      <c r="J186" t="str">
        <v>OK</v>
      </c>
      <c r="K186" t="str">
        <v>OK</v>
      </c>
    </row>
    <row r="187" spans="1:11" ht="14.25" customHeight="1" x14ac:dyDescent="0.35">
      <c r="A187" s="8" t="s">
        <v>238</v>
      </c>
      <c r="B187" s="8" t="s">
        <v>30</v>
      </c>
      <c r="C187" s="8" t="s">
        <v>24</v>
      </c>
      <c r="D187" s="8" t="s">
        <v>612</v>
      </c>
      <c r="E187" s="14">
        <v>45056</v>
      </c>
      <c r="F187" s="14">
        <v>45387</v>
      </c>
      <c r="G187" s="10">
        <v>6825404228</v>
      </c>
      <c r="H187" s="8" t="str">
        <f>TRIM('Raw Dataset'!H187)</f>
        <v>PT. Yuniar Hakim Tbk</v>
      </c>
      <c r="J187" t="str">
        <v>OK</v>
      </c>
      <c r="K187" t="str">
        <v>OK</v>
      </c>
    </row>
    <row r="188" spans="1:11" ht="14.25" customHeight="1" x14ac:dyDescent="0.35">
      <c r="A188" s="8" t="s">
        <v>239</v>
      </c>
      <c r="B188" s="8" t="s">
        <v>35</v>
      </c>
      <c r="C188" s="8" t="s">
        <v>24</v>
      </c>
      <c r="D188" s="8" t="s">
        <v>133</v>
      </c>
      <c r="E188" s="14">
        <v>45057</v>
      </c>
      <c r="F188" s="14">
        <v>45337</v>
      </c>
      <c r="G188" s="10">
        <v>711908536</v>
      </c>
      <c r="H188" s="8" t="str">
        <f>TRIM('Raw Dataset'!H188)</f>
        <v>PT. Lailasari Hariyah (Persero) Tbk</v>
      </c>
      <c r="J188" t="str">
        <v>OK</v>
      </c>
      <c r="K188" t="str">
        <v>OK</v>
      </c>
    </row>
    <row r="189" spans="1:11" ht="14.25" customHeight="1" x14ac:dyDescent="0.35">
      <c r="A189" s="8" t="s">
        <v>240</v>
      </c>
      <c r="B189" s="8" t="s">
        <v>60</v>
      </c>
      <c r="C189" s="8" t="s">
        <v>36</v>
      </c>
      <c r="D189" s="8" t="s">
        <v>597</v>
      </c>
      <c r="E189" s="14">
        <v>45057</v>
      </c>
      <c r="F189" s="14">
        <v>45261</v>
      </c>
      <c r="G189" s="10">
        <v>4488626883</v>
      </c>
      <c r="H189" s="8" t="str">
        <f>TRIM('Raw Dataset'!H189)</f>
        <v>PT A</v>
      </c>
      <c r="J189" t="str">
        <v>OK</v>
      </c>
      <c r="K189" t="str">
        <v>OK</v>
      </c>
    </row>
    <row r="190" spans="1:11" ht="14.25" customHeight="1" x14ac:dyDescent="0.35">
      <c r="A190" s="8" t="s">
        <v>241</v>
      </c>
      <c r="B190" s="8" t="s">
        <v>12</v>
      </c>
      <c r="C190" s="8" t="s">
        <v>31</v>
      </c>
      <c r="D190" s="8" t="s">
        <v>593</v>
      </c>
      <c r="E190" s="14">
        <v>45058</v>
      </c>
      <c r="F190" s="14">
        <v>45145</v>
      </c>
      <c r="G190" s="10">
        <v>833760455</v>
      </c>
      <c r="H190" s="8" t="str">
        <f>TRIM('Raw Dataset'!H190)</f>
        <v>PT D</v>
      </c>
      <c r="J190" t="str">
        <v>OK</v>
      </c>
      <c r="K190" t="str">
        <v>OK</v>
      </c>
    </row>
    <row r="191" spans="1:11" ht="14.25" customHeight="1" x14ac:dyDescent="0.35">
      <c r="A191" s="8" t="s">
        <v>242</v>
      </c>
      <c r="B191" s="8" t="s">
        <v>12</v>
      </c>
      <c r="C191" s="8" t="s">
        <v>19</v>
      </c>
      <c r="D191" s="8" t="s">
        <v>631</v>
      </c>
      <c r="E191" s="14">
        <v>45059</v>
      </c>
      <c r="F191" s="14">
        <v>45390</v>
      </c>
      <c r="G191" s="10">
        <v>796873116</v>
      </c>
      <c r="H191" s="8" t="str">
        <f>TRIM('Raw Dataset'!H191)</f>
        <v>PT C</v>
      </c>
      <c r="J191" t="str">
        <v>OK</v>
      </c>
      <c r="K191" t="str">
        <v>OK</v>
      </c>
    </row>
    <row r="192" spans="1:11" ht="14.25" customHeight="1" x14ac:dyDescent="0.35">
      <c r="A192" s="8" t="s">
        <v>243</v>
      </c>
      <c r="B192" s="8" t="s">
        <v>12</v>
      </c>
      <c r="C192" s="8" t="s">
        <v>48</v>
      </c>
      <c r="D192" s="8" t="s">
        <v>602</v>
      </c>
      <c r="E192" s="14">
        <v>45060</v>
      </c>
      <c r="F192" s="14">
        <v>45231</v>
      </c>
      <c r="G192" s="10">
        <v>265841157</v>
      </c>
      <c r="H192" s="8" t="str">
        <f>TRIM('Raw Dataset'!H192)</f>
        <v>PT B</v>
      </c>
      <c r="J192" t="str">
        <v>OK</v>
      </c>
      <c r="K192" t="str">
        <v>OK</v>
      </c>
    </row>
    <row r="193" spans="1:11" ht="14.25" customHeight="1" x14ac:dyDescent="0.35">
      <c r="A193" s="8" t="s">
        <v>244</v>
      </c>
      <c r="B193" s="8" t="s">
        <v>30</v>
      </c>
      <c r="C193" s="8" t="s">
        <v>42</v>
      </c>
      <c r="D193" s="8" t="s">
        <v>632</v>
      </c>
      <c r="E193" s="14">
        <v>45061</v>
      </c>
      <c r="F193" s="14">
        <v>45294</v>
      </c>
      <c r="G193" s="10">
        <v>2403144972</v>
      </c>
      <c r="H193" s="8" t="str">
        <f>TRIM('Raw Dataset'!H193)</f>
        <v>PT B</v>
      </c>
      <c r="J193" t="str">
        <v>OK</v>
      </c>
      <c r="K193" t="str">
        <v>OK</v>
      </c>
    </row>
    <row r="194" spans="1:11" ht="14.25" customHeight="1" x14ac:dyDescent="0.35">
      <c r="A194" s="8" t="s">
        <v>245</v>
      </c>
      <c r="B194" s="8" t="s">
        <v>30</v>
      </c>
      <c r="C194" s="8" t="s">
        <v>42</v>
      </c>
      <c r="D194" s="8" t="s">
        <v>632</v>
      </c>
      <c r="E194" s="14">
        <v>45062</v>
      </c>
      <c r="F194" s="14">
        <v>45418</v>
      </c>
      <c r="G194" s="10">
        <v>2353183969</v>
      </c>
      <c r="H194" s="8" t="str">
        <f>TRIM('Raw Dataset'!H194)</f>
        <v>PT C</v>
      </c>
      <c r="J194" t="str">
        <v>OK</v>
      </c>
      <c r="K194" t="str">
        <v>OK</v>
      </c>
    </row>
    <row r="195" spans="1:11" ht="14.25" customHeight="1" x14ac:dyDescent="0.35">
      <c r="A195" s="8" t="s">
        <v>246</v>
      </c>
      <c r="B195" s="8" t="s">
        <v>30</v>
      </c>
      <c r="C195" s="8" t="s">
        <v>31</v>
      </c>
      <c r="D195" s="8" t="s">
        <v>585</v>
      </c>
      <c r="E195" s="14">
        <v>45063</v>
      </c>
      <c r="F195" s="14">
        <v>45233</v>
      </c>
      <c r="G195" s="10">
        <v>3010188959</v>
      </c>
      <c r="H195" s="8" t="str">
        <f>TRIM('Raw Dataset'!H195)</f>
        <v>PT C</v>
      </c>
      <c r="J195" t="str">
        <v>OK</v>
      </c>
      <c r="K195" t="str">
        <v>OK</v>
      </c>
    </row>
    <row r="196" spans="1:11" ht="14.25" customHeight="1" x14ac:dyDescent="0.35">
      <c r="A196" s="8" t="s">
        <v>247</v>
      </c>
      <c r="B196" s="8" t="s">
        <v>30</v>
      </c>
      <c r="C196" s="8" t="s">
        <v>31</v>
      </c>
      <c r="D196" s="8" t="s">
        <v>585</v>
      </c>
      <c r="E196" s="14">
        <v>45063</v>
      </c>
      <c r="F196" s="14">
        <v>45274</v>
      </c>
      <c r="G196" s="10">
        <v>3270056272</v>
      </c>
      <c r="H196" s="8" t="str">
        <f>TRIM('Raw Dataset'!H196)</f>
        <v>PT. Yuniar Hakim Tbk</v>
      </c>
      <c r="J196" t="str">
        <v>OK</v>
      </c>
      <c r="K196" t="str">
        <v>OK</v>
      </c>
    </row>
    <row r="197" spans="1:11" ht="14.25" customHeight="1" x14ac:dyDescent="0.35">
      <c r="A197" s="8" t="s">
        <v>248</v>
      </c>
      <c r="B197" s="8" t="s">
        <v>60</v>
      </c>
      <c r="C197" s="8" t="s">
        <v>48</v>
      </c>
      <c r="D197" s="8" t="s">
        <v>625</v>
      </c>
      <c r="E197" s="14">
        <v>45063</v>
      </c>
      <c r="F197" s="14">
        <v>45376</v>
      </c>
      <c r="G197" s="10">
        <v>2737545275</v>
      </c>
      <c r="H197" s="8" t="str">
        <f>TRIM('Raw Dataset'!H197)</f>
        <v>PT A</v>
      </c>
      <c r="J197" t="str">
        <v>OK</v>
      </c>
      <c r="K197" t="str">
        <v>OK</v>
      </c>
    </row>
    <row r="198" spans="1:11" ht="14.25" customHeight="1" x14ac:dyDescent="0.35">
      <c r="A198" s="8" t="s">
        <v>249</v>
      </c>
      <c r="B198" s="8" t="s">
        <v>35</v>
      </c>
      <c r="C198" s="8" t="s">
        <v>39</v>
      </c>
      <c r="D198" s="8" t="s">
        <v>145</v>
      </c>
      <c r="E198" s="14">
        <v>45063</v>
      </c>
      <c r="F198" s="14">
        <v>45215</v>
      </c>
      <c r="G198" s="10">
        <v>435396392</v>
      </c>
      <c r="H198" s="8" t="str">
        <f>TRIM('Raw Dataset'!H198)</f>
        <v>PT A</v>
      </c>
      <c r="J198" t="str">
        <v>OK</v>
      </c>
      <c r="K198" t="str">
        <v>OK</v>
      </c>
    </row>
    <row r="199" spans="1:11" ht="14.25" customHeight="1" x14ac:dyDescent="0.35">
      <c r="A199" s="8" t="s">
        <v>250</v>
      </c>
      <c r="B199" s="8" t="s">
        <v>12</v>
      </c>
      <c r="C199" s="8" t="s">
        <v>13</v>
      </c>
      <c r="D199" s="8" t="s">
        <v>605</v>
      </c>
      <c r="E199" s="14">
        <v>45064</v>
      </c>
      <c r="F199" s="14">
        <v>45199</v>
      </c>
      <c r="G199" s="10">
        <v>862972191</v>
      </c>
      <c r="H199" s="8" t="str">
        <f>TRIM('Raw Dataset'!H199)</f>
        <v>PT. Lailasari Hariyah (Persero) Tbk</v>
      </c>
      <c r="J199" t="str">
        <v>OK</v>
      </c>
      <c r="K199" t="str">
        <v>OK</v>
      </c>
    </row>
    <row r="200" spans="1:11" ht="14.25" customHeight="1" x14ac:dyDescent="0.35">
      <c r="A200" s="8" t="s">
        <v>251</v>
      </c>
      <c r="B200" s="8" t="s">
        <v>35</v>
      </c>
      <c r="C200" s="8" t="s">
        <v>39</v>
      </c>
      <c r="D200" s="8" t="s">
        <v>145</v>
      </c>
      <c r="E200" s="14">
        <v>45066</v>
      </c>
      <c r="F200" s="14">
        <v>45101</v>
      </c>
      <c r="G200" s="10">
        <v>540011263</v>
      </c>
      <c r="H200" s="8" t="str">
        <f>TRIM('Raw Dataset'!H200)</f>
        <v>PT A</v>
      </c>
      <c r="J200" t="str">
        <v>OK</v>
      </c>
      <c r="K200" t="str">
        <v>OK</v>
      </c>
    </row>
    <row r="201" spans="1:11" ht="14.25" customHeight="1" x14ac:dyDescent="0.35">
      <c r="A201" s="8" t="s">
        <v>252</v>
      </c>
      <c r="B201" s="8" t="s">
        <v>30</v>
      </c>
      <c r="C201" s="8" t="s">
        <v>42</v>
      </c>
      <c r="D201" s="8" t="s">
        <v>632</v>
      </c>
      <c r="E201" s="14">
        <v>45068</v>
      </c>
      <c r="F201" s="14">
        <v>45110</v>
      </c>
      <c r="G201" s="10">
        <v>1029500364</v>
      </c>
      <c r="H201" s="8" t="str">
        <f>TRIM('Raw Dataset'!H201)</f>
        <v>PT D</v>
      </c>
      <c r="J201" t="str">
        <v>OK</v>
      </c>
      <c r="K201" t="str">
        <v>OK</v>
      </c>
    </row>
    <row r="202" spans="1:11" ht="14.25" customHeight="1" x14ac:dyDescent="0.35">
      <c r="A202" s="8" t="s">
        <v>253</v>
      </c>
      <c r="B202" s="8" t="s">
        <v>12</v>
      </c>
      <c r="C202" s="8" t="s">
        <v>19</v>
      </c>
      <c r="D202" s="8" t="s">
        <v>631</v>
      </c>
      <c r="E202" s="14">
        <v>45069</v>
      </c>
      <c r="F202" s="14">
        <v>45337</v>
      </c>
      <c r="G202" s="10">
        <v>641123605</v>
      </c>
      <c r="H202" s="8" t="str">
        <f>TRIM('Raw Dataset'!H202)</f>
        <v>CV Sihombing</v>
      </c>
      <c r="J202" t="str">
        <v>OK</v>
      </c>
      <c r="K202" t="str">
        <v>OK</v>
      </c>
    </row>
    <row r="203" spans="1:11" ht="14.25" customHeight="1" x14ac:dyDescent="0.35">
      <c r="A203" s="8" t="s">
        <v>254</v>
      </c>
      <c r="B203" s="8" t="s">
        <v>60</v>
      </c>
      <c r="C203" s="8" t="s">
        <v>31</v>
      </c>
      <c r="D203" s="8" t="s">
        <v>599</v>
      </c>
      <c r="E203" s="14">
        <v>45070</v>
      </c>
      <c r="F203" s="14">
        <v>45413</v>
      </c>
      <c r="G203" s="10">
        <v>3739543587</v>
      </c>
      <c r="H203" s="8" t="str">
        <f>TRIM('Raw Dataset'!H203)</f>
        <v>PT C</v>
      </c>
      <c r="J203" t="str">
        <v>OK</v>
      </c>
      <c r="K203" t="str">
        <v>OK</v>
      </c>
    </row>
    <row r="204" spans="1:11" ht="14.25" customHeight="1" x14ac:dyDescent="0.35">
      <c r="A204" s="8" t="s">
        <v>255</v>
      </c>
      <c r="B204" s="8" t="s">
        <v>18</v>
      </c>
      <c r="C204" s="8" t="s">
        <v>36</v>
      </c>
      <c r="D204" s="8" t="s">
        <v>634</v>
      </c>
      <c r="E204" s="14">
        <v>45072</v>
      </c>
      <c r="F204" s="14">
        <v>45108</v>
      </c>
      <c r="G204" s="10">
        <v>1989239519</v>
      </c>
      <c r="H204" s="8" t="str">
        <f>TRIM('Raw Dataset'!H204)</f>
        <v>PT B</v>
      </c>
      <c r="J204" t="str">
        <v>OK</v>
      </c>
      <c r="K204" t="str">
        <v>OK</v>
      </c>
    </row>
    <row r="205" spans="1:11" ht="14.25" customHeight="1" x14ac:dyDescent="0.35">
      <c r="A205" s="8" t="s">
        <v>256</v>
      </c>
      <c r="B205" s="8" t="s">
        <v>12</v>
      </c>
      <c r="C205" s="8" t="s">
        <v>48</v>
      </c>
      <c r="D205" s="8" t="s">
        <v>602</v>
      </c>
      <c r="E205" s="14">
        <v>45072</v>
      </c>
      <c r="F205" s="14">
        <v>45310</v>
      </c>
      <c r="G205" s="10">
        <v>751081465</v>
      </c>
      <c r="H205" s="8" t="str">
        <f>TRIM('Raw Dataset'!H205)</f>
        <v>PT A</v>
      </c>
      <c r="J205" t="str">
        <v>OK</v>
      </c>
      <c r="K205" t="str">
        <v>OK</v>
      </c>
    </row>
    <row r="206" spans="1:11" ht="14.25" customHeight="1" x14ac:dyDescent="0.35">
      <c r="A206" s="8" t="s">
        <v>257</v>
      </c>
      <c r="B206" s="8" t="s">
        <v>35</v>
      </c>
      <c r="C206" s="8" t="s">
        <v>48</v>
      </c>
      <c r="D206" s="8" t="s">
        <v>49</v>
      </c>
      <c r="E206" s="14">
        <v>45073</v>
      </c>
      <c r="F206" s="14">
        <v>45400</v>
      </c>
      <c r="G206" s="10">
        <v>396170576</v>
      </c>
      <c r="H206" s="8" t="str">
        <f>TRIM('Raw Dataset'!H206)</f>
        <v>PT D</v>
      </c>
      <c r="J206" t="str">
        <v>OK</v>
      </c>
      <c r="K206" t="str">
        <v>OK</v>
      </c>
    </row>
    <row r="207" spans="1:11" ht="14.25" customHeight="1" x14ac:dyDescent="0.35">
      <c r="A207" s="8" t="s">
        <v>258</v>
      </c>
      <c r="B207" s="8" t="s">
        <v>60</v>
      </c>
      <c r="C207" s="8" t="s">
        <v>36</v>
      </c>
      <c r="D207" s="8" t="s">
        <v>597</v>
      </c>
      <c r="E207" s="14">
        <v>45073</v>
      </c>
      <c r="F207" s="14">
        <v>45368</v>
      </c>
      <c r="G207" s="10">
        <v>3867278410</v>
      </c>
      <c r="H207" s="8" t="str">
        <f>TRIM('Raw Dataset'!H207)</f>
        <v>PT B</v>
      </c>
      <c r="J207" t="str">
        <v>OK</v>
      </c>
      <c r="K207" t="str">
        <v>OK</v>
      </c>
    </row>
    <row r="208" spans="1:11" ht="14.25" customHeight="1" x14ac:dyDescent="0.35">
      <c r="A208" s="8" t="s">
        <v>259</v>
      </c>
      <c r="B208" s="8" t="s">
        <v>18</v>
      </c>
      <c r="C208" s="8" t="s">
        <v>39</v>
      </c>
      <c r="D208" s="8" t="s">
        <v>577</v>
      </c>
      <c r="E208" s="14">
        <v>45074</v>
      </c>
      <c r="F208" s="14">
        <v>45326</v>
      </c>
      <c r="G208" s="10">
        <v>1475452617</v>
      </c>
      <c r="H208" s="8" t="str">
        <f>TRIM('Raw Dataset'!H208)</f>
        <v>PT A</v>
      </c>
      <c r="J208" t="str">
        <v>OK</v>
      </c>
      <c r="K208" t="str">
        <v>OK</v>
      </c>
    </row>
    <row r="209" spans="1:11" ht="14.25" customHeight="1" x14ac:dyDescent="0.35">
      <c r="A209" s="8" t="s">
        <v>260</v>
      </c>
      <c r="B209" s="11"/>
      <c r="C209" s="11"/>
      <c r="D209" s="8" t="s">
        <v>629</v>
      </c>
      <c r="E209" s="14">
        <v>45074</v>
      </c>
      <c r="F209" s="14">
        <v>45243</v>
      </c>
      <c r="G209" s="10">
        <v>8372699981</v>
      </c>
      <c r="H209" s="8" t="str">
        <f>TRIM('Raw Dataset'!H209)</f>
        <v/>
      </c>
      <c r="J209" t="str">
        <v>OK</v>
      </c>
      <c r="K209" t="str">
        <v>OK</v>
      </c>
    </row>
    <row r="210" spans="1:11" ht="14.25" customHeight="1" x14ac:dyDescent="0.35">
      <c r="A210" s="8" t="s">
        <v>261</v>
      </c>
      <c r="B210" s="8" t="s">
        <v>35</v>
      </c>
      <c r="C210" s="8" t="s">
        <v>31</v>
      </c>
      <c r="D210" s="8" t="s">
        <v>91</v>
      </c>
      <c r="E210" s="14">
        <v>45074</v>
      </c>
      <c r="F210" s="14">
        <v>45215</v>
      </c>
      <c r="G210" s="10">
        <v>467726708</v>
      </c>
      <c r="H210" s="8" t="str">
        <f>TRIM('Raw Dataset'!H210)</f>
        <v>PT. Lailasari Hariyah (Persero) Tbk</v>
      </c>
      <c r="J210" t="str">
        <v>OK</v>
      </c>
      <c r="K210" t="str">
        <v>OK</v>
      </c>
    </row>
    <row r="211" spans="1:11" ht="14.25" customHeight="1" x14ac:dyDescent="0.35">
      <c r="A211" s="8" t="s">
        <v>262</v>
      </c>
      <c r="B211" s="8" t="s">
        <v>30</v>
      </c>
      <c r="C211" s="8" t="s">
        <v>31</v>
      </c>
      <c r="D211" s="8" t="s">
        <v>595</v>
      </c>
      <c r="E211" s="14">
        <v>45075</v>
      </c>
      <c r="F211" s="14">
        <v>45276</v>
      </c>
      <c r="G211" s="10">
        <v>3277415006</v>
      </c>
      <c r="H211" s="8" t="str">
        <f>TRIM('Raw Dataset'!H211)</f>
        <v>PT C</v>
      </c>
      <c r="J211" t="str">
        <v>OK</v>
      </c>
      <c r="K211" t="str">
        <v>OK</v>
      </c>
    </row>
    <row r="212" spans="1:11" ht="14.25" customHeight="1" x14ac:dyDescent="0.35">
      <c r="A212" s="8" t="s">
        <v>263</v>
      </c>
      <c r="B212" s="8" t="s">
        <v>35</v>
      </c>
      <c r="C212" s="8" t="s">
        <v>31</v>
      </c>
      <c r="D212" s="8" t="s">
        <v>91</v>
      </c>
      <c r="E212" s="14">
        <v>45076</v>
      </c>
      <c r="F212" s="14">
        <v>45355</v>
      </c>
      <c r="G212" s="10">
        <v>636468503</v>
      </c>
      <c r="H212" s="8" t="str">
        <f>TRIM('Raw Dataset'!H212)</f>
        <v>PT. Yuniar Hakim Tbk</v>
      </c>
      <c r="J212" t="str">
        <v>OK</v>
      </c>
      <c r="K212" t="str">
        <v>OK</v>
      </c>
    </row>
    <row r="213" spans="1:11" ht="14.25" customHeight="1" x14ac:dyDescent="0.35">
      <c r="A213" s="8" t="s">
        <v>264</v>
      </c>
      <c r="B213" s="8" t="s">
        <v>18</v>
      </c>
      <c r="C213" s="8" t="s">
        <v>48</v>
      </c>
      <c r="D213" s="8" t="s">
        <v>629</v>
      </c>
      <c r="E213" s="14">
        <v>45078</v>
      </c>
      <c r="F213" s="14">
        <v>45153</v>
      </c>
      <c r="G213" s="10">
        <v>1206249778</v>
      </c>
      <c r="H213" s="8" t="str">
        <f>TRIM('Raw Dataset'!H213)</f>
        <v>PT B</v>
      </c>
      <c r="J213" t="str">
        <v>OK</v>
      </c>
      <c r="K213" t="str">
        <v>OK</v>
      </c>
    </row>
    <row r="214" spans="1:11" ht="14.25" customHeight="1" x14ac:dyDescent="0.35">
      <c r="A214" s="13" t="s">
        <v>265</v>
      </c>
      <c r="B214" s="8" t="s">
        <v>18</v>
      </c>
      <c r="C214" s="8" t="s">
        <v>48</v>
      </c>
      <c r="D214" s="8" t="s">
        <v>629</v>
      </c>
      <c r="E214" s="14">
        <v>45078</v>
      </c>
      <c r="F214" s="14">
        <v>45153</v>
      </c>
      <c r="G214" s="10">
        <v>6060807570</v>
      </c>
      <c r="H214" s="8" t="str">
        <f>TRIM('Raw Dataset'!H214)</f>
        <v>PT. Yuniar Hakim Tbk</v>
      </c>
      <c r="J214" t="str">
        <v>OK</v>
      </c>
      <c r="K214" t="str">
        <v>OK</v>
      </c>
    </row>
    <row r="215" spans="1:11" ht="14.25" customHeight="1" x14ac:dyDescent="0.35">
      <c r="A215" s="8" t="s">
        <v>266</v>
      </c>
      <c r="B215" s="8" t="s">
        <v>60</v>
      </c>
      <c r="C215" s="8" t="s">
        <v>42</v>
      </c>
      <c r="D215" s="8" t="s">
        <v>587</v>
      </c>
      <c r="E215" s="14">
        <v>45078</v>
      </c>
      <c r="F215" s="14">
        <v>45220</v>
      </c>
      <c r="G215" s="10">
        <v>2544644297</v>
      </c>
      <c r="H215" s="8" t="str">
        <f>TRIM('Raw Dataset'!H215)</f>
        <v/>
      </c>
      <c r="J215" t="str">
        <v>OK</v>
      </c>
      <c r="K215" t="str">
        <v>OK</v>
      </c>
    </row>
    <row r="216" spans="1:11" ht="14.25" customHeight="1" x14ac:dyDescent="0.35">
      <c r="A216" s="8" t="s">
        <v>267</v>
      </c>
      <c r="B216" s="8" t="s">
        <v>30</v>
      </c>
      <c r="C216" s="8" t="s">
        <v>39</v>
      </c>
      <c r="D216" s="8" t="s">
        <v>590</v>
      </c>
      <c r="E216" s="14">
        <v>45080</v>
      </c>
      <c r="F216" s="14">
        <v>45423</v>
      </c>
      <c r="G216" s="10">
        <v>6557069994</v>
      </c>
      <c r="H216" s="8" t="str">
        <f>TRIM('Raw Dataset'!H216)</f>
        <v>PT C</v>
      </c>
      <c r="J216" t="str">
        <v>OK</v>
      </c>
      <c r="K216" t="str">
        <v>OK</v>
      </c>
    </row>
    <row r="217" spans="1:11" ht="14.25" customHeight="1" x14ac:dyDescent="0.35">
      <c r="A217" s="8" t="s">
        <v>268</v>
      </c>
      <c r="B217" s="8" t="s">
        <v>60</v>
      </c>
      <c r="C217" s="8" t="s">
        <v>19</v>
      </c>
      <c r="D217" s="8" t="s">
        <v>616</v>
      </c>
      <c r="E217" s="14">
        <v>45081</v>
      </c>
      <c r="F217" s="14">
        <v>45393</v>
      </c>
      <c r="G217" s="10">
        <v>4526013687</v>
      </c>
      <c r="H217" s="8" t="str">
        <f>TRIM('Raw Dataset'!H217)</f>
        <v>PT B</v>
      </c>
      <c r="J217" t="str">
        <v>OK</v>
      </c>
      <c r="K217" t="str">
        <v>OK</v>
      </c>
    </row>
    <row r="218" spans="1:11" ht="14.25" customHeight="1" x14ac:dyDescent="0.35">
      <c r="A218" s="8" t="s">
        <v>269</v>
      </c>
      <c r="B218" s="8" t="s">
        <v>60</v>
      </c>
      <c r="C218" s="8" t="s">
        <v>36</v>
      </c>
      <c r="D218" s="8" t="s">
        <v>597</v>
      </c>
      <c r="E218" s="14">
        <v>45081</v>
      </c>
      <c r="F218" s="14">
        <v>45336</v>
      </c>
      <c r="G218" s="10">
        <v>1746655000</v>
      </c>
      <c r="H218" s="8" t="str">
        <f>TRIM('Raw Dataset'!H218)</f>
        <v>CV Sihombing</v>
      </c>
      <c r="J218" t="str">
        <v>OK</v>
      </c>
      <c r="K218" t="str">
        <v>OK</v>
      </c>
    </row>
    <row r="219" spans="1:11" ht="14.25" customHeight="1" x14ac:dyDescent="0.35">
      <c r="A219" s="8" t="s">
        <v>270</v>
      </c>
      <c r="B219" s="8" t="s">
        <v>30</v>
      </c>
      <c r="C219" s="8" t="s">
        <v>42</v>
      </c>
      <c r="D219" s="8" t="s">
        <v>632</v>
      </c>
      <c r="E219" s="14">
        <v>45081</v>
      </c>
      <c r="F219" s="14">
        <v>45151</v>
      </c>
      <c r="G219" s="10">
        <v>846453122</v>
      </c>
      <c r="H219" s="8" t="str">
        <f>TRIM('Raw Dataset'!H219)</f>
        <v>PT D</v>
      </c>
      <c r="J219" t="str">
        <v>OK</v>
      </c>
      <c r="K219" t="str">
        <v>OK</v>
      </c>
    </row>
    <row r="220" spans="1:11" ht="14.25" customHeight="1" x14ac:dyDescent="0.35">
      <c r="A220" s="8" t="s">
        <v>271</v>
      </c>
      <c r="B220" s="8" t="s">
        <v>12</v>
      </c>
      <c r="C220" s="8" t="s">
        <v>19</v>
      </c>
      <c r="D220" s="8" t="s">
        <v>631</v>
      </c>
      <c r="E220" s="14">
        <v>45081</v>
      </c>
      <c r="F220" s="14">
        <v>45142</v>
      </c>
      <c r="G220" s="10">
        <v>203965243</v>
      </c>
      <c r="H220" s="8" t="str">
        <f>TRIM('Raw Dataset'!H220)</f>
        <v>PT D</v>
      </c>
      <c r="J220" t="str">
        <v>OK</v>
      </c>
      <c r="K220" t="str">
        <v>OK</v>
      </c>
    </row>
    <row r="221" spans="1:11" ht="14.25" customHeight="1" x14ac:dyDescent="0.35">
      <c r="A221" s="8" t="s">
        <v>272</v>
      </c>
      <c r="B221" s="8" t="s">
        <v>60</v>
      </c>
      <c r="C221" s="8" t="s">
        <v>31</v>
      </c>
      <c r="D221" s="8" t="s">
        <v>613</v>
      </c>
      <c r="E221" s="14">
        <v>45081</v>
      </c>
      <c r="F221" s="14">
        <v>45386</v>
      </c>
      <c r="G221" s="10">
        <v>10119728525</v>
      </c>
      <c r="H221" s="8" t="str">
        <f>TRIM('Raw Dataset'!H221)</f>
        <v>PT B</v>
      </c>
      <c r="J221" t="str">
        <v>OK</v>
      </c>
      <c r="K221" t="str">
        <v>OK</v>
      </c>
    </row>
    <row r="222" spans="1:11" ht="14.25" customHeight="1" x14ac:dyDescent="0.35">
      <c r="A222" s="8" t="s">
        <v>273</v>
      </c>
      <c r="B222" s="8" t="s">
        <v>60</v>
      </c>
      <c r="C222" s="8" t="s">
        <v>19</v>
      </c>
      <c r="D222" s="8" t="s">
        <v>616</v>
      </c>
      <c r="E222" s="14">
        <v>45082</v>
      </c>
      <c r="F222" s="14">
        <v>45410</v>
      </c>
      <c r="G222" s="10">
        <v>4915550556</v>
      </c>
      <c r="H222" s="8" t="str">
        <f>TRIM('Raw Dataset'!H222)</f>
        <v>PT A</v>
      </c>
      <c r="J222" t="str">
        <v>OK</v>
      </c>
      <c r="K222" t="str">
        <v>OK</v>
      </c>
    </row>
    <row r="223" spans="1:11" ht="14.25" customHeight="1" x14ac:dyDescent="0.35">
      <c r="A223" s="8" t="s">
        <v>274</v>
      </c>
      <c r="B223" s="8" t="s">
        <v>35</v>
      </c>
      <c r="C223" s="8" t="s">
        <v>13</v>
      </c>
      <c r="D223" s="8" t="s">
        <v>78</v>
      </c>
      <c r="E223" s="14">
        <v>45084</v>
      </c>
      <c r="F223" s="14">
        <v>45303</v>
      </c>
      <c r="G223" s="10">
        <v>490931117</v>
      </c>
      <c r="H223" s="8" t="str">
        <f>TRIM('Raw Dataset'!H223)</f>
        <v>CV Sihombing</v>
      </c>
      <c r="J223" t="str">
        <v>OK</v>
      </c>
      <c r="K223" t="str">
        <v>OK</v>
      </c>
    </row>
    <row r="224" spans="1:11" ht="14.25" customHeight="1" x14ac:dyDescent="0.35">
      <c r="A224" s="8" t="s">
        <v>275</v>
      </c>
      <c r="B224" s="8" t="s">
        <v>35</v>
      </c>
      <c r="C224" s="8" t="s">
        <v>36</v>
      </c>
      <c r="D224" s="8" t="s">
        <v>37</v>
      </c>
      <c r="E224" s="14">
        <v>45084</v>
      </c>
      <c r="F224" s="14">
        <v>45379</v>
      </c>
      <c r="G224" s="10">
        <v>345656676</v>
      </c>
      <c r="H224" s="8" t="str">
        <f>TRIM('Raw Dataset'!H224)</f>
        <v>CV Sihombing</v>
      </c>
      <c r="J224" t="str">
        <v>OK</v>
      </c>
      <c r="K224" t="str">
        <v>OK</v>
      </c>
    </row>
    <row r="225" spans="1:11" ht="14.25" customHeight="1" x14ac:dyDescent="0.35">
      <c r="A225" s="8" t="s">
        <v>276</v>
      </c>
      <c r="B225" s="8" t="s">
        <v>60</v>
      </c>
      <c r="C225" s="8" t="s">
        <v>31</v>
      </c>
      <c r="D225" s="8" t="s">
        <v>613</v>
      </c>
      <c r="E225" s="14">
        <v>45088</v>
      </c>
      <c r="F225" s="14">
        <v>45402</v>
      </c>
      <c r="G225" s="10">
        <v>2994383941</v>
      </c>
      <c r="H225" s="8" t="str">
        <f>TRIM('Raw Dataset'!H225)</f>
        <v>PT B</v>
      </c>
      <c r="J225" t="str">
        <v>OK</v>
      </c>
      <c r="K225" t="str">
        <v>OK</v>
      </c>
    </row>
    <row r="226" spans="1:11" ht="14.25" customHeight="1" x14ac:dyDescent="0.35">
      <c r="A226" s="8" t="s">
        <v>277</v>
      </c>
      <c r="B226" s="8" t="s">
        <v>18</v>
      </c>
      <c r="C226" s="8" t="s">
        <v>39</v>
      </c>
      <c r="D226" s="8" t="s">
        <v>577</v>
      </c>
      <c r="E226" s="14">
        <v>45088</v>
      </c>
      <c r="F226" s="14">
        <v>45259</v>
      </c>
      <c r="G226" s="10">
        <v>6364217108</v>
      </c>
      <c r="H226" s="8" t="str">
        <f>TRIM('Raw Dataset'!H226)</f>
        <v>PT D</v>
      </c>
      <c r="J226" t="str">
        <v>OK</v>
      </c>
      <c r="K226" t="str">
        <v>OK</v>
      </c>
    </row>
    <row r="227" spans="1:11" ht="14.25" customHeight="1" x14ac:dyDescent="0.35">
      <c r="A227" s="8" t="s">
        <v>278</v>
      </c>
      <c r="B227" s="8" t="s">
        <v>30</v>
      </c>
      <c r="C227" s="8" t="s">
        <v>31</v>
      </c>
      <c r="D227" s="8" t="s">
        <v>585</v>
      </c>
      <c r="E227" s="14">
        <v>45090</v>
      </c>
      <c r="F227" s="14">
        <v>45168</v>
      </c>
      <c r="G227" s="10">
        <v>3757150419</v>
      </c>
      <c r="H227" s="8" t="str">
        <f>TRIM('Raw Dataset'!H227)</f>
        <v>PT A</v>
      </c>
      <c r="J227" t="str">
        <v>OK</v>
      </c>
      <c r="K227" t="str">
        <v>OK</v>
      </c>
    </row>
    <row r="228" spans="1:11" ht="14.25" customHeight="1" x14ac:dyDescent="0.35">
      <c r="A228" s="8" t="s">
        <v>279</v>
      </c>
      <c r="B228" s="8" t="s">
        <v>30</v>
      </c>
      <c r="C228" s="8" t="s">
        <v>42</v>
      </c>
      <c r="D228" s="8" t="s">
        <v>632</v>
      </c>
      <c r="E228" s="14">
        <v>45090</v>
      </c>
      <c r="F228" s="14">
        <v>45220</v>
      </c>
      <c r="G228" s="10">
        <v>4655083177</v>
      </c>
      <c r="H228" s="8" t="str">
        <f>TRIM('Raw Dataset'!H228)</f>
        <v>PT B</v>
      </c>
      <c r="J228" t="str">
        <v>OK</v>
      </c>
      <c r="K228" t="str">
        <v>OK</v>
      </c>
    </row>
    <row r="229" spans="1:11" ht="14.25" customHeight="1" x14ac:dyDescent="0.35">
      <c r="A229" s="8" t="s">
        <v>280</v>
      </c>
      <c r="B229" s="8" t="s">
        <v>35</v>
      </c>
      <c r="C229" s="8" t="s">
        <v>36</v>
      </c>
      <c r="D229" s="8" t="s">
        <v>37</v>
      </c>
      <c r="E229" s="14">
        <v>45091</v>
      </c>
      <c r="F229" s="14">
        <v>45091</v>
      </c>
      <c r="G229" s="10">
        <v>612637613</v>
      </c>
      <c r="H229" s="8" t="str">
        <f>TRIM('Raw Dataset'!H229)</f>
        <v>PT B</v>
      </c>
      <c r="J229" t="str">
        <v>OK</v>
      </c>
      <c r="K229" t="str">
        <v>OK</v>
      </c>
    </row>
    <row r="230" spans="1:11" ht="14.25" customHeight="1" x14ac:dyDescent="0.35">
      <c r="A230" s="8" t="s">
        <v>281</v>
      </c>
      <c r="B230" s="8" t="s">
        <v>30</v>
      </c>
      <c r="C230" s="8" t="s">
        <v>36</v>
      </c>
      <c r="D230" s="8" t="s">
        <v>639</v>
      </c>
      <c r="E230" s="14">
        <v>45093</v>
      </c>
      <c r="F230" s="14">
        <v>45425</v>
      </c>
      <c r="G230" s="10">
        <v>765288058</v>
      </c>
      <c r="H230" s="8" t="str">
        <f>TRIM('Raw Dataset'!H230)</f>
        <v>CV Sihombing</v>
      </c>
      <c r="J230" t="str">
        <v>OK</v>
      </c>
      <c r="K230" t="str">
        <v>OK</v>
      </c>
    </row>
    <row r="231" spans="1:11" ht="14.25" customHeight="1" x14ac:dyDescent="0.35">
      <c r="A231" s="8" t="s">
        <v>282</v>
      </c>
      <c r="B231" s="8" t="s">
        <v>12</v>
      </c>
      <c r="C231" s="8" t="s">
        <v>24</v>
      </c>
      <c r="D231" s="8" t="s">
        <v>610</v>
      </c>
      <c r="E231" s="14">
        <v>45093</v>
      </c>
      <c r="F231" s="14">
        <v>45337</v>
      </c>
      <c r="G231" s="10">
        <v>996933795</v>
      </c>
      <c r="H231" s="8" t="str">
        <f>TRIM('Raw Dataset'!H231)</f>
        <v>PT D</v>
      </c>
      <c r="J231" t="str">
        <v>OK</v>
      </c>
      <c r="K231" t="str">
        <v>OK</v>
      </c>
    </row>
    <row r="232" spans="1:11" ht="14.25" customHeight="1" x14ac:dyDescent="0.35">
      <c r="A232" s="8" t="s">
        <v>283</v>
      </c>
      <c r="B232" s="8" t="s">
        <v>18</v>
      </c>
      <c r="C232" s="8" t="s">
        <v>39</v>
      </c>
      <c r="D232" s="8" t="s">
        <v>577</v>
      </c>
      <c r="E232" s="14">
        <v>45093</v>
      </c>
      <c r="F232" s="14">
        <v>45280</v>
      </c>
      <c r="G232" s="10">
        <v>6355661362</v>
      </c>
      <c r="H232" s="8" t="str">
        <f>TRIM('Raw Dataset'!H232)</f>
        <v/>
      </c>
      <c r="J232" t="str">
        <v>OK</v>
      </c>
      <c r="K232" t="str">
        <v>OK</v>
      </c>
    </row>
    <row r="233" spans="1:11" ht="14.25" customHeight="1" x14ac:dyDescent="0.35">
      <c r="A233" s="8" t="s">
        <v>284</v>
      </c>
      <c r="B233" s="8" t="s">
        <v>30</v>
      </c>
      <c r="C233" s="8" t="s">
        <v>31</v>
      </c>
      <c r="D233" s="8" t="s">
        <v>595</v>
      </c>
      <c r="E233" s="14">
        <v>45093</v>
      </c>
      <c r="F233" s="14">
        <v>45383</v>
      </c>
      <c r="G233" s="10">
        <v>6951220052</v>
      </c>
      <c r="H233" s="8" t="str">
        <f>TRIM('Raw Dataset'!H233)</f>
        <v>CV Sihombing</v>
      </c>
      <c r="J233" t="str">
        <v>OK</v>
      </c>
      <c r="K233" t="str">
        <v>OK</v>
      </c>
    </row>
    <row r="234" spans="1:11" ht="14.25" customHeight="1" x14ac:dyDescent="0.35">
      <c r="A234" s="8" t="s">
        <v>285</v>
      </c>
      <c r="B234" s="8" t="s">
        <v>35</v>
      </c>
      <c r="C234" s="8" t="s">
        <v>36</v>
      </c>
      <c r="D234" s="8" t="s">
        <v>37</v>
      </c>
      <c r="E234" s="14">
        <v>45095</v>
      </c>
      <c r="F234" s="14">
        <v>45423</v>
      </c>
      <c r="G234" s="10">
        <v>257229348</v>
      </c>
      <c r="H234" s="8" t="str">
        <f>TRIM('Raw Dataset'!H234)</f>
        <v/>
      </c>
      <c r="J234" t="str">
        <v>OK</v>
      </c>
      <c r="K234" t="str">
        <v>OK</v>
      </c>
    </row>
    <row r="235" spans="1:11" ht="14.25" customHeight="1" x14ac:dyDescent="0.35">
      <c r="A235" s="8" t="s">
        <v>286</v>
      </c>
      <c r="B235" s="8" t="s">
        <v>18</v>
      </c>
      <c r="C235" s="8" t="s">
        <v>42</v>
      </c>
      <c r="D235" s="8" t="s">
        <v>621</v>
      </c>
      <c r="E235" s="14">
        <v>45096</v>
      </c>
      <c r="F235" s="14">
        <v>45428</v>
      </c>
      <c r="G235" s="10">
        <v>1258024298</v>
      </c>
      <c r="H235" s="8" t="str">
        <f>TRIM('Raw Dataset'!H235)</f>
        <v>PT. Lailasari Hariyah (Persero) Tbk</v>
      </c>
      <c r="J235" t="str">
        <v>OK</v>
      </c>
      <c r="K235" t="str">
        <v>OK</v>
      </c>
    </row>
    <row r="236" spans="1:11" ht="14.25" customHeight="1" x14ac:dyDescent="0.35">
      <c r="A236" s="8" t="s">
        <v>287</v>
      </c>
      <c r="B236" s="8" t="s">
        <v>35</v>
      </c>
      <c r="C236" s="8" t="s">
        <v>19</v>
      </c>
      <c r="D236" s="8" t="s">
        <v>97</v>
      </c>
      <c r="E236" s="14">
        <v>45096</v>
      </c>
      <c r="F236" s="14">
        <v>45199</v>
      </c>
      <c r="G236" s="10">
        <v>375761303</v>
      </c>
      <c r="H236" s="8" t="str">
        <f>TRIM('Raw Dataset'!H236)</f>
        <v>PT A</v>
      </c>
      <c r="J236" t="str">
        <v>OK</v>
      </c>
      <c r="K236" t="str">
        <v>OK</v>
      </c>
    </row>
    <row r="237" spans="1:11" ht="14.25" customHeight="1" x14ac:dyDescent="0.35">
      <c r="A237" s="8" t="s">
        <v>288</v>
      </c>
      <c r="B237" s="8" t="s">
        <v>18</v>
      </c>
      <c r="C237" s="8" t="s">
        <v>24</v>
      </c>
      <c r="D237" s="8" t="s">
        <v>618</v>
      </c>
      <c r="E237" s="14">
        <v>45097</v>
      </c>
      <c r="F237" s="14">
        <v>45129</v>
      </c>
      <c r="G237" s="10">
        <v>6540978129</v>
      </c>
      <c r="H237" s="8" t="str">
        <f>TRIM('Raw Dataset'!H237)</f>
        <v>PT D</v>
      </c>
      <c r="J237" t="str">
        <v>OK</v>
      </c>
      <c r="K237" t="str">
        <v>OK</v>
      </c>
    </row>
    <row r="238" spans="1:11" ht="14.25" customHeight="1" x14ac:dyDescent="0.35">
      <c r="A238" s="8" t="s">
        <v>289</v>
      </c>
      <c r="B238" s="8" t="s">
        <v>35</v>
      </c>
      <c r="C238" s="8" t="s">
        <v>39</v>
      </c>
      <c r="D238" s="8" t="s">
        <v>145</v>
      </c>
      <c r="E238" s="14">
        <v>45098</v>
      </c>
      <c r="F238" s="14">
        <v>45142</v>
      </c>
      <c r="G238" s="10">
        <v>342017973</v>
      </c>
      <c r="H238" s="8" t="str">
        <f>TRIM('Raw Dataset'!H238)</f>
        <v>PT. Yuniar Hakim Tbk</v>
      </c>
      <c r="J238" t="str">
        <v>OK</v>
      </c>
      <c r="K238" t="str">
        <v>OK</v>
      </c>
    </row>
    <row r="239" spans="1:11" ht="14.25" customHeight="1" x14ac:dyDescent="0.35">
      <c r="A239" s="8" t="s">
        <v>290</v>
      </c>
      <c r="B239" s="8" t="s">
        <v>30</v>
      </c>
      <c r="C239" s="8" t="s">
        <v>31</v>
      </c>
      <c r="D239" s="8" t="s">
        <v>585</v>
      </c>
      <c r="E239" s="14">
        <v>45098</v>
      </c>
      <c r="F239" s="14">
        <v>45292</v>
      </c>
      <c r="G239" s="10">
        <v>4806164886</v>
      </c>
      <c r="H239" s="8" t="str">
        <f>TRIM('Raw Dataset'!H239)</f>
        <v>PT. Yuniar Hakim Tbk</v>
      </c>
      <c r="J239" t="str">
        <v>OK</v>
      </c>
      <c r="K239" t="str">
        <v>OK</v>
      </c>
    </row>
    <row r="240" spans="1:11" ht="14.25" customHeight="1" x14ac:dyDescent="0.35">
      <c r="A240" s="8" t="s">
        <v>291</v>
      </c>
      <c r="B240" s="8" t="s">
        <v>18</v>
      </c>
      <c r="C240" s="8" t="s">
        <v>36</v>
      </c>
      <c r="D240" s="8" t="s">
        <v>634</v>
      </c>
      <c r="E240" s="14">
        <v>45099</v>
      </c>
      <c r="F240" s="14">
        <v>45385</v>
      </c>
      <c r="G240" s="10">
        <v>9209856007</v>
      </c>
      <c r="H240" s="8" t="str">
        <f>TRIM('Raw Dataset'!H240)</f>
        <v>PT A</v>
      </c>
      <c r="J240" t="str">
        <v>OK</v>
      </c>
      <c r="K240" t="str">
        <v>OK</v>
      </c>
    </row>
    <row r="241" spans="1:11" ht="14.25" customHeight="1" x14ac:dyDescent="0.35">
      <c r="A241" s="8" t="s">
        <v>292</v>
      </c>
      <c r="B241" s="8" t="s">
        <v>35</v>
      </c>
      <c r="C241" s="8" t="s">
        <v>19</v>
      </c>
      <c r="D241" s="8" t="s">
        <v>97</v>
      </c>
      <c r="E241" s="14">
        <v>45099</v>
      </c>
      <c r="F241" s="14">
        <v>45154</v>
      </c>
      <c r="G241" s="10">
        <v>269400319</v>
      </c>
      <c r="H241" s="8" t="str">
        <f>TRIM('Raw Dataset'!H241)</f>
        <v>CV Sihombing</v>
      </c>
      <c r="J241" t="str">
        <v>OK</v>
      </c>
      <c r="K241" t="str">
        <v>OK</v>
      </c>
    </row>
    <row r="242" spans="1:11" ht="14.25" customHeight="1" x14ac:dyDescent="0.35">
      <c r="A242" s="8" t="s">
        <v>293</v>
      </c>
      <c r="B242" s="8" t="s">
        <v>18</v>
      </c>
      <c r="C242" s="8" t="s">
        <v>13</v>
      </c>
      <c r="D242" s="8" t="s">
        <v>580</v>
      </c>
      <c r="E242" s="14">
        <v>45099</v>
      </c>
      <c r="F242" s="14">
        <v>45245</v>
      </c>
      <c r="G242" s="10">
        <v>3098986860</v>
      </c>
      <c r="H242" s="8" t="str">
        <f>TRIM('Raw Dataset'!H242)</f>
        <v>PT. Lailasari Hariyah (Persero) Tbk</v>
      </c>
      <c r="J242" t="str">
        <v>OK</v>
      </c>
      <c r="K242" t="str">
        <v>OK</v>
      </c>
    </row>
    <row r="243" spans="1:11" ht="14.25" customHeight="1" x14ac:dyDescent="0.35">
      <c r="A243" s="8" t="s">
        <v>294</v>
      </c>
      <c r="B243" s="8" t="s">
        <v>30</v>
      </c>
      <c r="C243" s="8" t="s">
        <v>48</v>
      </c>
      <c r="D243" s="8" t="s">
        <v>620</v>
      </c>
      <c r="E243" s="14">
        <v>45099</v>
      </c>
      <c r="F243" s="14">
        <v>45254</v>
      </c>
      <c r="G243" s="10">
        <v>2873619122</v>
      </c>
      <c r="H243" s="8" t="str">
        <f>TRIM('Raw Dataset'!H243)</f>
        <v>PT. Lailasari Hariyah (Persero) Tbk</v>
      </c>
      <c r="J243" t="str">
        <v>OK</v>
      </c>
      <c r="K243" t="str">
        <v>OK</v>
      </c>
    </row>
    <row r="244" spans="1:11" ht="14.25" customHeight="1" x14ac:dyDescent="0.35">
      <c r="A244" s="8" t="s">
        <v>295</v>
      </c>
      <c r="B244" s="8" t="s">
        <v>35</v>
      </c>
      <c r="C244" s="8" t="s">
        <v>24</v>
      </c>
      <c r="D244" s="8" t="s">
        <v>133</v>
      </c>
      <c r="E244" s="14">
        <v>45101</v>
      </c>
      <c r="F244" s="14">
        <v>45138</v>
      </c>
      <c r="G244" s="10">
        <v>735575459</v>
      </c>
      <c r="H244" s="8" t="str">
        <f>TRIM('Raw Dataset'!H244)</f>
        <v>PT. Yuniar Hakim Tbk</v>
      </c>
      <c r="J244" t="str">
        <v>OK</v>
      </c>
      <c r="K244" t="str">
        <v>OK</v>
      </c>
    </row>
    <row r="245" spans="1:11" ht="14.25" customHeight="1" x14ac:dyDescent="0.35">
      <c r="A245" s="8" t="s">
        <v>296</v>
      </c>
      <c r="B245" s="8" t="s">
        <v>18</v>
      </c>
      <c r="C245" s="8" t="s">
        <v>42</v>
      </c>
      <c r="D245" s="8" t="s">
        <v>621</v>
      </c>
      <c r="E245" s="14">
        <v>45101</v>
      </c>
      <c r="F245" s="14">
        <v>45375</v>
      </c>
      <c r="G245" s="10">
        <v>2354261081</v>
      </c>
      <c r="H245" s="8" t="str">
        <f>TRIM('Raw Dataset'!H245)</f>
        <v>PT. Lailasari Hariyah (Persero) Tbk</v>
      </c>
      <c r="J245" t="str">
        <v>OK</v>
      </c>
      <c r="K245" t="str">
        <v>OK</v>
      </c>
    </row>
    <row r="246" spans="1:11" ht="14.25" customHeight="1" x14ac:dyDescent="0.35">
      <c r="A246" s="8" t="s">
        <v>297</v>
      </c>
      <c r="B246" s="8" t="s">
        <v>30</v>
      </c>
      <c r="C246" s="8" t="s">
        <v>42</v>
      </c>
      <c r="D246" s="8" t="s">
        <v>632</v>
      </c>
      <c r="E246" s="14">
        <v>45102</v>
      </c>
      <c r="F246" s="14">
        <v>45324</v>
      </c>
      <c r="G246" s="10">
        <v>2697497947</v>
      </c>
      <c r="H246" s="8" t="str">
        <f>TRIM('Raw Dataset'!H246)</f>
        <v>PT A</v>
      </c>
      <c r="J246" t="str">
        <v>OK</v>
      </c>
      <c r="K246" t="str">
        <v>OK</v>
      </c>
    </row>
    <row r="247" spans="1:11" ht="14.25" customHeight="1" x14ac:dyDescent="0.35">
      <c r="A247" s="8" t="s">
        <v>298</v>
      </c>
      <c r="B247" s="8" t="s">
        <v>12</v>
      </c>
      <c r="C247" s="8" t="s">
        <v>13</v>
      </c>
      <c r="D247" s="8" t="s">
        <v>605</v>
      </c>
      <c r="E247" s="14">
        <v>45103</v>
      </c>
      <c r="F247" s="14">
        <v>45404</v>
      </c>
      <c r="G247" s="10">
        <v>277801695</v>
      </c>
      <c r="H247" s="8" t="str">
        <f>TRIM('Raw Dataset'!H247)</f>
        <v>PT. Lailasari Hariyah (Persero) Tbk</v>
      </c>
      <c r="J247" t="str">
        <v>OK</v>
      </c>
      <c r="K247" t="str">
        <v>OK</v>
      </c>
    </row>
    <row r="248" spans="1:11" ht="14.25" customHeight="1" x14ac:dyDescent="0.35">
      <c r="A248" s="8" t="s">
        <v>299</v>
      </c>
      <c r="B248" s="8" t="s">
        <v>18</v>
      </c>
      <c r="C248" s="8" t="s">
        <v>36</v>
      </c>
      <c r="D248" s="8" t="s">
        <v>634</v>
      </c>
      <c r="E248" s="14">
        <v>45104</v>
      </c>
      <c r="F248" s="14">
        <v>45195</v>
      </c>
      <c r="G248" s="10">
        <v>5365371920</v>
      </c>
      <c r="H248" s="8" t="str">
        <f>TRIM('Raw Dataset'!H248)</f>
        <v>PT. Yuniar Hakim Tbk</v>
      </c>
      <c r="J248" t="str">
        <v>OK</v>
      </c>
      <c r="K248" t="str">
        <v>OK</v>
      </c>
    </row>
    <row r="249" spans="1:11" ht="14.25" customHeight="1" x14ac:dyDescent="0.35">
      <c r="A249" s="8" t="s">
        <v>300</v>
      </c>
      <c r="B249" s="8" t="s">
        <v>35</v>
      </c>
      <c r="C249" s="8" t="s">
        <v>48</v>
      </c>
      <c r="D249" s="8" t="s">
        <v>49</v>
      </c>
      <c r="E249" s="14">
        <v>45106</v>
      </c>
      <c r="F249" s="14">
        <v>45144</v>
      </c>
      <c r="G249" s="10">
        <v>737701834</v>
      </c>
      <c r="H249" s="8" t="str">
        <f>TRIM('Raw Dataset'!H249)</f>
        <v>PT A</v>
      </c>
      <c r="J249" t="str">
        <v>OK</v>
      </c>
      <c r="K249" t="str">
        <v>OK</v>
      </c>
    </row>
    <row r="250" spans="1:11" ht="14.25" customHeight="1" x14ac:dyDescent="0.35">
      <c r="A250" s="8" t="s">
        <v>301</v>
      </c>
      <c r="B250" s="8" t="s">
        <v>30</v>
      </c>
      <c r="C250" s="8" t="s">
        <v>13</v>
      </c>
      <c r="D250" s="8" t="s">
        <v>630</v>
      </c>
      <c r="E250" s="14">
        <v>45106</v>
      </c>
      <c r="F250" s="14">
        <v>45212</v>
      </c>
      <c r="G250" s="10">
        <v>2498238869</v>
      </c>
      <c r="H250" s="8" t="str">
        <f>TRIM('Raw Dataset'!H250)</f>
        <v/>
      </c>
      <c r="J250" t="str">
        <v>OK</v>
      </c>
      <c r="K250" t="str">
        <v>OK</v>
      </c>
    </row>
    <row r="251" spans="1:11" ht="14.25" customHeight="1" x14ac:dyDescent="0.35">
      <c r="A251" s="8" t="s">
        <v>302</v>
      </c>
      <c r="B251" s="8" t="s">
        <v>35</v>
      </c>
      <c r="C251" s="8" t="s">
        <v>48</v>
      </c>
      <c r="D251" s="8" t="s">
        <v>49</v>
      </c>
      <c r="E251" s="14">
        <v>45107</v>
      </c>
      <c r="F251" s="14">
        <v>45221</v>
      </c>
      <c r="G251" s="10">
        <v>343573944</v>
      </c>
      <c r="H251" s="8" t="str">
        <f>TRIM('Raw Dataset'!H251)</f>
        <v>PT D</v>
      </c>
      <c r="J251" t="str">
        <v>OK</v>
      </c>
      <c r="K251" t="str">
        <v>OK</v>
      </c>
    </row>
    <row r="252" spans="1:11" ht="14.25" customHeight="1" x14ac:dyDescent="0.35">
      <c r="A252" s="8" t="s">
        <v>303</v>
      </c>
      <c r="B252" s="8" t="s">
        <v>12</v>
      </c>
      <c r="C252" s="8" t="s">
        <v>19</v>
      </c>
      <c r="D252" s="8" t="s">
        <v>631</v>
      </c>
      <c r="E252" s="14">
        <v>45111</v>
      </c>
      <c r="F252" s="14">
        <v>45180</v>
      </c>
      <c r="G252" s="10">
        <v>802980870</v>
      </c>
      <c r="H252" s="8" t="str">
        <f>TRIM('Raw Dataset'!H252)</f>
        <v>PT B</v>
      </c>
      <c r="J252" t="str">
        <v>OK</v>
      </c>
      <c r="K252" t="str">
        <v>OK</v>
      </c>
    </row>
    <row r="253" spans="1:11" ht="14.25" customHeight="1" x14ac:dyDescent="0.35">
      <c r="A253" s="8" t="s">
        <v>304</v>
      </c>
      <c r="B253" s="8" t="s">
        <v>30</v>
      </c>
      <c r="C253" s="8" t="s">
        <v>36</v>
      </c>
      <c r="D253" s="8" t="s">
        <v>614</v>
      </c>
      <c r="E253" s="14">
        <v>45113</v>
      </c>
      <c r="F253" s="14">
        <v>45253</v>
      </c>
      <c r="G253" s="10">
        <v>1132821017</v>
      </c>
      <c r="H253" s="8" t="str">
        <f>TRIM('Raw Dataset'!H253)</f>
        <v>PT D</v>
      </c>
      <c r="J253" t="str">
        <v>OK</v>
      </c>
      <c r="K253" t="str">
        <v>OK</v>
      </c>
    </row>
    <row r="254" spans="1:11" ht="14.25" customHeight="1" x14ac:dyDescent="0.35">
      <c r="A254" s="8" t="s">
        <v>305</v>
      </c>
      <c r="B254" s="8" t="s">
        <v>35</v>
      </c>
      <c r="C254" s="8" t="s">
        <v>24</v>
      </c>
      <c r="D254" s="8" t="s">
        <v>133</v>
      </c>
      <c r="E254" s="14">
        <v>45114</v>
      </c>
      <c r="F254" s="14">
        <v>45156</v>
      </c>
      <c r="G254" s="10">
        <v>646267645</v>
      </c>
      <c r="H254" s="8" t="str">
        <f>TRIM('Raw Dataset'!H254)</f>
        <v>PT A</v>
      </c>
      <c r="J254" t="str">
        <v>OK</v>
      </c>
      <c r="K254" t="str">
        <v>OK</v>
      </c>
    </row>
    <row r="255" spans="1:11" ht="14.25" customHeight="1" x14ac:dyDescent="0.35">
      <c r="A255" s="8" t="s">
        <v>306</v>
      </c>
      <c r="B255" s="8" t="s">
        <v>30</v>
      </c>
      <c r="C255" s="8" t="s">
        <v>13</v>
      </c>
      <c r="D255" s="8" t="s">
        <v>641</v>
      </c>
      <c r="E255" s="14">
        <v>45115</v>
      </c>
      <c r="F255" s="14">
        <v>45145</v>
      </c>
      <c r="G255" s="10">
        <v>1091849633</v>
      </c>
      <c r="H255" s="8" t="str">
        <f>TRIM('Raw Dataset'!H255)</f>
        <v>PT C</v>
      </c>
      <c r="J255" t="str">
        <v>OK</v>
      </c>
      <c r="K255" t="str">
        <v>OK</v>
      </c>
    </row>
    <row r="256" spans="1:11" ht="14.25" customHeight="1" x14ac:dyDescent="0.35">
      <c r="A256" s="8" t="s">
        <v>307</v>
      </c>
      <c r="B256" s="8" t="s">
        <v>12</v>
      </c>
      <c r="C256" s="8" t="s">
        <v>39</v>
      </c>
      <c r="D256" s="8" t="s">
        <v>591</v>
      </c>
      <c r="E256" s="14">
        <v>45116</v>
      </c>
      <c r="F256" s="14">
        <v>45158</v>
      </c>
      <c r="G256" s="10">
        <v>969437655</v>
      </c>
      <c r="H256" s="8" t="str">
        <f>TRIM('Raw Dataset'!H256)</f>
        <v>PT. Lailasari Hariyah (Persero) Tbk</v>
      </c>
      <c r="J256" t="str">
        <v>OK</v>
      </c>
      <c r="K256" t="str">
        <v>OK</v>
      </c>
    </row>
    <row r="257" spans="1:11" ht="14.25" customHeight="1" x14ac:dyDescent="0.35">
      <c r="A257" s="8" t="s">
        <v>308</v>
      </c>
      <c r="B257" s="8" t="s">
        <v>60</v>
      </c>
      <c r="C257" s="8" t="s">
        <v>48</v>
      </c>
      <c r="D257" s="8" t="s">
        <v>625</v>
      </c>
      <c r="E257" s="14">
        <v>45116</v>
      </c>
      <c r="F257" s="14">
        <v>45350</v>
      </c>
      <c r="G257" s="10">
        <v>3165392319</v>
      </c>
      <c r="H257" s="8" t="str">
        <f>TRIM('Raw Dataset'!H257)</f>
        <v>PT. Lailasari Hariyah (Persero) Tbk</v>
      </c>
      <c r="J257" t="str">
        <v>OK</v>
      </c>
      <c r="K257" t="str">
        <v>OK</v>
      </c>
    </row>
    <row r="258" spans="1:11" ht="14.25" customHeight="1" x14ac:dyDescent="0.35">
      <c r="A258" s="8" t="s">
        <v>309</v>
      </c>
      <c r="B258" s="8" t="s">
        <v>30</v>
      </c>
      <c r="C258" s="8" t="s">
        <v>13</v>
      </c>
      <c r="D258" s="8" t="s">
        <v>630</v>
      </c>
      <c r="E258" s="14">
        <v>45117</v>
      </c>
      <c r="F258" s="14">
        <v>45156</v>
      </c>
      <c r="G258" s="10">
        <v>5204534546</v>
      </c>
      <c r="H258" s="8" t="str">
        <f>TRIM('Raw Dataset'!H258)</f>
        <v>PT. Yuniar Hakim Tbk</v>
      </c>
      <c r="J258" t="str">
        <v>OK</v>
      </c>
      <c r="K258" t="str">
        <v>OK</v>
      </c>
    </row>
    <row r="259" spans="1:11" ht="14.25" customHeight="1" x14ac:dyDescent="0.35">
      <c r="A259" s="8" t="s">
        <v>310</v>
      </c>
      <c r="B259" s="8" t="s">
        <v>18</v>
      </c>
      <c r="C259" s="8" t="s">
        <v>19</v>
      </c>
      <c r="D259" s="8" t="s">
        <v>633</v>
      </c>
      <c r="E259" s="14">
        <v>45118</v>
      </c>
      <c r="F259" s="14">
        <v>45288</v>
      </c>
      <c r="G259" s="10">
        <v>3942664693</v>
      </c>
      <c r="H259" s="8" t="str">
        <f>TRIM('Raw Dataset'!H259)</f>
        <v>PT A</v>
      </c>
      <c r="J259" t="str">
        <v>OK</v>
      </c>
      <c r="K259" t="str">
        <v>OK</v>
      </c>
    </row>
    <row r="260" spans="1:11" ht="14.25" customHeight="1" x14ac:dyDescent="0.35">
      <c r="A260" s="8" t="s">
        <v>311</v>
      </c>
      <c r="B260" s="8" t="s">
        <v>60</v>
      </c>
      <c r="C260" s="8" t="s">
        <v>19</v>
      </c>
      <c r="D260" s="8" t="s">
        <v>616</v>
      </c>
      <c r="E260" s="14">
        <v>45118</v>
      </c>
      <c r="F260" s="14">
        <v>45256</v>
      </c>
      <c r="G260" s="10">
        <v>1996986704</v>
      </c>
      <c r="H260" s="8" t="str">
        <f>TRIM('Raw Dataset'!H260)</f>
        <v>PT C</v>
      </c>
      <c r="J260" t="str">
        <v>OK</v>
      </c>
      <c r="K260" t="str">
        <v>OK</v>
      </c>
    </row>
    <row r="261" spans="1:11" ht="14.25" customHeight="1" x14ac:dyDescent="0.35">
      <c r="A261" s="8" t="s">
        <v>312</v>
      </c>
      <c r="B261" s="8" t="s">
        <v>30</v>
      </c>
      <c r="C261" s="8" t="s">
        <v>39</v>
      </c>
      <c r="D261" s="8" t="s">
        <v>638</v>
      </c>
      <c r="E261" s="14">
        <v>45118</v>
      </c>
      <c r="F261" s="14">
        <v>45394</v>
      </c>
      <c r="G261" s="10">
        <v>1005719572</v>
      </c>
      <c r="H261" s="8" t="str">
        <f>TRIM('Raw Dataset'!H261)</f>
        <v>PT. Lailasari Hariyah (Persero) Tbk</v>
      </c>
      <c r="J261" t="str">
        <v>OK</v>
      </c>
      <c r="K261" t="str">
        <v>OK</v>
      </c>
    </row>
    <row r="262" spans="1:11" ht="14.25" customHeight="1" x14ac:dyDescent="0.35">
      <c r="A262" s="8" t="s">
        <v>313</v>
      </c>
      <c r="B262" s="8" t="s">
        <v>60</v>
      </c>
      <c r="C262" s="8" t="s">
        <v>19</v>
      </c>
      <c r="D262" s="8" t="s">
        <v>635</v>
      </c>
      <c r="E262" s="14">
        <v>45118</v>
      </c>
      <c r="F262" s="14">
        <v>45180</v>
      </c>
      <c r="G262" s="10">
        <v>4155376448</v>
      </c>
      <c r="H262" s="8" t="str">
        <f>TRIM('Raw Dataset'!H262)</f>
        <v>PT D</v>
      </c>
      <c r="J262" t="str">
        <v>OK</v>
      </c>
      <c r="K262" t="str">
        <v>OK</v>
      </c>
    </row>
    <row r="263" spans="1:11" ht="14.25" customHeight="1" x14ac:dyDescent="0.35">
      <c r="A263" s="8" t="s">
        <v>314</v>
      </c>
      <c r="B263" s="8" t="s">
        <v>18</v>
      </c>
      <c r="C263" s="8" t="s">
        <v>31</v>
      </c>
      <c r="D263" s="8" t="s">
        <v>636</v>
      </c>
      <c r="E263" s="14">
        <v>45118</v>
      </c>
      <c r="F263" s="14">
        <v>45452</v>
      </c>
      <c r="G263" s="10">
        <v>6519755129</v>
      </c>
      <c r="H263" s="8" t="str">
        <f>TRIM('Raw Dataset'!H263)</f>
        <v>PT B</v>
      </c>
      <c r="J263" t="str">
        <v>OK</v>
      </c>
      <c r="K263" t="str">
        <v>OK</v>
      </c>
    </row>
    <row r="264" spans="1:11" ht="14.25" customHeight="1" x14ac:dyDescent="0.35">
      <c r="A264" s="8" t="s">
        <v>315</v>
      </c>
      <c r="B264" s="8" t="s">
        <v>12</v>
      </c>
      <c r="C264" s="8" t="s">
        <v>19</v>
      </c>
      <c r="D264" s="8" t="s">
        <v>631</v>
      </c>
      <c r="E264" s="14">
        <v>45119</v>
      </c>
      <c r="F264" s="14">
        <v>45427</v>
      </c>
      <c r="G264" s="10">
        <v>509824821</v>
      </c>
      <c r="H264" s="8" t="str">
        <f>TRIM('Raw Dataset'!H264)</f>
        <v>PT C</v>
      </c>
      <c r="J264" t="str">
        <v>OK</v>
      </c>
      <c r="K264" t="str">
        <v>OK</v>
      </c>
    </row>
    <row r="265" spans="1:11" ht="14.25" customHeight="1" x14ac:dyDescent="0.35">
      <c r="A265" s="8" t="s">
        <v>316</v>
      </c>
      <c r="B265" s="8" t="s">
        <v>60</v>
      </c>
      <c r="C265" s="8" t="s">
        <v>39</v>
      </c>
      <c r="D265" s="8" t="s">
        <v>642</v>
      </c>
      <c r="E265" s="14">
        <v>45119</v>
      </c>
      <c r="F265" s="14">
        <v>45218</v>
      </c>
      <c r="G265" s="10">
        <v>4249269902</v>
      </c>
      <c r="H265" s="8" t="str">
        <f>TRIM('Raw Dataset'!H265)</f>
        <v/>
      </c>
      <c r="J265" t="str">
        <v>OK</v>
      </c>
      <c r="K265" t="str">
        <v>OK</v>
      </c>
    </row>
    <row r="266" spans="1:11" ht="14.25" customHeight="1" x14ac:dyDescent="0.35">
      <c r="A266" s="8" t="s">
        <v>317</v>
      </c>
      <c r="B266" s="8" t="s">
        <v>60</v>
      </c>
      <c r="C266" s="8" t="s">
        <v>42</v>
      </c>
      <c r="D266" s="8" t="s">
        <v>587</v>
      </c>
      <c r="E266" s="14">
        <v>45120</v>
      </c>
      <c r="F266" s="14">
        <v>45223</v>
      </c>
      <c r="G266" s="10">
        <v>2236844121</v>
      </c>
      <c r="H266" s="8" t="str">
        <f>TRIM('Raw Dataset'!H266)</f>
        <v>PT. Lailasari Hariyah (Persero) Tbk</v>
      </c>
      <c r="J266" t="str">
        <v>OK</v>
      </c>
      <c r="K266" t="str">
        <v>OK</v>
      </c>
    </row>
    <row r="267" spans="1:11" ht="14.25" customHeight="1" x14ac:dyDescent="0.35">
      <c r="A267" s="8" t="s">
        <v>318</v>
      </c>
      <c r="B267" s="8" t="s">
        <v>12</v>
      </c>
      <c r="C267" s="8" t="s">
        <v>24</v>
      </c>
      <c r="D267" s="8" t="s">
        <v>610</v>
      </c>
      <c r="E267" s="14">
        <v>45121</v>
      </c>
      <c r="F267" s="14">
        <v>45176</v>
      </c>
      <c r="G267" s="10">
        <v>369427315</v>
      </c>
      <c r="H267" s="8" t="str">
        <f>TRIM('Raw Dataset'!H267)</f>
        <v>PT. Yuniar Hakim Tbk</v>
      </c>
      <c r="J267" t="str">
        <v>OK</v>
      </c>
      <c r="K267" t="str">
        <v>OK</v>
      </c>
    </row>
    <row r="268" spans="1:11" ht="14.25" customHeight="1" x14ac:dyDescent="0.35">
      <c r="A268" s="8" t="s">
        <v>319</v>
      </c>
      <c r="B268" s="8" t="s">
        <v>30</v>
      </c>
      <c r="C268" s="8" t="s">
        <v>24</v>
      </c>
      <c r="D268" s="8" t="s">
        <v>637</v>
      </c>
      <c r="E268" s="14">
        <v>45121</v>
      </c>
      <c r="F268" s="14">
        <v>45161</v>
      </c>
      <c r="G268" s="10">
        <v>3688243132</v>
      </c>
      <c r="H268" s="8" t="str">
        <f>TRIM('Raw Dataset'!H268)</f>
        <v>PT. Lailasari Hariyah (Persero) Tbk</v>
      </c>
      <c r="J268" t="str">
        <v>OK</v>
      </c>
      <c r="K268" t="str">
        <v>OK</v>
      </c>
    </row>
    <row r="269" spans="1:11" ht="14.25" customHeight="1" x14ac:dyDescent="0.35">
      <c r="A269" s="8" t="s">
        <v>320</v>
      </c>
      <c r="B269" s="8" t="s">
        <v>12</v>
      </c>
      <c r="C269" s="8" t="s">
        <v>48</v>
      </c>
      <c r="D269" s="8" t="s">
        <v>602</v>
      </c>
      <c r="E269" s="14">
        <v>45123</v>
      </c>
      <c r="F269" s="14">
        <v>45315</v>
      </c>
      <c r="G269" s="10">
        <v>381166441</v>
      </c>
      <c r="H269" s="8" t="str">
        <f>TRIM('Raw Dataset'!H269)</f>
        <v>PT C</v>
      </c>
      <c r="J269" t="str">
        <v>OK</v>
      </c>
      <c r="K269" t="str">
        <v>OK</v>
      </c>
    </row>
    <row r="270" spans="1:11" ht="14.25" customHeight="1" x14ac:dyDescent="0.35">
      <c r="A270" s="8" t="s">
        <v>321</v>
      </c>
      <c r="B270" s="8" t="s">
        <v>35</v>
      </c>
      <c r="C270" s="8" t="s">
        <v>13</v>
      </c>
      <c r="D270" s="8" t="s">
        <v>78</v>
      </c>
      <c r="E270" s="14">
        <v>45124</v>
      </c>
      <c r="F270" s="14">
        <v>45421</v>
      </c>
      <c r="G270" s="10">
        <v>604130639</v>
      </c>
      <c r="H270" s="8" t="str">
        <f>TRIM('Raw Dataset'!H270)</f>
        <v/>
      </c>
      <c r="J270" t="str">
        <v>OK</v>
      </c>
      <c r="K270" t="str">
        <v>OK</v>
      </c>
    </row>
    <row r="271" spans="1:11" ht="14.25" customHeight="1" x14ac:dyDescent="0.35">
      <c r="A271" s="8" t="s">
        <v>322</v>
      </c>
      <c r="B271" s="8" t="s">
        <v>12</v>
      </c>
      <c r="C271" s="8" t="s">
        <v>42</v>
      </c>
      <c r="D271" s="8" t="s">
        <v>603</v>
      </c>
      <c r="E271" s="14">
        <v>45124</v>
      </c>
      <c r="F271" s="14">
        <v>45258</v>
      </c>
      <c r="G271" s="10">
        <v>283236486</v>
      </c>
      <c r="H271" s="8" t="str">
        <f>TRIM('Raw Dataset'!H271)</f>
        <v>CV Sihombing</v>
      </c>
      <c r="J271" t="str">
        <v>OK</v>
      </c>
      <c r="K271" t="str">
        <v>OK</v>
      </c>
    </row>
    <row r="272" spans="1:11" ht="14.25" customHeight="1" x14ac:dyDescent="0.35">
      <c r="A272" s="8" t="s">
        <v>323</v>
      </c>
      <c r="B272" s="8" t="s">
        <v>35</v>
      </c>
      <c r="C272" s="8" t="s">
        <v>31</v>
      </c>
      <c r="D272" s="8" t="s">
        <v>91</v>
      </c>
      <c r="E272" s="14">
        <v>45124</v>
      </c>
      <c r="F272" s="14">
        <v>45269</v>
      </c>
      <c r="G272" s="10">
        <v>288462185</v>
      </c>
      <c r="H272" s="8" t="str">
        <f>TRIM('Raw Dataset'!H272)</f>
        <v>PT B</v>
      </c>
      <c r="J272" t="str">
        <v>OK</v>
      </c>
      <c r="K272" t="str">
        <v>OK</v>
      </c>
    </row>
    <row r="273" spans="1:11" ht="14.25" customHeight="1" x14ac:dyDescent="0.35">
      <c r="A273" s="8" t="s">
        <v>324</v>
      </c>
      <c r="B273" s="8" t="s">
        <v>12</v>
      </c>
      <c r="C273" s="8" t="s">
        <v>36</v>
      </c>
      <c r="D273" s="8" t="s">
        <v>578</v>
      </c>
      <c r="E273" s="14">
        <v>45125</v>
      </c>
      <c r="F273" s="14">
        <v>45419</v>
      </c>
      <c r="G273" s="10">
        <v>706008565</v>
      </c>
      <c r="H273" s="8" t="str">
        <f>TRIM('Raw Dataset'!H273)</f>
        <v>PT C</v>
      </c>
      <c r="J273" t="str">
        <v>OK</v>
      </c>
      <c r="K273" t="str">
        <v>OK</v>
      </c>
    </row>
    <row r="274" spans="1:11" ht="14.25" customHeight="1" x14ac:dyDescent="0.35">
      <c r="A274" s="8" t="s">
        <v>325</v>
      </c>
      <c r="B274" s="8" t="s">
        <v>30</v>
      </c>
      <c r="C274" s="8" t="s">
        <v>39</v>
      </c>
      <c r="D274" s="8" t="s">
        <v>590</v>
      </c>
      <c r="E274" s="14">
        <v>45125</v>
      </c>
      <c r="F274" s="14">
        <v>45317</v>
      </c>
      <c r="G274" s="10">
        <v>3442468253</v>
      </c>
      <c r="H274" s="8" t="str">
        <f>TRIM('Raw Dataset'!H274)</f>
        <v>PT C</v>
      </c>
      <c r="J274" t="str">
        <v>OK</v>
      </c>
      <c r="K274" t="str">
        <v>OK</v>
      </c>
    </row>
    <row r="275" spans="1:11" ht="14.25" customHeight="1" x14ac:dyDescent="0.35">
      <c r="A275" s="8" t="s">
        <v>326</v>
      </c>
      <c r="B275" s="8" t="s">
        <v>60</v>
      </c>
      <c r="C275" s="8" t="s">
        <v>48</v>
      </c>
      <c r="D275" s="8" t="s">
        <v>625</v>
      </c>
      <c r="E275" s="14">
        <v>45125</v>
      </c>
      <c r="F275" s="14">
        <v>45188</v>
      </c>
      <c r="G275" s="10">
        <v>2233995238</v>
      </c>
      <c r="H275" s="8" t="str">
        <f>TRIM('Raw Dataset'!H275)</f>
        <v>PT B</v>
      </c>
      <c r="J275" t="str">
        <v>OK</v>
      </c>
      <c r="K275" t="str">
        <v>OK</v>
      </c>
    </row>
    <row r="276" spans="1:11" ht="14.25" customHeight="1" x14ac:dyDescent="0.35">
      <c r="A276" s="8" t="s">
        <v>327</v>
      </c>
      <c r="B276" s="8" t="s">
        <v>35</v>
      </c>
      <c r="C276" s="8" t="s">
        <v>13</v>
      </c>
      <c r="D276" s="8" t="s">
        <v>78</v>
      </c>
      <c r="E276" s="14">
        <v>45125</v>
      </c>
      <c r="F276" s="14">
        <v>45277</v>
      </c>
      <c r="G276" s="10">
        <v>579386663</v>
      </c>
      <c r="H276" s="8" t="str">
        <f>TRIM('Raw Dataset'!H276)</f>
        <v>PT B</v>
      </c>
      <c r="J276" t="str">
        <v>OK</v>
      </c>
      <c r="K276" t="str">
        <v>OK</v>
      </c>
    </row>
    <row r="277" spans="1:11" ht="14.25" customHeight="1" x14ac:dyDescent="0.35">
      <c r="A277" s="8" t="s">
        <v>328</v>
      </c>
      <c r="B277" s="8" t="s">
        <v>18</v>
      </c>
      <c r="C277" s="8" t="s">
        <v>24</v>
      </c>
      <c r="D277" s="8" t="s">
        <v>618</v>
      </c>
      <c r="E277" s="14">
        <v>45125</v>
      </c>
      <c r="F277" s="14">
        <v>45327</v>
      </c>
      <c r="G277" s="10">
        <v>2892512480</v>
      </c>
      <c r="H277" s="8" t="str">
        <f>TRIM('Raw Dataset'!H277)</f>
        <v>PT B</v>
      </c>
      <c r="J277" t="str">
        <v>OK</v>
      </c>
      <c r="K277" t="str">
        <v>OK</v>
      </c>
    </row>
    <row r="278" spans="1:11" ht="14.25" customHeight="1" x14ac:dyDescent="0.35">
      <c r="A278" s="8" t="s">
        <v>329</v>
      </c>
      <c r="B278" s="8" t="s">
        <v>30</v>
      </c>
      <c r="C278" s="8" t="s">
        <v>36</v>
      </c>
      <c r="D278" s="8" t="s">
        <v>614</v>
      </c>
      <c r="E278" s="14">
        <v>45126</v>
      </c>
      <c r="F278" s="14">
        <v>45187</v>
      </c>
      <c r="G278" s="10">
        <v>1731360253</v>
      </c>
      <c r="H278" s="8" t="str">
        <f>TRIM('Raw Dataset'!H278)</f>
        <v>PT. Yuniar Hakim Tbk</v>
      </c>
      <c r="J278" t="str">
        <v>OK</v>
      </c>
      <c r="K278" t="str">
        <v>OK</v>
      </c>
    </row>
    <row r="279" spans="1:11" ht="14.25" customHeight="1" x14ac:dyDescent="0.35">
      <c r="A279" s="8" t="s">
        <v>330</v>
      </c>
      <c r="B279" s="8" t="s">
        <v>60</v>
      </c>
      <c r="C279" s="8" t="s">
        <v>36</v>
      </c>
      <c r="D279" s="8" t="s">
        <v>597</v>
      </c>
      <c r="E279" s="14">
        <v>45128</v>
      </c>
      <c r="F279" s="14">
        <v>45204</v>
      </c>
      <c r="G279" s="10">
        <v>4702380798</v>
      </c>
      <c r="H279" s="8" t="str">
        <f>TRIM('Raw Dataset'!H279)</f>
        <v>PT C</v>
      </c>
      <c r="J279" t="str">
        <v>OK</v>
      </c>
      <c r="K279" t="str">
        <v>OK</v>
      </c>
    </row>
    <row r="280" spans="1:11" ht="14.25" customHeight="1" x14ac:dyDescent="0.35">
      <c r="A280" s="8" t="s">
        <v>331</v>
      </c>
      <c r="B280" s="8" t="s">
        <v>18</v>
      </c>
      <c r="C280" s="8" t="s">
        <v>31</v>
      </c>
      <c r="D280" s="8" t="s">
        <v>636</v>
      </c>
      <c r="E280" s="14">
        <v>45128</v>
      </c>
      <c r="F280" s="14">
        <v>45275</v>
      </c>
      <c r="G280" s="10">
        <v>1321857853</v>
      </c>
      <c r="H280" s="8" t="str">
        <f>TRIM('Raw Dataset'!H280)</f>
        <v>CV Sihombing</v>
      </c>
      <c r="J280" t="str">
        <v>OK</v>
      </c>
      <c r="K280" t="str">
        <v>OK</v>
      </c>
    </row>
    <row r="281" spans="1:11" ht="14.25" customHeight="1" x14ac:dyDescent="0.35">
      <c r="A281" s="8" t="s">
        <v>332</v>
      </c>
      <c r="B281" s="8" t="s">
        <v>30</v>
      </c>
      <c r="C281" s="8" t="s">
        <v>39</v>
      </c>
      <c r="D281" s="8" t="s">
        <v>590</v>
      </c>
      <c r="E281" s="14">
        <v>45128</v>
      </c>
      <c r="F281" s="14">
        <v>45188</v>
      </c>
      <c r="G281" s="10">
        <v>4256914338</v>
      </c>
      <c r="H281" s="8" t="str">
        <f>TRIM('Raw Dataset'!H281)</f>
        <v>PT B</v>
      </c>
      <c r="J281" t="str">
        <v>OK</v>
      </c>
      <c r="K281" t="str">
        <v>OK</v>
      </c>
    </row>
    <row r="282" spans="1:11" ht="14.25" customHeight="1" x14ac:dyDescent="0.35">
      <c r="A282" s="8" t="s">
        <v>333</v>
      </c>
      <c r="B282" s="8" t="s">
        <v>35</v>
      </c>
      <c r="C282" s="8" t="s">
        <v>31</v>
      </c>
      <c r="D282" s="8" t="s">
        <v>91</v>
      </c>
      <c r="E282" s="14">
        <v>45128</v>
      </c>
      <c r="F282" s="14">
        <v>45492</v>
      </c>
      <c r="G282" s="10">
        <v>202438902</v>
      </c>
      <c r="H282" s="8" t="str">
        <f>TRIM('Raw Dataset'!H282)</f>
        <v>PT C</v>
      </c>
      <c r="J282" t="str">
        <v>OK</v>
      </c>
      <c r="K282" t="str">
        <v>OK</v>
      </c>
    </row>
    <row r="283" spans="1:11" ht="14.25" customHeight="1" x14ac:dyDescent="0.35">
      <c r="A283" s="8" t="s">
        <v>334</v>
      </c>
      <c r="B283" s="8" t="s">
        <v>18</v>
      </c>
      <c r="C283" s="8" t="s">
        <v>36</v>
      </c>
      <c r="D283" s="8" t="s">
        <v>634</v>
      </c>
      <c r="E283" s="14">
        <v>45129</v>
      </c>
      <c r="F283" s="14">
        <v>45264</v>
      </c>
      <c r="G283" s="10">
        <v>7153815573</v>
      </c>
      <c r="H283" s="8" t="str">
        <f>TRIM('Raw Dataset'!H283)</f>
        <v>CV Sihombing</v>
      </c>
      <c r="J283" t="str">
        <v>OK</v>
      </c>
      <c r="K283" t="str">
        <v>OK</v>
      </c>
    </row>
    <row r="284" spans="1:11" ht="14.25" customHeight="1" x14ac:dyDescent="0.35">
      <c r="A284" s="8" t="s">
        <v>335</v>
      </c>
      <c r="B284" s="8" t="s">
        <v>60</v>
      </c>
      <c r="C284" s="8" t="s">
        <v>24</v>
      </c>
      <c r="D284" s="8" t="s">
        <v>575</v>
      </c>
      <c r="E284" s="14">
        <v>45129</v>
      </c>
      <c r="F284" s="14">
        <v>45285</v>
      </c>
      <c r="G284" s="10">
        <v>2210232440</v>
      </c>
      <c r="H284" s="8" t="str">
        <f>TRIM('Raw Dataset'!H284)</f>
        <v>PT. Yuniar Hakim Tbk</v>
      </c>
      <c r="J284" t="str">
        <v>OK</v>
      </c>
      <c r="K284" t="str">
        <v>OK</v>
      </c>
    </row>
    <row r="285" spans="1:11" ht="14.25" customHeight="1" x14ac:dyDescent="0.35">
      <c r="A285" s="8" t="s">
        <v>336</v>
      </c>
      <c r="B285" s="8" t="s">
        <v>30</v>
      </c>
      <c r="C285" s="8" t="s">
        <v>42</v>
      </c>
      <c r="D285" s="8" t="s">
        <v>627</v>
      </c>
      <c r="E285" s="14">
        <v>45129</v>
      </c>
      <c r="F285" s="14">
        <v>45310</v>
      </c>
      <c r="G285" s="10">
        <v>2045004222</v>
      </c>
      <c r="H285" s="8" t="str">
        <f>TRIM('Raw Dataset'!H285)</f>
        <v>PT B</v>
      </c>
      <c r="J285" t="str">
        <v>OK</v>
      </c>
      <c r="K285" t="str">
        <v>OK</v>
      </c>
    </row>
    <row r="286" spans="1:11" ht="14.25" customHeight="1" x14ac:dyDescent="0.35">
      <c r="A286" s="8" t="s">
        <v>337</v>
      </c>
      <c r="B286" s="8" t="s">
        <v>12</v>
      </c>
      <c r="C286" s="8" t="s">
        <v>42</v>
      </c>
      <c r="D286" s="8" t="s">
        <v>603</v>
      </c>
      <c r="E286" s="14">
        <v>45130</v>
      </c>
      <c r="F286" s="14">
        <v>45445</v>
      </c>
      <c r="G286" s="10">
        <v>607111213</v>
      </c>
      <c r="H286" s="8" t="str">
        <f>TRIM('Raw Dataset'!H286)</f>
        <v>PT. Yuniar Hakim Tbk</v>
      </c>
      <c r="J286" t="str">
        <v>OK</v>
      </c>
      <c r="K286" t="str">
        <v>OK</v>
      </c>
    </row>
    <row r="287" spans="1:11" ht="14.25" customHeight="1" x14ac:dyDescent="0.35">
      <c r="A287" s="8" t="s">
        <v>338</v>
      </c>
      <c r="B287" s="8" t="s">
        <v>12</v>
      </c>
      <c r="C287" s="8" t="s">
        <v>36</v>
      </c>
      <c r="D287" s="8" t="s">
        <v>578</v>
      </c>
      <c r="E287" s="14">
        <v>45130</v>
      </c>
      <c r="F287" s="14">
        <v>45407</v>
      </c>
      <c r="G287" s="10">
        <v>378250495</v>
      </c>
      <c r="H287" s="8" t="str">
        <f>TRIM('Raw Dataset'!H287)</f>
        <v>PT. Lailasari Hariyah (Persero) Tbk</v>
      </c>
      <c r="J287" t="str">
        <v>OK</v>
      </c>
      <c r="K287" t="str">
        <v>OK</v>
      </c>
    </row>
    <row r="288" spans="1:11" ht="14.25" customHeight="1" x14ac:dyDescent="0.35">
      <c r="A288" s="8" t="s">
        <v>339</v>
      </c>
      <c r="B288" s="8" t="s">
        <v>35</v>
      </c>
      <c r="C288" s="8" t="s">
        <v>42</v>
      </c>
      <c r="D288" s="8" t="s">
        <v>69</v>
      </c>
      <c r="E288" s="14">
        <v>45130</v>
      </c>
      <c r="F288" s="14">
        <v>45277</v>
      </c>
      <c r="G288" s="10">
        <v>225164187</v>
      </c>
      <c r="H288" s="8" t="str">
        <f>TRIM('Raw Dataset'!H288)</f>
        <v/>
      </c>
      <c r="J288" t="str">
        <v>OK</v>
      </c>
      <c r="K288" t="str">
        <v>OK</v>
      </c>
    </row>
    <row r="289" spans="1:11" ht="14.25" customHeight="1" x14ac:dyDescent="0.35">
      <c r="A289" s="8" t="s">
        <v>340</v>
      </c>
      <c r="B289" s="8" t="s">
        <v>30</v>
      </c>
      <c r="C289" s="8" t="s">
        <v>36</v>
      </c>
      <c r="D289" s="8" t="s">
        <v>614</v>
      </c>
      <c r="E289" s="14">
        <v>45130</v>
      </c>
      <c r="F289" s="14">
        <v>45465</v>
      </c>
      <c r="G289" s="10">
        <v>4178594822</v>
      </c>
      <c r="H289" s="8" t="str">
        <f>TRIM('Raw Dataset'!H289)</f>
        <v>PT. Yuniar Hakim Tbk</v>
      </c>
      <c r="J289" t="str">
        <v>OK</v>
      </c>
      <c r="K289" t="str">
        <v>OK</v>
      </c>
    </row>
    <row r="290" spans="1:11" ht="14.25" customHeight="1" x14ac:dyDescent="0.35">
      <c r="A290" s="8" t="s">
        <v>341</v>
      </c>
      <c r="B290" s="8" t="s">
        <v>12</v>
      </c>
      <c r="C290" s="8" t="s">
        <v>13</v>
      </c>
      <c r="D290" s="8" t="s">
        <v>605</v>
      </c>
      <c r="E290" s="14">
        <v>45131</v>
      </c>
      <c r="F290" s="14">
        <v>45228</v>
      </c>
      <c r="G290" s="10">
        <v>660225526</v>
      </c>
      <c r="H290" s="8" t="str">
        <f>TRIM('Raw Dataset'!H290)</f>
        <v>PT C</v>
      </c>
      <c r="J290" t="str">
        <v>OK</v>
      </c>
      <c r="K290" t="str">
        <v>OK</v>
      </c>
    </row>
    <row r="291" spans="1:11" ht="14.25" customHeight="1" x14ac:dyDescent="0.35">
      <c r="A291" s="8" t="s">
        <v>342</v>
      </c>
      <c r="B291" s="8" t="s">
        <v>30</v>
      </c>
      <c r="C291" s="8" t="s">
        <v>24</v>
      </c>
      <c r="D291" s="8" t="s">
        <v>612</v>
      </c>
      <c r="E291" s="14">
        <v>45131</v>
      </c>
      <c r="F291" s="14">
        <v>45411</v>
      </c>
      <c r="G291" s="10">
        <v>6255723631</v>
      </c>
      <c r="H291" s="8" t="str">
        <f>TRIM('Raw Dataset'!H291)</f>
        <v>PT C</v>
      </c>
      <c r="J291" t="str">
        <v>OK</v>
      </c>
      <c r="K291" t="str">
        <v>OK</v>
      </c>
    </row>
    <row r="292" spans="1:11" ht="14.25" customHeight="1" x14ac:dyDescent="0.35">
      <c r="A292" s="8" t="s">
        <v>343</v>
      </c>
      <c r="B292" s="8" t="s">
        <v>60</v>
      </c>
      <c r="C292" s="8" t="s">
        <v>39</v>
      </c>
      <c r="D292" s="8" t="s">
        <v>626</v>
      </c>
      <c r="E292" s="14">
        <v>45131</v>
      </c>
      <c r="F292" s="14">
        <v>45271</v>
      </c>
      <c r="G292" s="10">
        <v>1935087556</v>
      </c>
      <c r="H292" s="8" t="str">
        <f>TRIM('Raw Dataset'!H292)</f>
        <v>CV Sihombing</v>
      </c>
      <c r="J292" t="str">
        <v>OK</v>
      </c>
      <c r="K292" t="str">
        <v>OK</v>
      </c>
    </row>
    <row r="293" spans="1:11" ht="14.25" customHeight="1" x14ac:dyDescent="0.35">
      <c r="A293" s="8" t="s">
        <v>344</v>
      </c>
      <c r="B293" s="8" t="s">
        <v>30</v>
      </c>
      <c r="C293" s="8" t="s">
        <v>19</v>
      </c>
      <c r="D293" s="8" t="s">
        <v>624</v>
      </c>
      <c r="E293" s="14">
        <v>45133</v>
      </c>
      <c r="F293" s="14">
        <v>45384</v>
      </c>
      <c r="G293" s="10">
        <v>6639282641</v>
      </c>
      <c r="H293" s="8" t="str">
        <f>TRIM('Raw Dataset'!H293)</f>
        <v>PT A</v>
      </c>
      <c r="J293" t="str">
        <v>OK</v>
      </c>
      <c r="K293" t="str">
        <v>OK</v>
      </c>
    </row>
    <row r="294" spans="1:11" ht="14.25" customHeight="1" x14ac:dyDescent="0.35">
      <c r="A294" s="8" t="s">
        <v>345</v>
      </c>
      <c r="B294" s="8" t="s">
        <v>18</v>
      </c>
      <c r="C294" s="8" t="s">
        <v>48</v>
      </c>
      <c r="D294" s="8" t="s">
        <v>629</v>
      </c>
      <c r="E294" s="14">
        <v>45133</v>
      </c>
      <c r="F294" s="14">
        <v>45429</v>
      </c>
      <c r="G294" s="10">
        <v>1341304566</v>
      </c>
      <c r="H294" s="8" t="str">
        <f>TRIM('Raw Dataset'!H294)</f>
        <v>PT B</v>
      </c>
      <c r="J294" t="str">
        <v>OK</v>
      </c>
      <c r="K294" t="str">
        <v>OK</v>
      </c>
    </row>
    <row r="295" spans="1:11" ht="14.25" customHeight="1" x14ac:dyDescent="0.35">
      <c r="A295" s="8" t="s">
        <v>346</v>
      </c>
      <c r="B295" s="8" t="s">
        <v>30</v>
      </c>
      <c r="C295" s="8" t="s">
        <v>42</v>
      </c>
      <c r="D295" s="8" t="s">
        <v>632</v>
      </c>
      <c r="E295" s="14">
        <v>45135</v>
      </c>
      <c r="F295" s="14">
        <v>45168</v>
      </c>
      <c r="G295" s="10">
        <v>1482129947</v>
      </c>
      <c r="H295" s="8" t="str">
        <f>TRIM('Raw Dataset'!H295)</f>
        <v>PT D</v>
      </c>
      <c r="J295" t="str">
        <v>OK</v>
      </c>
      <c r="K295" t="str">
        <v>OK</v>
      </c>
    </row>
    <row r="296" spans="1:11" ht="14.25" customHeight="1" x14ac:dyDescent="0.35">
      <c r="A296" s="8" t="s">
        <v>347</v>
      </c>
      <c r="B296" s="8" t="s">
        <v>30</v>
      </c>
      <c r="C296" s="8" t="s">
        <v>42</v>
      </c>
      <c r="D296" s="8" t="s">
        <v>632</v>
      </c>
      <c r="E296" s="14">
        <v>45135</v>
      </c>
      <c r="F296" s="14">
        <v>45240</v>
      </c>
      <c r="G296" s="10">
        <v>5134610940</v>
      </c>
      <c r="H296" s="8" t="str">
        <f>TRIM('Raw Dataset'!H296)</f>
        <v>CV Sihombing</v>
      </c>
      <c r="J296" t="str">
        <v>OK</v>
      </c>
      <c r="K296" t="str">
        <v>OK</v>
      </c>
    </row>
    <row r="297" spans="1:11" ht="14.25" customHeight="1" x14ac:dyDescent="0.35">
      <c r="A297" s="8" t="s">
        <v>348</v>
      </c>
      <c r="B297" s="8" t="s">
        <v>12</v>
      </c>
      <c r="C297" s="8" t="s">
        <v>42</v>
      </c>
      <c r="D297" s="8" t="s">
        <v>603</v>
      </c>
      <c r="E297" s="14">
        <v>45135</v>
      </c>
      <c r="F297" s="14">
        <v>45357</v>
      </c>
      <c r="G297" s="10">
        <v>344333067</v>
      </c>
      <c r="H297" s="8" t="str">
        <f>TRIM('Raw Dataset'!H297)</f>
        <v>PT C</v>
      </c>
      <c r="J297" t="str">
        <v>OK</v>
      </c>
      <c r="K297" t="str">
        <v>OK</v>
      </c>
    </row>
    <row r="298" spans="1:11" ht="14.25" customHeight="1" x14ac:dyDescent="0.35">
      <c r="A298" s="8" t="s">
        <v>349</v>
      </c>
      <c r="B298" s="8" t="s">
        <v>18</v>
      </c>
      <c r="C298" s="8" t="s">
        <v>31</v>
      </c>
      <c r="D298" s="8" t="s">
        <v>636</v>
      </c>
      <c r="E298" s="14">
        <v>45136</v>
      </c>
      <c r="F298" s="14">
        <v>45177</v>
      </c>
      <c r="G298" s="10">
        <v>2347619310</v>
      </c>
      <c r="H298" s="8" t="str">
        <f>TRIM('Raw Dataset'!H298)</f>
        <v>PT D</v>
      </c>
      <c r="J298" t="str">
        <v>OK</v>
      </c>
      <c r="K298" t="str">
        <v>OK</v>
      </c>
    </row>
    <row r="299" spans="1:11" ht="14.25" customHeight="1" x14ac:dyDescent="0.35">
      <c r="A299" s="8" t="s">
        <v>350</v>
      </c>
      <c r="B299" s="8" t="s">
        <v>60</v>
      </c>
      <c r="C299" s="8" t="s">
        <v>13</v>
      </c>
      <c r="D299" s="8" t="s">
        <v>619</v>
      </c>
      <c r="E299" s="14">
        <v>45136</v>
      </c>
      <c r="F299" s="14">
        <v>45380</v>
      </c>
      <c r="G299" s="10">
        <v>2422397660</v>
      </c>
      <c r="H299" s="8" t="str">
        <f>TRIM('Raw Dataset'!H299)</f>
        <v>PT A</v>
      </c>
      <c r="J299" t="str">
        <v>OK</v>
      </c>
      <c r="K299" t="str">
        <v>OK</v>
      </c>
    </row>
    <row r="300" spans="1:11" ht="14.25" customHeight="1" x14ac:dyDescent="0.35">
      <c r="A300" s="8" t="s">
        <v>351</v>
      </c>
      <c r="B300" s="8" t="s">
        <v>35</v>
      </c>
      <c r="C300" s="8" t="s">
        <v>36</v>
      </c>
      <c r="D300" s="8" t="s">
        <v>37</v>
      </c>
      <c r="E300" s="14">
        <v>45137</v>
      </c>
      <c r="F300" s="14">
        <v>45306</v>
      </c>
      <c r="G300" s="10">
        <v>593562614</v>
      </c>
      <c r="H300" s="8" t="str">
        <f>TRIM('Raw Dataset'!H300)</f>
        <v>CV Sihombing</v>
      </c>
      <c r="J300" t="str">
        <v>OK</v>
      </c>
      <c r="K300" t="str">
        <v>OK</v>
      </c>
    </row>
    <row r="301" spans="1:11" ht="14.25" customHeight="1" x14ac:dyDescent="0.35">
      <c r="A301" s="8" t="s">
        <v>352</v>
      </c>
      <c r="B301" s="8" t="s">
        <v>60</v>
      </c>
      <c r="C301" s="8" t="s">
        <v>13</v>
      </c>
      <c r="D301" s="8" t="s">
        <v>582</v>
      </c>
      <c r="E301" s="14">
        <v>45137</v>
      </c>
      <c r="F301" s="14">
        <v>45248</v>
      </c>
      <c r="G301" s="10">
        <v>3507077254</v>
      </c>
      <c r="H301" s="8" t="str">
        <f>TRIM('Raw Dataset'!H301)</f>
        <v>PT A</v>
      </c>
      <c r="J301" t="str">
        <v>OK</v>
      </c>
      <c r="K301" t="str">
        <v>OK</v>
      </c>
    </row>
    <row r="302" spans="1:11" ht="14.25" customHeight="1" x14ac:dyDescent="0.35">
      <c r="A302" s="8" t="s">
        <v>353</v>
      </c>
      <c r="B302" s="8" t="s">
        <v>18</v>
      </c>
      <c r="C302" s="8" t="s">
        <v>24</v>
      </c>
      <c r="D302" s="8" t="s">
        <v>618</v>
      </c>
      <c r="E302" s="14">
        <v>45138</v>
      </c>
      <c r="F302" s="14">
        <v>45446</v>
      </c>
      <c r="G302" s="10">
        <v>7830031020</v>
      </c>
      <c r="H302" s="8" t="str">
        <f>TRIM('Raw Dataset'!H302)</f>
        <v>PT. Yuniar Hakim Tbk</v>
      </c>
      <c r="J302" t="str">
        <v>OK</v>
      </c>
      <c r="K302" t="str">
        <v>OK</v>
      </c>
    </row>
    <row r="303" spans="1:11" ht="14.25" customHeight="1" x14ac:dyDescent="0.35">
      <c r="A303" s="8" t="s">
        <v>354</v>
      </c>
      <c r="B303" s="8" t="s">
        <v>60</v>
      </c>
      <c r="C303" s="8" t="s">
        <v>19</v>
      </c>
      <c r="D303" s="8" t="s">
        <v>616</v>
      </c>
      <c r="E303" s="14">
        <v>45138</v>
      </c>
      <c r="F303" s="14">
        <v>45260</v>
      </c>
      <c r="G303" s="10">
        <v>3767875960</v>
      </c>
      <c r="H303" s="8" t="str">
        <f>TRIM('Raw Dataset'!H303)</f>
        <v/>
      </c>
      <c r="J303" t="str">
        <v>OK</v>
      </c>
      <c r="K303" t="str">
        <v>OK</v>
      </c>
    </row>
    <row r="304" spans="1:11" ht="14.25" customHeight="1" x14ac:dyDescent="0.35">
      <c r="A304" s="8" t="s">
        <v>355</v>
      </c>
      <c r="B304" s="8" t="s">
        <v>18</v>
      </c>
      <c r="C304" s="8" t="s">
        <v>36</v>
      </c>
      <c r="D304" s="8" t="s">
        <v>634</v>
      </c>
      <c r="E304" s="14">
        <v>45140</v>
      </c>
      <c r="F304" s="14">
        <v>45456</v>
      </c>
      <c r="G304" s="10">
        <v>8403683934</v>
      </c>
      <c r="H304" s="8" t="str">
        <f>TRIM('Raw Dataset'!H304)</f>
        <v>PT D</v>
      </c>
      <c r="J304" t="str">
        <v>OK</v>
      </c>
      <c r="K304" t="str">
        <v>OK</v>
      </c>
    </row>
    <row r="305" spans="1:11" ht="14.25" customHeight="1" x14ac:dyDescent="0.35">
      <c r="A305" s="8" t="s">
        <v>356</v>
      </c>
      <c r="B305" s="8" t="s">
        <v>60</v>
      </c>
      <c r="C305" s="8" t="s">
        <v>36</v>
      </c>
      <c r="D305" s="8" t="s">
        <v>628</v>
      </c>
      <c r="E305" s="14">
        <v>45140</v>
      </c>
      <c r="F305" s="14">
        <v>45473</v>
      </c>
      <c r="G305" s="10">
        <v>4381657926</v>
      </c>
      <c r="H305" s="8" t="str">
        <f>TRIM('Raw Dataset'!H305)</f>
        <v>PT. Yuniar Hakim Tbk</v>
      </c>
      <c r="J305" t="str">
        <v>OK</v>
      </c>
      <c r="K305" t="str">
        <v>OK</v>
      </c>
    </row>
    <row r="306" spans="1:11" ht="14.25" customHeight="1" x14ac:dyDescent="0.35">
      <c r="A306" s="8" t="s">
        <v>357</v>
      </c>
      <c r="B306" s="8" t="s">
        <v>30</v>
      </c>
      <c r="C306" s="8" t="s">
        <v>42</v>
      </c>
      <c r="D306" s="8" t="s">
        <v>632</v>
      </c>
      <c r="E306" s="14">
        <v>45140</v>
      </c>
      <c r="F306" s="14">
        <v>45487</v>
      </c>
      <c r="G306" s="10">
        <v>1717899076</v>
      </c>
      <c r="H306" s="8" t="str">
        <f>TRIM('Raw Dataset'!H306)</f>
        <v>CV Sihombing</v>
      </c>
      <c r="J306" t="str">
        <v>OK</v>
      </c>
      <c r="K306" t="str">
        <v>OK</v>
      </c>
    </row>
    <row r="307" spans="1:11" ht="14.25" customHeight="1" x14ac:dyDescent="0.35">
      <c r="A307" s="8" t="s">
        <v>358</v>
      </c>
      <c r="B307" s="8" t="s">
        <v>12</v>
      </c>
      <c r="C307" s="8" t="s">
        <v>48</v>
      </c>
      <c r="D307" s="8" t="s">
        <v>602</v>
      </c>
      <c r="E307" s="14">
        <v>45143</v>
      </c>
      <c r="F307" s="14">
        <v>45201</v>
      </c>
      <c r="G307" s="10">
        <v>231308784</v>
      </c>
      <c r="H307" s="8" t="str">
        <f>TRIM('Raw Dataset'!H307)</f>
        <v>PT C</v>
      </c>
      <c r="J307" t="str">
        <v>OK</v>
      </c>
      <c r="K307" t="str">
        <v>OK</v>
      </c>
    </row>
    <row r="308" spans="1:11" ht="14.25" customHeight="1" x14ac:dyDescent="0.35">
      <c r="A308" s="8" t="s">
        <v>359</v>
      </c>
      <c r="B308" s="8" t="s">
        <v>18</v>
      </c>
      <c r="C308" s="8" t="s">
        <v>24</v>
      </c>
      <c r="D308" s="8" t="s">
        <v>618</v>
      </c>
      <c r="E308" s="14">
        <v>45143</v>
      </c>
      <c r="F308" s="14">
        <v>45254</v>
      </c>
      <c r="G308" s="10">
        <v>1694502492</v>
      </c>
      <c r="H308" s="8" t="str">
        <f>TRIM('Raw Dataset'!H308)</f>
        <v>PT. Lailasari Hariyah (Persero) Tbk</v>
      </c>
      <c r="J308" t="str">
        <v>OK</v>
      </c>
      <c r="K308" t="str">
        <v>OK</v>
      </c>
    </row>
    <row r="309" spans="1:11" ht="14.25" customHeight="1" x14ac:dyDescent="0.35">
      <c r="A309" s="8" t="s">
        <v>360</v>
      </c>
      <c r="B309" s="8" t="s">
        <v>18</v>
      </c>
      <c r="C309" s="8" t="s">
        <v>24</v>
      </c>
      <c r="D309" s="8" t="s">
        <v>618</v>
      </c>
      <c r="E309" s="14">
        <v>45144</v>
      </c>
      <c r="F309" s="14">
        <v>45215</v>
      </c>
      <c r="G309" s="10">
        <v>6044403214</v>
      </c>
      <c r="H309" s="8" t="str">
        <f>TRIM('Raw Dataset'!H309)</f>
        <v>PT C</v>
      </c>
      <c r="J309" t="str">
        <v>OK</v>
      </c>
      <c r="K309" t="str">
        <v>OK</v>
      </c>
    </row>
    <row r="310" spans="1:11" ht="14.25" customHeight="1" x14ac:dyDescent="0.35">
      <c r="A310" s="8" t="s">
        <v>361</v>
      </c>
      <c r="B310" s="8" t="s">
        <v>60</v>
      </c>
      <c r="C310" s="8" t="s">
        <v>39</v>
      </c>
      <c r="D310" s="8" t="s">
        <v>626</v>
      </c>
      <c r="E310" s="14">
        <v>45144</v>
      </c>
      <c r="F310" s="14">
        <v>45187</v>
      </c>
      <c r="G310" s="10">
        <v>4486128429</v>
      </c>
      <c r="H310" s="8" t="str">
        <f>TRIM('Raw Dataset'!H310)</f>
        <v/>
      </c>
      <c r="J310" t="str">
        <v>OK</v>
      </c>
      <c r="K310" t="str">
        <v>OK</v>
      </c>
    </row>
    <row r="311" spans="1:11" ht="14.25" customHeight="1" x14ac:dyDescent="0.35">
      <c r="A311" s="8" t="s">
        <v>362</v>
      </c>
      <c r="B311" s="8" t="s">
        <v>12</v>
      </c>
      <c r="C311" s="8" t="s">
        <v>42</v>
      </c>
      <c r="D311" s="8" t="s">
        <v>603</v>
      </c>
      <c r="E311" s="14">
        <v>45145</v>
      </c>
      <c r="F311" s="14">
        <v>45397</v>
      </c>
      <c r="G311" s="10">
        <v>873718114</v>
      </c>
      <c r="H311" s="8" t="str">
        <f>TRIM('Raw Dataset'!H311)</f>
        <v>CV Sihombing</v>
      </c>
      <c r="J311" t="str">
        <v>OK</v>
      </c>
      <c r="K311" t="str">
        <v>OK</v>
      </c>
    </row>
    <row r="312" spans="1:11" ht="14.25" customHeight="1" x14ac:dyDescent="0.35">
      <c r="A312" s="8" t="s">
        <v>363</v>
      </c>
      <c r="B312" s="8" t="s">
        <v>35</v>
      </c>
      <c r="C312" s="8" t="s">
        <v>39</v>
      </c>
      <c r="D312" s="8" t="s">
        <v>145</v>
      </c>
      <c r="E312" s="14">
        <v>45147</v>
      </c>
      <c r="F312" s="14">
        <v>45343</v>
      </c>
      <c r="G312" s="10">
        <v>230467768</v>
      </c>
      <c r="H312" s="8" t="str">
        <f>TRIM('Raw Dataset'!H312)</f>
        <v>PT B</v>
      </c>
      <c r="J312" t="str">
        <v>OK</v>
      </c>
      <c r="K312" t="str">
        <v>OK</v>
      </c>
    </row>
    <row r="313" spans="1:11" ht="14.25" customHeight="1" x14ac:dyDescent="0.35">
      <c r="A313" s="8" t="s">
        <v>364</v>
      </c>
      <c r="B313" s="8" t="s">
        <v>12</v>
      </c>
      <c r="C313" s="8" t="s">
        <v>36</v>
      </c>
      <c r="D313" s="8" t="s">
        <v>578</v>
      </c>
      <c r="E313" s="14">
        <v>45148</v>
      </c>
      <c r="F313" s="14">
        <v>45259</v>
      </c>
      <c r="G313" s="10">
        <v>688191398</v>
      </c>
      <c r="H313" s="8" t="str">
        <f>TRIM('Raw Dataset'!H313)</f>
        <v>CV Sihombing</v>
      </c>
      <c r="J313" t="str">
        <v>OK</v>
      </c>
      <c r="K313" t="str">
        <v>OK</v>
      </c>
    </row>
    <row r="314" spans="1:11" ht="14.25" customHeight="1" x14ac:dyDescent="0.35">
      <c r="A314" s="8" t="s">
        <v>365</v>
      </c>
      <c r="B314" s="8" t="s">
        <v>18</v>
      </c>
      <c r="C314" s="8" t="s">
        <v>36</v>
      </c>
      <c r="D314" s="8" t="s">
        <v>634</v>
      </c>
      <c r="E314" s="14">
        <v>45149</v>
      </c>
      <c r="F314" s="14">
        <v>45285</v>
      </c>
      <c r="G314" s="10">
        <v>2697606072</v>
      </c>
      <c r="H314" s="8" t="str">
        <f>TRIM('Raw Dataset'!H314)</f>
        <v>CV Sihombing</v>
      </c>
      <c r="J314" t="str">
        <v>OK</v>
      </c>
      <c r="K314" t="str">
        <v>OK</v>
      </c>
    </row>
    <row r="315" spans="1:11" ht="14.25" customHeight="1" x14ac:dyDescent="0.35">
      <c r="A315" s="8" t="s">
        <v>366</v>
      </c>
      <c r="B315" s="8" t="s">
        <v>12</v>
      </c>
      <c r="C315" s="8" t="s">
        <v>39</v>
      </c>
      <c r="D315" s="8" t="s">
        <v>591</v>
      </c>
      <c r="E315" s="14">
        <v>45151</v>
      </c>
      <c r="F315" s="14">
        <v>45311</v>
      </c>
      <c r="G315" s="10">
        <v>990744889</v>
      </c>
      <c r="H315" s="8" t="str">
        <f>TRIM('Raw Dataset'!H315)</f>
        <v>PT. Lailasari Hariyah (Persero) Tbk</v>
      </c>
      <c r="J315" t="str">
        <v>OK</v>
      </c>
      <c r="K315" t="str">
        <v>OK</v>
      </c>
    </row>
    <row r="316" spans="1:11" ht="14.25" customHeight="1" x14ac:dyDescent="0.35">
      <c r="A316" s="8" t="s">
        <v>367</v>
      </c>
      <c r="B316" s="8" t="s">
        <v>30</v>
      </c>
      <c r="C316" s="8" t="s">
        <v>36</v>
      </c>
      <c r="D316" s="8" t="s">
        <v>639</v>
      </c>
      <c r="E316" s="14">
        <v>45153</v>
      </c>
      <c r="F316" s="14">
        <v>45342</v>
      </c>
      <c r="G316" s="10">
        <v>3212613392</v>
      </c>
      <c r="H316" s="8" t="str">
        <f>TRIM('Raw Dataset'!H316)</f>
        <v>PT A</v>
      </c>
      <c r="J316" t="str">
        <v>OK</v>
      </c>
      <c r="K316" t="str">
        <v>OK</v>
      </c>
    </row>
    <row r="317" spans="1:11" ht="14.25" customHeight="1" x14ac:dyDescent="0.35">
      <c r="A317" s="8" t="s">
        <v>368</v>
      </c>
      <c r="B317" s="8" t="s">
        <v>30</v>
      </c>
      <c r="C317" s="8" t="s">
        <v>19</v>
      </c>
      <c r="D317" s="8" t="s">
        <v>623</v>
      </c>
      <c r="E317" s="14">
        <v>45154</v>
      </c>
      <c r="F317" s="14">
        <v>45311</v>
      </c>
      <c r="G317" s="10">
        <v>843044899</v>
      </c>
      <c r="H317" s="8" t="str">
        <f>TRIM('Raw Dataset'!H317)</f>
        <v>PT. Lailasari Hariyah (Persero) Tbk</v>
      </c>
      <c r="J317" t="str">
        <v>OK</v>
      </c>
      <c r="K317" t="str">
        <v>OK</v>
      </c>
    </row>
    <row r="318" spans="1:11" ht="14.25" customHeight="1" x14ac:dyDescent="0.35">
      <c r="A318" s="8" t="s">
        <v>369</v>
      </c>
      <c r="B318" s="8" t="s">
        <v>35</v>
      </c>
      <c r="C318" s="8" t="s">
        <v>13</v>
      </c>
      <c r="D318" s="8" t="s">
        <v>78</v>
      </c>
      <c r="E318" s="14">
        <v>45154</v>
      </c>
      <c r="F318" s="14">
        <v>45341</v>
      </c>
      <c r="G318" s="10">
        <v>442886883</v>
      </c>
      <c r="H318" s="8" t="str">
        <f>TRIM('Raw Dataset'!H318)</f>
        <v/>
      </c>
      <c r="J318" t="str">
        <v>OK</v>
      </c>
      <c r="K318" t="str">
        <v>OK</v>
      </c>
    </row>
    <row r="319" spans="1:11" ht="14.25" customHeight="1" x14ac:dyDescent="0.35">
      <c r="A319" s="8" t="s">
        <v>370</v>
      </c>
      <c r="B319" s="8" t="s">
        <v>18</v>
      </c>
      <c r="C319" s="8" t="s">
        <v>24</v>
      </c>
      <c r="D319" s="8" t="s">
        <v>618</v>
      </c>
      <c r="E319" s="14">
        <v>45155</v>
      </c>
      <c r="F319" s="14">
        <v>45382</v>
      </c>
      <c r="G319" s="10">
        <v>8993425036</v>
      </c>
      <c r="H319" s="8" t="str">
        <f>TRIM('Raw Dataset'!H319)</f>
        <v>PT D</v>
      </c>
      <c r="J319" t="str">
        <v>OK</v>
      </c>
      <c r="K319" t="str">
        <v>OK</v>
      </c>
    </row>
    <row r="320" spans="1:11" ht="14.25" customHeight="1" x14ac:dyDescent="0.35">
      <c r="A320" s="8" t="s">
        <v>371</v>
      </c>
      <c r="B320" s="8" t="s">
        <v>18</v>
      </c>
      <c r="C320" s="8" t="s">
        <v>36</v>
      </c>
      <c r="D320" s="8" t="s">
        <v>634</v>
      </c>
      <c r="E320" s="14">
        <v>45157</v>
      </c>
      <c r="F320" s="14">
        <v>45222</v>
      </c>
      <c r="G320" s="10">
        <v>4764842863</v>
      </c>
      <c r="H320" s="8" t="str">
        <f>TRIM('Raw Dataset'!H320)</f>
        <v>PT A</v>
      </c>
      <c r="J320" t="str">
        <v>OK</v>
      </c>
      <c r="K320" t="str">
        <v>OK</v>
      </c>
    </row>
    <row r="321" spans="1:11" ht="14.25" customHeight="1" x14ac:dyDescent="0.35">
      <c r="A321" s="8" t="s">
        <v>372</v>
      </c>
      <c r="B321" s="8" t="s">
        <v>12</v>
      </c>
      <c r="C321" s="8" t="s">
        <v>42</v>
      </c>
      <c r="D321" s="8" t="s">
        <v>603</v>
      </c>
      <c r="E321" s="14">
        <v>45157</v>
      </c>
      <c r="F321" s="14">
        <v>45305</v>
      </c>
      <c r="G321" s="10">
        <v>616245876</v>
      </c>
      <c r="H321" s="8" t="str">
        <f>TRIM('Raw Dataset'!H321)</f>
        <v/>
      </c>
      <c r="J321" t="str">
        <v>OK</v>
      </c>
      <c r="K321" t="str">
        <v>OK</v>
      </c>
    </row>
    <row r="322" spans="1:11" ht="14.25" customHeight="1" x14ac:dyDescent="0.35">
      <c r="A322" s="8" t="s">
        <v>373</v>
      </c>
      <c r="B322" s="8" t="s">
        <v>60</v>
      </c>
      <c r="C322" s="8" t="s">
        <v>19</v>
      </c>
      <c r="D322" s="8" t="s">
        <v>616</v>
      </c>
      <c r="E322" s="14">
        <v>45158</v>
      </c>
      <c r="F322" s="14">
        <v>45284</v>
      </c>
      <c r="G322" s="10">
        <v>2466228274</v>
      </c>
      <c r="H322" s="8" t="str">
        <f>TRIM('Raw Dataset'!H322)</f>
        <v>PT. Yuniar Hakim Tbk</v>
      </c>
      <c r="J322" t="str">
        <v>OK</v>
      </c>
      <c r="K322" t="str">
        <v>OK</v>
      </c>
    </row>
    <row r="323" spans="1:11" ht="14.25" customHeight="1" x14ac:dyDescent="0.35">
      <c r="A323" s="8" t="s">
        <v>374</v>
      </c>
      <c r="B323" s="8" t="s">
        <v>60</v>
      </c>
      <c r="C323" s="8" t="s">
        <v>31</v>
      </c>
      <c r="D323" s="8" t="s">
        <v>599</v>
      </c>
      <c r="E323" s="14">
        <v>45159</v>
      </c>
      <c r="F323" s="14">
        <v>45378</v>
      </c>
      <c r="G323" s="10">
        <v>3270114898</v>
      </c>
      <c r="H323" s="8" t="str">
        <f>TRIM('Raw Dataset'!H323)</f>
        <v>PT D</v>
      </c>
      <c r="J323" t="str">
        <v>OK</v>
      </c>
      <c r="K323" t="str">
        <v>OK</v>
      </c>
    </row>
    <row r="324" spans="1:11" ht="14.25" customHeight="1" x14ac:dyDescent="0.35">
      <c r="A324" s="8" t="s">
        <v>375</v>
      </c>
      <c r="B324" s="8" t="s">
        <v>60</v>
      </c>
      <c r="C324" s="8" t="s">
        <v>24</v>
      </c>
      <c r="D324" s="8" t="s">
        <v>640</v>
      </c>
      <c r="E324" s="14">
        <v>45159</v>
      </c>
      <c r="F324" s="14">
        <v>45272</v>
      </c>
      <c r="G324" s="10">
        <v>2841617618</v>
      </c>
      <c r="H324" s="8" t="str">
        <f>TRIM('Raw Dataset'!H324)</f>
        <v>PT D</v>
      </c>
      <c r="J324" t="str">
        <v>OK</v>
      </c>
      <c r="K324" t="str">
        <v>OK</v>
      </c>
    </row>
    <row r="325" spans="1:11" ht="14.25" customHeight="1" x14ac:dyDescent="0.35">
      <c r="A325" s="8" t="s">
        <v>376</v>
      </c>
      <c r="B325" s="8" t="s">
        <v>60</v>
      </c>
      <c r="C325" s="8" t="s">
        <v>24</v>
      </c>
      <c r="D325" s="8" t="s">
        <v>640</v>
      </c>
      <c r="E325" s="14">
        <v>45160</v>
      </c>
      <c r="F325" s="14">
        <v>45415</v>
      </c>
      <c r="G325" s="10">
        <v>2178901994</v>
      </c>
      <c r="H325" s="8" t="str">
        <f>TRIM('Raw Dataset'!H325)</f>
        <v/>
      </c>
      <c r="J325" t="str">
        <v>OK</v>
      </c>
      <c r="K325" t="str">
        <v>OK</v>
      </c>
    </row>
    <row r="326" spans="1:11" ht="14.25" customHeight="1" x14ac:dyDescent="0.35">
      <c r="A326" s="8" t="s">
        <v>377</v>
      </c>
      <c r="B326" s="8" t="s">
        <v>18</v>
      </c>
      <c r="C326" s="8" t="s">
        <v>31</v>
      </c>
      <c r="D326" s="8" t="s">
        <v>636</v>
      </c>
      <c r="E326" s="14">
        <v>45160</v>
      </c>
      <c r="F326" s="14">
        <v>45496</v>
      </c>
      <c r="G326" s="10">
        <v>4033563886</v>
      </c>
      <c r="H326" s="8" t="str">
        <f>TRIM('Raw Dataset'!H326)</f>
        <v/>
      </c>
      <c r="J326" t="str">
        <v>OK</v>
      </c>
      <c r="K326" t="str">
        <v>OK</v>
      </c>
    </row>
    <row r="327" spans="1:11" ht="14.25" customHeight="1" x14ac:dyDescent="0.35">
      <c r="A327" s="8" t="s">
        <v>378</v>
      </c>
      <c r="B327" s="8" t="s">
        <v>30</v>
      </c>
      <c r="C327" s="8" t="s">
        <v>24</v>
      </c>
      <c r="D327" s="8" t="s">
        <v>637</v>
      </c>
      <c r="E327" s="14">
        <v>45160</v>
      </c>
      <c r="F327" s="14">
        <v>45197</v>
      </c>
      <c r="G327" s="10">
        <v>965725164</v>
      </c>
      <c r="H327" s="8" t="str">
        <f>TRIM('Raw Dataset'!H327)</f>
        <v/>
      </c>
      <c r="J327" t="str">
        <v>OK</v>
      </c>
      <c r="K327" t="str">
        <v>OK</v>
      </c>
    </row>
    <row r="328" spans="1:11" ht="14.25" customHeight="1" x14ac:dyDescent="0.35">
      <c r="A328" s="8" t="s">
        <v>379</v>
      </c>
      <c r="B328" s="8" t="s">
        <v>12</v>
      </c>
      <c r="C328" s="8" t="s">
        <v>24</v>
      </c>
      <c r="D328" s="8" t="s">
        <v>610</v>
      </c>
      <c r="E328" s="14">
        <v>45161</v>
      </c>
      <c r="F328" s="14">
        <v>45199</v>
      </c>
      <c r="G328" s="10">
        <v>647397365</v>
      </c>
      <c r="H328" s="8" t="str">
        <f>TRIM('Raw Dataset'!H328)</f>
        <v>PT D</v>
      </c>
      <c r="J328" t="str">
        <v>OK</v>
      </c>
      <c r="K328" t="str">
        <v>OK</v>
      </c>
    </row>
    <row r="329" spans="1:11" ht="14.25" customHeight="1" x14ac:dyDescent="0.35">
      <c r="A329" s="8" t="s">
        <v>380</v>
      </c>
      <c r="B329" s="8" t="s">
        <v>30</v>
      </c>
      <c r="C329" s="8" t="s">
        <v>24</v>
      </c>
      <c r="D329" s="8" t="s">
        <v>637</v>
      </c>
      <c r="E329" s="14">
        <v>45161</v>
      </c>
      <c r="F329" s="14">
        <v>45466</v>
      </c>
      <c r="G329" s="10">
        <v>775460621</v>
      </c>
      <c r="H329" s="8" t="str">
        <f>TRIM('Raw Dataset'!H329)</f>
        <v>PT. Lailasari Hariyah (Persero) Tbk</v>
      </c>
      <c r="J329" t="str">
        <v>OK</v>
      </c>
      <c r="K329" t="str">
        <v>OK</v>
      </c>
    </row>
    <row r="330" spans="1:11" ht="14.25" customHeight="1" x14ac:dyDescent="0.35">
      <c r="A330" s="8" t="s">
        <v>381</v>
      </c>
      <c r="B330" s="8" t="s">
        <v>18</v>
      </c>
      <c r="C330" s="8" t="s">
        <v>39</v>
      </c>
      <c r="D330" s="8" t="s">
        <v>577</v>
      </c>
      <c r="E330" s="14">
        <v>45162</v>
      </c>
      <c r="F330" s="14">
        <v>45516</v>
      </c>
      <c r="G330" s="10">
        <v>7165201683</v>
      </c>
      <c r="H330" s="8" t="str">
        <f>TRIM('Raw Dataset'!H330)</f>
        <v>CV Sihombing</v>
      </c>
      <c r="J330" t="str">
        <v>OK</v>
      </c>
      <c r="K330" t="str">
        <v>OK</v>
      </c>
    </row>
    <row r="331" spans="1:11" ht="14.25" customHeight="1" x14ac:dyDescent="0.35">
      <c r="A331" s="8" t="s">
        <v>382</v>
      </c>
      <c r="B331" s="8" t="s">
        <v>35</v>
      </c>
      <c r="C331" s="8" t="s">
        <v>48</v>
      </c>
      <c r="D331" s="8" t="s">
        <v>49</v>
      </c>
      <c r="E331" s="14">
        <v>45162</v>
      </c>
      <c r="F331" s="14">
        <v>45254</v>
      </c>
      <c r="G331" s="10">
        <v>557418865</v>
      </c>
      <c r="H331" s="8" t="str">
        <f>TRIM('Raw Dataset'!H331)</f>
        <v/>
      </c>
      <c r="J331" t="str">
        <v>OK</v>
      </c>
      <c r="K331" t="str">
        <v>OK</v>
      </c>
    </row>
    <row r="332" spans="1:11" ht="14.25" customHeight="1" x14ac:dyDescent="0.35">
      <c r="A332" s="8" t="s">
        <v>383</v>
      </c>
      <c r="B332" s="8" t="s">
        <v>18</v>
      </c>
      <c r="C332" s="8" t="s">
        <v>48</v>
      </c>
      <c r="D332" s="8" t="s">
        <v>629</v>
      </c>
      <c r="E332" s="14">
        <v>45163</v>
      </c>
      <c r="F332" s="14">
        <v>45219</v>
      </c>
      <c r="G332" s="10">
        <v>4732793482</v>
      </c>
      <c r="H332" s="8" t="str">
        <f>TRIM('Raw Dataset'!H332)</f>
        <v>PT B</v>
      </c>
      <c r="J332" t="str">
        <v>OK</v>
      </c>
      <c r="K332" t="str">
        <v>OK</v>
      </c>
    </row>
    <row r="333" spans="1:11" ht="14.25" customHeight="1" x14ac:dyDescent="0.35">
      <c r="A333" s="8" t="s">
        <v>384</v>
      </c>
      <c r="B333" s="8" t="s">
        <v>30</v>
      </c>
      <c r="C333" s="8" t="s">
        <v>39</v>
      </c>
      <c r="D333" s="8" t="s">
        <v>590</v>
      </c>
      <c r="E333" s="14">
        <v>45163</v>
      </c>
      <c r="F333" s="14">
        <v>45258</v>
      </c>
      <c r="G333" s="10">
        <v>2993133974</v>
      </c>
      <c r="H333" s="8" t="str">
        <f>TRIM('Raw Dataset'!H333)</f>
        <v>PT B</v>
      </c>
      <c r="J333" t="str">
        <v>OK</v>
      </c>
      <c r="K333" t="str">
        <v>OK</v>
      </c>
    </row>
    <row r="334" spans="1:11" ht="14.25" customHeight="1" x14ac:dyDescent="0.35">
      <c r="A334" s="8" t="s">
        <v>385</v>
      </c>
      <c r="B334" s="8" t="s">
        <v>60</v>
      </c>
      <c r="C334" s="8" t="s">
        <v>13</v>
      </c>
      <c r="D334" s="8" t="s">
        <v>582</v>
      </c>
      <c r="E334" s="14">
        <v>45164</v>
      </c>
      <c r="F334" s="14">
        <v>45456</v>
      </c>
      <c r="G334" s="10">
        <v>4720470438</v>
      </c>
      <c r="H334" s="8" t="str">
        <f>TRIM('Raw Dataset'!H334)</f>
        <v>PT C</v>
      </c>
      <c r="J334" t="str">
        <v>OK</v>
      </c>
      <c r="K334" t="str">
        <v>OK</v>
      </c>
    </row>
    <row r="335" spans="1:11" ht="14.25" customHeight="1" x14ac:dyDescent="0.35">
      <c r="A335" s="8" t="s">
        <v>386</v>
      </c>
      <c r="B335" s="8" t="s">
        <v>30</v>
      </c>
      <c r="C335" s="8" t="s">
        <v>31</v>
      </c>
      <c r="D335" s="8" t="s">
        <v>585</v>
      </c>
      <c r="E335" s="14">
        <v>45167</v>
      </c>
      <c r="F335" s="14">
        <v>45453</v>
      </c>
      <c r="G335" s="10">
        <v>3999421618</v>
      </c>
      <c r="H335" s="8" t="str">
        <f>TRIM('Raw Dataset'!H335)</f>
        <v>PT B</v>
      </c>
      <c r="J335" t="str">
        <v>OK</v>
      </c>
      <c r="K335" t="str">
        <v>OK</v>
      </c>
    </row>
    <row r="336" spans="1:11" ht="14.25" customHeight="1" x14ac:dyDescent="0.35">
      <c r="A336" s="8" t="s">
        <v>387</v>
      </c>
      <c r="B336" s="8" t="s">
        <v>30</v>
      </c>
      <c r="C336" s="8" t="s">
        <v>19</v>
      </c>
      <c r="D336" s="8" t="s">
        <v>624</v>
      </c>
      <c r="E336" s="14">
        <v>45168</v>
      </c>
      <c r="F336" s="14">
        <v>45511</v>
      </c>
      <c r="G336" s="10">
        <v>1118159098</v>
      </c>
      <c r="H336" s="8" t="str">
        <f>TRIM('Raw Dataset'!H336)</f>
        <v>PT A</v>
      </c>
      <c r="J336" t="str">
        <v>OK</v>
      </c>
      <c r="K336" t="str">
        <v>OK</v>
      </c>
    </row>
    <row r="337" spans="1:11" ht="14.25" customHeight="1" x14ac:dyDescent="0.35">
      <c r="A337" s="8" t="s">
        <v>388</v>
      </c>
      <c r="B337" s="8" t="s">
        <v>18</v>
      </c>
      <c r="C337" s="8" t="s">
        <v>13</v>
      </c>
      <c r="D337" s="8" t="s">
        <v>580</v>
      </c>
      <c r="E337" s="14">
        <v>45168</v>
      </c>
      <c r="F337" s="14">
        <v>45530</v>
      </c>
      <c r="G337" s="10">
        <v>9891638971</v>
      </c>
      <c r="H337" s="8" t="str">
        <f>TRIM('Raw Dataset'!H337)</f>
        <v/>
      </c>
      <c r="J337" t="str">
        <v>OK</v>
      </c>
      <c r="K337" t="str">
        <v>OK</v>
      </c>
    </row>
    <row r="338" spans="1:11" ht="14.25" customHeight="1" x14ac:dyDescent="0.35">
      <c r="A338" s="8" t="s">
        <v>389</v>
      </c>
      <c r="B338" s="8" t="s">
        <v>35</v>
      </c>
      <c r="C338" s="8" t="s">
        <v>39</v>
      </c>
      <c r="D338" s="8" t="s">
        <v>145</v>
      </c>
      <c r="E338" s="14">
        <v>45168</v>
      </c>
      <c r="F338" s="14">
        <v>45236</v>
      </c>
      <c r="G338" s="10">
        <v>246997207</v>
      </c>
      <c r="H338" s="8" t="str">
        <f>TRIM('Raw Dataset'!H338)</f>
        <v>PT D</v>
      </c>
      <c r="J338" t="str">
        <v>OK</v>
      </c>
      <c r="K338" t="str">
        <v>OK</v>
      </c>
    </row>
    <row r="339" spans="1:11" ht="14.25" customHeight="1" x14ac:dyDescent="0.35">
      <c r="A339" s="8" t="s">
        <v>390</v>
      </c>
      <c r="B339" s="8" t="s">
        <v>60</v>
      </c>
      <c r="C339" s="8" t="s">
        <v>36</v>
      </c>
      <c r="D339" s="8" t="s">
        <v>628</v>
      </c>
      <c r="E339" s="14">
        <v>45169</v>
      </c>
      <c r="F339" s="14">
        <v>45200</v>
      </c>
      <c r="G339" s="10">
        <v>4163473786</v>
      </c>
      <c r="H339" s="8" t="str">
        <f>TRIM('Raw Dataset'!H339)</f>
        <v>PT C</v>
      </c>
      <c r="J339" t="str">
        <v>OK</v>
      </c>
      <c r="K339" t="str">
        <v>OK</v>
      </c>
    </row>
    <row r="340" spans="1:11" ht="14.25" customHeight="1" x14ac:dyDescent="0.35">
      <c r="A340" s="8" t="s">
        <v>391</v>
      </c>
      <c r="B340" s="8" t="s">
        <v>18</v>
      </c>
      <c r="C340" s="8" t="s">
        <v>19</v>
      </c>
      <c r="D340" s="8" t="s">
        <v>633</v>
      </c>
      <c r="E340" s="14">
        <v>45169</v>
      </c>
      <c r="F340" s="14">
        <v>45267</v>
      </c>
      <c r="G340" s="10">
        <v>2007900262</v>
      </c>
      <c r="H340" s="8" t="str">
        <f>TRIM('Raw Dataset'!H340)</f>
        <v>PT. Yuniar Hakim Tbk</v>
      </c>
      <c r="J340" t="str">
        <v>OK</v>
      </c>
      <c r="K340" t="str">
        <v>OK</v>
      </c>
    </row>
    <row r="341" spans="1:11" ht="14.25" customHeight="1" x14ac:dyDescent="0.35">
      <c r="A341" s="8" t="s">
        <v>392</v>
      </c>
      <c r="B341" s="8" t="s">
        <v>18</v>
      </c>
      <c r="C341" s="8" t="s">
        <v>31</v>
      </c>
      <c r="D341" s="8" t="s">
        <v>636</v>
      </c>
      <c r="E341" s="14">
        <v>45170</v>
      </c>
      <c r="F341" s="14">
        <v>45454</v>
      </c>
      <c r="G341" s="10">
        <v>9921498760</v>
      </c>
      <c r="H341" s="8" t="str">
        <f>TRIM('Raw Dataset'!H341)</f>
        <v>PT D</v>
      </c>
      <c r="J341" t="str">
        <v>OK</v>
      </c>
      <c r="K341" t="str">
        <v>OK</v>
      </c>
    </row>
    <row r="342" spans="1:11" ht="14.25" customHeight="1" x14ac:dyDescent="0.35">
      <c r="A342" s="8" t="s">
        <v>393</v>
      </c>
      <c r="B342" s="8" t="s">
        <v>60</v>
      </c>
      <c r="C342" s="8" t="s">
        <v>36</v>
      </c>
      <c r="D342" s="8" t="s">
        <v>628</v>
      </c>
      <c r="E342" s="14">
        <v>45171</v>
      </c>
      <c r="F342" s="14">
        <v>45288</v>
      </c>
      <c r="G342" s="10">
        <v>2562733310</v>
      </c>
      <c r="H342" s="8" t="str">
        <f>TRIM('Raw Dataset'!H342)</f>
        <v>PT B</v>
      </c>
      <c r="J342" t="str">
        <v>OK</v>
      </c>
      <c r="K342" t="str">
        <v>OK</v>
      </c>
    </row>
    <row r="343" spans="1:11" ht="14.25" customHeight="1" x14ac:dyDescent="0.35">
      <c r="A343" s="8" t="s">
        <v>394</v>
      </c>
      <c r="B343" s="8" t="s">
        <v>12</v>
      </c>
      <c r="C343" s="8" t="s">
        <v>48</v>
      </c>
      <c r="D343" s="8" t="s">
        <v>602</v>
      </c>
      <c r="E343" s="14">
        <v>45172</v>
      </c>
      <c r="F343" s="14">
        <v>45435</v>
      </c>
      <c r="G343" s="10">
        <v>894294565</v>
      </c>
      <c r="H343" s="8" t="str">
        <f>TRIM('Raw Dataset'!H343)</f>
        <v>PT D</v>
      </c>
      <c r="J343" t="str">
        <v>OK</v>
      </c>
      <c r="K343" t="str">
        <v>OK</v>
      </c>
    </row>
    <row r="344" spans="1:11" ht="14.25" customHeight="1" x14ac:dyDescent="0.35">
      <c r="A344" s="8" t="s">
        <v>395</v>
      </c>
      <c r="B344" s="8" t="s">
        <v>30</v>
      </c>
      <c r="C344" s="8" t="s">
        <v>19</v>
      </c>
      <c r="D344" s="8" t="s">
        <v>624</v>
      </c>
      <c r="E344" s="14">
        <v>45173</v>
      </c>
      <c r="F344" s="14">
        <v>45340</v>
      </c>
      <c r="G344" s="10">
        <v>661378979</v>
      </c>
      <c r="H344" s="8" t="str">
        <f>TRIM('Raw Dataset'!H344)</f>
        <v>PT. Yuniar Hakim Tbk</v>
      </c>
      <c r="J344" t="str">
        <v>OK</v>
      </c>
      <c r="K344" t="str">
        <v>OK</v>
      </c>
    </row>
    <row r="345" spans="1:11" ht="14.25" customHeight="1" x14ac:dyDescent="0.35">
      <c r="A345" s="8" t="s">
        <v>396</v>
      </c>
      <c r="B345" s="8" t="s">
        <v>60</v>
      </c>
      <c r="C345" s="8" t="s">
        <v>36</v>
      </c>
      <c r="D345" s="8" t="s">
        <v>628</v>
      </c>
      <c r="E345" s="14">
        <v>45175</v>
      </c>
      <c r="F345" s="14">
        <v>45316</v>
      </c>
      <c r="G345" s="10">
        <v>2081376801</v>
      </c>
      <c r="H345" s="8" t="str">
        <f>TRIM('Raw Dataset'!H345)</f>
        <v/>
      </c>
      <c r="J345" t="str">
        <v>OK</v>
      </c>
      <c r="K345" t="str">
        <v>OK</v>
      </c>
    </row>
    <row r="346" spans="1:11" ht="14.25" customHeight="1" x14ac:dyDescent="0.35">
      <c r="A346" s="8" t="s">
        <v>397</v>
      </c>
      <c r="B346" s="8" t="s">
        <v>35</v>
      </c>
      <c r="C346" s="8" t="s">
        <v>31</v>
      </c>
      <c r="D346" s="8" t="s">
        <v>91</v>
      </c>
      <c r="E346" s="14">
        <v>45177</v>
      </c>
      <c r="F346" s="14">
        <v>45477</v>
      </c>
      <c r="G346" s="10">
        <v>609956841</v>
      </c>
      <c r="H346" s="8" t="str">
        <f>TRIM('Raw Dataset'!H346)</f>
        <v>PT B</v>
      </c>
      <c r="J346" t="str">
        <v>OK</v>
      </c>
      <c r="K346" t="str">
        <v>OK</v>
      </c>
    </row>
    <row r="347" spans="1:11" ht="14.25" customHeight="1" x14ac:dyDescent="0.35">
      <c r="A347" s="8" t="s">
        <v>398</v>
      </c>
      <c r="B347" s="8" t="s">
        <v>18</v>
      </c>
      <c r="C347" s="8" t="s">
        <v>48</v>
      </c>
      <c r="D347" s="8" t="s">
        <v>629</v>
      </c>
      <c r="E347" s="14">
        <v>45178</v>
      </c>
      <c r="F347" s="14">
        <v>45449</v>
      </c>
      <c r="G347" s="10">
        <v>4372183615</v>
      </c>
      <c r="H347" s="8" t="str">
        <f>TRIM('Raw Dataset'!H347)</f>
        <v>PT D</v>
      </c>
      <c r="J347" t="str">
        <v>OK</v>
      </c>
      <c r="K347" t="str">
        <v>OK</v>
      </c>
    </row>
    <row r="348" spans="1:11" ht="14.25" customHeight="1" x14ac:dyDescent="0.35">
      <c r="A348" s="8" t="s">
        <v>399</v>
      </c>
      <c r="B348" s="8" t="s">
        <v>18</v>
      </c>
      <c r="C348" s="8" t="s">
        <v>13</v>
      </c>
      <c r="D348" s="8" t="s">
        <v>580</v>
      </c>
      <c r="E348" s="14">
        <v>45178</v>
      </c>
      <c r="F348" s="14">
        <v>45540</v>
      </c>
      <c r="G348" s="10">
        <v>7734024053</v>
      </c>
      <c r="H348" s="8" t="str">
        <f>TRIM('Raw Dataset'!H348)</f>
        <v>PT. Yuniar Hakim Tbk</v>
      </c>
      <c r="J348" t="str">
        <v>OK</v>
      </c>
      <c r="K348" t="str">
        <v>OK</v>
      </c>
    </row>
    <row r="349" spans="1:11" ht="14.25" customHeight="1" x14ac:dyDescent="0.35">
      <c r="A349" s="8" t="s">
        <v>400</v>
      </c>
      <c r="B349" s="8" t="s">
        <v>60</v>
      </c>
      <c r="C349" s="8" t="s">
        <v>13</v>
      </c>
      <c r="D349" s="8" t="s">
        <v>582</v>
      </c>
      <c r="E349" s="14">
        <v>45178</v>
      </c>
      <c r="F349" s="14">
        <v>45457</v>
      </c>
      <c r="G349" s="10">
        <v>2237295280</v>
      </c>
      <c r="H349" s="8" t="str">
        <f>TRIM('Raw Dataset'!H349)</f>
        <v>PT. Lailasari Hariyah (Persero) Tbk</v>
      </c>
      <c r="J349" t="str">
        <v>OK</v>
      </c>
      <c r="K349" t="str">
        <v>OK</v>
      </c>
    </row>
    <row r="350" spans="1:11" ht="14.25" customHeight="1" x14ac:dyDescent="0.35">
      <c r="A350" s="8" t="s">
        <v>401</v>
      </c>
      <c r="B350" s="8" t="s">
        <v>30</v>
      </c>
      <c r="C350" s="8" t="s">
        <v>36</v>
      </c>
      <c r="D350" s="8" t="s">
        <v>639</v>
      </c>
      <c r="E350" s="14">
        <v>45178</v>
      </c>
      <c r="F350" s="14">
        <v>45279</v>
      </c>
      <c r="G350" s="10">
        <v>4595910673</v>
      </c>
      <c r="H350" s="8" t="str">
        <f>TRIM('Raw Dataset'!H350)</f>
        <v>PT C</v>
      </c>
      <c r="J350" t="str">
        <v>OK</v>
      </c>
      <c r="K350" t="str">
        <v>OK</v>
      </c>
    </row>
    <row r="351" spans="1:11" ht="14.25" customHeight="1" x14ac:dyDescent="0.35">
      <c r="A351" s="8" t="s">
        <v>402</v>
      </c>
      <c r="B351" s="8" t="s">
        <v>30</v>
      </c>
      <c r="C351" s="8" t="s">
        <v>19</v>
      </c>
      <c r="D351" s="8" t="s">
        <v>624</v>
      </c>
      <c r="E351" s="14">
        <v>45179</v>
      </c>
      <c r="F351" s="14">
        <v>45400</v>
      </c>
      <c r="G351" s="10">
        <v>5159672072</v>
      </c>
      <c r="H351" s="8" t="str">
        <f>TRIM('Raw Dataset'!H351)</f>
        <v>CV Sihombing</v>
      </c>
      <c r="J351" t="str">
        <v>OK</v>
      </c>
      <c r="K351" t="str">
        <v>OK</v>
      </c>
    </row>
    <row r="352" spans="1:11" ht="14.25" customHeight="1" x14ac:dyDescent="0.35">
      <c r="A352" s="8" t="s">
        <v>403</v>
      </c>
      <c r="B352" s="8" t="s">
        <v>18</v>
      </c>
      <c r="C352" s="8" t="s">
        <v>31</v>
      </c>
      <c r="D352" s="8" t="s">
        <v>636</v>
      </c>
      <c r="E352" s="14">
        <v>45180</v>
      </c>
      <c r="F352" s="14">
        <v>45270</v>
      </c>
      <c r="G352" s="10">
        <v>6721798052</v>
      </c>
      <c r="H352" s="8" t="str">
        <f>TRIM('Raw Dataset'!H352)</f>
        <v/>
      </c>
      <c r="J352" t="str">
        <v>OK</v>
      </c>
      <c r="K352" t="str">
        <v>OK</v>
      </c>
    </row>
    <row r="353" spans="1:11" ht="14.25" customHeight="1" x14ac:dyDescent="0.35">
      <c r="A353" s="8" t="s">
        <v>404</v>
      </c>
      <c r="B353" s="8" t="s">
        <v>30</v>
      </c>
      <c r="C353" s="8" t="s">
        <v>31</v>
      </c>
      <c r="D353" s="8" t="s">
        <v>595</v>
      </c>
      <c r="E353" s="14">
        <v>45181</v>
      </c>
      <c r="F353" s="14">
        <v>45455</v>
      </c>
      <c r="G353" s="10">
        <v>4769425566</v>
      </c>
      <c r="H353" s="8" t="str">
        <f>TRIM('Raw Dataset'!H353)</f>
        <v>CV Sihombing</v>
      </c>
      <c r="J353" t="str">
        <v>OK</v>
      </c>
      <c r="K353" t="str">
        <v>OK</v>
      </c>
    </row>
    <row r="354" spans="1:11" ht="14.25" customHeight="1" x14ac:dyDescent="0.35">
      <c r="A354" s="8" t="s">
        <v>405</v>
      </c>
      <c r="B354" s="8" t="s">
        <v>30</v>
      </c>
      <c r="C354" s="8" t="s">
        <v>24</v>
      </c>
      <c r="D354" s="8" t="s">
        <v>612</v>
      </c>
      <c r="E354" s="14">
        <v>45183</v>
      </c>
      <c r="F354" s="14">
        <v>45255</v>
      </c>
      <c r="G354" s="10">
        <v>1336819118</v>
      </c>
      <c r="H354" s="8" t="str">
        <f>TRIM('Raw Dataset'!H354)</f>
        <v>CV Sihombing</v>
      </c>
      <c r="J354" t="str">
        <v>OK</v>
      </c>
      <c r="K354" t="str">
        <v>OK</v>
      </c>
    </row>
    <row r="355" spans="1:11" ht="14.25" customHeight="1" x14ac:dyDescent="0.35">
      <c r="A355" s="8" t="s">
        <v>406</v>
      </c>
      <c r="B355" s="8" t="s">
        <v>35</v>
      </c>
      <c r="C355" s="8" t="s">
        <v>24</v>
      </c>
      <c r="D355" s="8" t="s">
        <v>133</v>
      </c>
      <c r="E355" s="14">
        <v>45184</v>
      </c>
      <c r="F355" s="14">
        <v>45534</v>
      </c>
      <c r="G355" s="10">
        <v>471750376</v>
      </c>
      <c r="H355" s="8" t="str">
        <f>TRIM('Raw Dataset'!H355)</f>
        <v>PT C</v>
      </c>
      <c r="J355" t="str">
        <v>OK</v>
      </c>
      <c r="K355" t="str">
        <v>OK</v>
      </c>
    </row>
    <row r="356" spans="1:11" ht="14.25" customHeight="1" x14ac:dyDescent="0.35">
      <c r="A356" s="8" t="s">
        <v>407</v>
      </c>
      <c r="B356" s="8" t="s">
        <v>12</v>
      </c>
      <c r="C356" s="8" t="s">
        <v>31</v>
      </c>
      <c r="D356" s="8" t="s">
        <v>593</v>
      </c>
      <c r="E356" s="14">
        <v>45184</v>
      </c>
      <c r="F356" s="14">
        <v>45239</v>
      </c>
      <c r="G356" s="10">
        <v>628901605</v>
      </c>
      <c r="H356" s="8" t="str">
        <f>TRIM('Raw Dataset'!H356)</f>
        <v>PT C</v>
      </c>
      <c r="J356" t="str">
        <v>OK</v>
      </c>
      <c r="K356" t="str">
        <v>OK</v>
      </c>
    </row>
    <row r="357" spans="1:11" ht="14.25" customHeight="1" x14ac:dyDescent="0.35">
      <c r="A357" s="8" t="s">
        <v>408</v>
      </c>
      <c r="B357" s="8" t="s">
        <v>30</v>
      </c>
      <c r="C357" s="8" t="s">
        <v>42</v>
      </c>
      <c r="D357" s="8" t="s">
        <v>627</v>
      </c>
      <c r="E357" s="14">
        <v>45185</v>
      </c>
      <c r="F357" s="14">
        <v>45273</v>
      </c>
      <c r="G357" s="10">
        <v>1251866235</v>
      </c>
      <c r="H357" s="8" t="str">
        <f>TRIM('Raw Dataset'!H357)</f>
        <v>PT A</v>
      </c>
      <c r="J357" t="str">
        <v>OK</v>
      </c>
      <c r="K357" t="str">
        <v>OK</v>
      </c>
    </row>
    <row r="358" spans="1:11" ht="14.25" customHeight="1" x14ac:dyDescent="0.35">
      <c r="A358" s="8" t="s">
        <v>409</v>
      </c>
      <c r="B358" s="8" t="s">
        <v>12</v>
      </c>
      <c r="C358" s="8" t="s">
        <v>39</v>
      </c>
      <c r="D358" s="8" t="s">
        <v>591</v>
      </c>
      <c r="E358" s="14">
        <v>45185</v>
      </c>
      <c r="F358" s="14">
        <v>45404</v>
      </c>
      <c r="G358" s="10">
        <v>321020182</v>
      </c>
      <c r="H358" s="8" t="str">
        <f>TRIM('Raw Dataset'!H358)</f>
        <v>PT D</v>
      </c>
      <c r="J358" t="str">
        <v>OK</v>
      </c>
      <c r="K358" t="str">
        <v>OK</v>
      </c>
    </row>
    <row r="359" spans="1:11" ht="14.25" customHeight="1" x14ac:dyDescent="0.35">
      <c r="A359" s="8" t="s">
        <v>410</v>
      </c>
      <c r="B359" s="8" t="s">
        <v>30</v>
      </c>
      <c r="C359" s="8" t="s">
        <v>13</v>
      </c>
      <c r="D359" s="8" t="s">
        <v>630</v>
      </c>
      <c r="E359" s="14">
        <v>45186</v>
      </c>
      <c r="F359" s="14">
        <v>45477</v>
      </c>
      <c r="G359" s="10">
        <v>4533278952</v>
      </c>
      <c r="H359" s="8" t="str">
        <f>TRIM('Raw Dataset'!H359)</f>
        <v>PT. Yuniar Hakim Tbk</v>
      </c>
      <c r="J359" t="str">
        <v>OK</v>
      </c>
      <c r="K359" t="str">
        <v>OK</v>
      </c>
    </row>
    <row r="360" spans="1:11" ht="14.25" customHeight="1" x14ac:dyDescent="0.35">
      <c r="A360" s="8" t="s">
        <v>411</v>
      </c>
      <c r="B360" s="8" t="s">
        <v>18</v>
      </c>
      <c r="C360" s="8" t="s">
        <v>39</v>
      </c>
      <c r="D360" s="8" t="s">
        <v>577</v>
      </c>
      <c r="E360" s="14">
        <v>45187</v>
      </c>
      <c r="F360" s="14">
        <v>45493</v>
      </c>
      <c r="G360" s="10">
        <v>4814287975</v>
      </c>
      <c r="H360" s="8" t="str">
        <f>TRIM('Raw Dataset'!H360)</f>
        <v>PT. Yuniar Hakim Tbk</v>
      </c>
      <c r="J360" t="str">
        <v>OK</v>
      </c>
      <c r="K360" t="str">
        <v>OK</v>
      </c>
    </row>
    <row r="361" spans="1:11" ht="14.25" customHeight="1" x14ac:dyDescent="0.35">
      <c r="A361" s="8" t="s">
        <v>412</v>
      </c>
      <c r="B361" s="8" t="s">
        <v>30</v>
      </c>
      <c r="C361" s="8" t="s">
        <v>24</v>
      </c>
      <c r="D361" s="8" t="s">
        <v>637</v>
      </c>
      <c r="E361" s="14">
        <v>45188</v>
      </c>
      <c r="F361" s="14">
        <v>45328</v>
      </c>
      <c r="G361" s="10">
        <v>5011848562</v>
      </c>
      <c r="H361" s="8" t="str">
        <f>TRIM('Raw Dataset'!H361)</f>
        <v>PT B</v>
      </c>
      <c r="J361" t="str">
        <v>OK</v>
      </c>
      <c r="K361" t="str">
        <v>OK</v>
      </c>
    </row>
    <row r="362" spans="1:11" ht="14.25" customHeight="1" x14ac:dyDescent="0.35">
      <c r="A362" s="8" t="s">
        <v>413</v>
      </c>
      <c r="B362" s="8" t="s">
        <v>60</v>
      </c>
      <c r="C362" s="8" t="s">
        <v>36</v>
      </c>
      <c r="D362" s="8" t="s">
        <v>597</v>
      </c>
      <c r="E362" s="14">
        <v>45188</v>
      </c>
      <c r="F362" s="14">
        <v>45364</v>
      </c>
      <c r="G362" s="10">
        <v>2187444281</v>
      </c>
      <c r="H362" s="8" t="str">
        <f>TRIM('Raw Dataset'!H362)</f>
        <v>CV Sihombing</v>
      </c>
      <c r="J362" t="str">
        <v>OK</v>
      </c>
      <c r="K362" t="str">
        <v>OK</v>
      </c>
    </row>
    <row r="363" spans="1:11" ht="14.25" customHeight="1" x14ac:dyDescent="0.35">
      <c r="A363" s="8" t="s">
        <v>414</v>
      </c>
      <c r="B363" s="8" t="s">
        <v>30</v>
      </c>
      <c r="C363" s="8" t="s">
        <v>39</v>
      </c>
      <c r="D363" s="8" t="s">
        <v>638</v>
      </c>
      <c r="E363" s="14">
        <v>45188</v>
      </c>
      <c r="F363" s="14">
        <v>45245</v>
      </c>
      <c r="G363" s="10">
        <v>3086567364</v>
      </c>
      <c r="H363" s="8" t="str">
        <f>TRIM('Raw Dataset'!H363)</f>
        <v>PT D</v>
      </c>
      <c r="J363" t="str">
        <v>OK</v>
      </c>
      <c r="K363" t="str">
        <v>OK</v>
      </c>
    </row>
    <row r="364" spans="1:11" ht="14.25" customHeight="1" x14ac:dyDescent="0.35">
      <c r="A364" s="8" t="s">
        <v>415</v>
      </c>
      <c r="B364" s="8" t="s">
        <v>30</v>
      </c>
      <c r="C364" s="8" t="s">
        <v>31</v>
      </c>
      <c r="D364" s="8" t="s">
        <v>585</v>
      </c>
      <c r="E364" s="14">
        <v>45191</v>
      </c>
      <c r="F364" s="14">
        <v>45375</v>
      </c>
      <c r="G364" s="10">
        <v>3308514312</v>
      </c>
      <c r="H364" s="8" t="str">
        <f>TRIM('Raw Dataset'!H364)</f>
        <v>PT A</v>
      </c>
      <c r="J364" t="str">
        <v>OK</v>
      </c>
      <c r="K364" t="str">
        <v>OK</v>
      </c>
    </row>
    <row r="365" spans="1:11" ht="14.25" customHeight="1" x14ac:dyDescent="0.35">
      <c r="A365" s="8" t="s">
        <v>416</v>
      </c>
      <c r="B365" s="8" t="s">
        <v>12</v>
      </c>
      <c r="C365" s="8" t="s">
        <v>42</v>
      </c>
      <c r="D365" s="8" t="s">
        <v>603</v>
      </c>
      <c r="E365" s="14">
        <v>45192</v>
      </c>
      <c r="F365" s="14">
        <v>45532</v>
      </c>
      <c r="G365" s="10">
        <v>283571018</v>
      </c>
      <c r="H365" s="8" t="str">
        <f>TRIM('Raw Dataset'!H365)</f>
        <v>PT. Yuniar Hakim Tbk</v>
      </c>
      <c r="J365" t="str">
        <v>OK</v>
      </c>
      <c r="K365" t="str">
        <v>OK</v>
      </c>
    </row>
    <row r="366" spans="1:11" ht="14.25" customHeight="1" x14ac:dyDescent="0.35">
      <c r="A366" s="8" t="s">
        <v>417</v>
      </c>
      <c r="B366" s="8" t="s">
        <v>18</v>
      </c>
      <c r="C366" s="8" t="s">
        <v>42</v>
      </c>
      <c r="D366" s="8" t="s">
        <v>621</v>
      </c>
      <c r="E366" s="14">
        <v>45192</v>
      </c>
      <c r="F366" s="14">
        <v>45361</v>
      </c>
      <c r="G366" s="10">
        <v>7071217769</v>
      </c>
      <c r="H366" s="8" t="str">
        <f>TRIM('Raw Dataset'!H366)</f>
        <v>PT C</v>
      </c>
      <c r="J366" t="str">
        <v>OK</v>
      </c>
      <c r="K366" t="str">
        <v>OK</v>
      </c>
    </row>
    <row r="367" spans="1:11" ht="14.25" customHeight="1" x14ac:dyDescent="0.35">
      <c r="A367" s="8" t="s">
        <v>418</v>
      </c>
      <c r="B367" s="8" t="s">
        <v>30</v>
      </c>
      <c r="C367" s="8" t="s">
        <v>42</v>
      </c>
      <c r="D367" s="8" t="s">
        <v>632</v>
      </c>
      <c r="E367" s="14">
        <v>45193</v>
      </c>
      <c r="F367" s="14">
        <v>45267</v>
      </c>
      <c r="G367" s="10">
        <v>5103380941</v>
      </c>
      <c r="H367" s="8" t="str">
        <f>TRIM('Raw Dataset'!H367)</f>
        <v>PT C</v>
      </c>
      <c r="J367" t="str">
        <v>OK</v>
      </c>
      <c r="K367" t="str">
        <v>OK</v>
      </c>
    </row>
    <row r="368" spans="1:11" ht="14.25" customHeight="1" x14ac:dyDescent="0.35">
      <c r="A368" s="8" t="s">
        <v>419</v>
      </c>
      <c r="B368" s="8" t="s">
        <v>18</v>
      </c>
      <c r="C368" s="8" t="s">
        <v>39</v>
      </c>
      <c r="D368" s="8" t="s">
        <v>577</v>
      </c>
      <c r="E368" s="14">
        <v>45194</v>
      </c>
      <c r="F368" s="14">
        <v>45394</v>
      </c>
      <c r="G368" s="10">
        <v>4342819473</v>
      </c>
      <c r="H368" s="8" t="str">
        <f>TRIM('Raw Dataset'!H368)</f>
        <v>PT D</v>
      </c>
      <c r="J368" t="str">
        <v>OK</v>
      </c>
      <c r="K368" t="str">
        <v>OK</v>
      </c>
    </row>
    <row r="369" spans="1:11" ht="14.25" customHeight="1" x14ac:dyDescent="0.35">
      <c r="A369" s="8" t="s">
        <v>420</v>
      </c>
      <c r="B369" s="8" t="s">
        <v>30</v>
      </c>
      <c r="C369" s="8" t="s">
        <v>39</v>
      </c>
      <c r="D369" s="8" t="s">
        <v>638</v>
      </c>
      <c r="E369" s="14">
        <v>45194</v>
      </c>
      <c r="F369" s="14">
        <v>45231</v>
      </c>
      <c r="G369" s="10">
        <v>6977377591</v>
      </c>
      <c r="H369" s="8" t="str">
        <f>TRIM('Raw Dataset'!H369)</f>
        <v>PT B</v>
      </c>
      <c r="J369" t="str">
        <v>OK</v>
      </c>
      <c r="K369" t="str">
        <v>OK</v>
      </c>
    </row>
    <row r="370" spans="1:11" ht="14.25" customHeight="1" x14ac:dyDescent="0.35">
      <c r="A370" s="8" t="s">
        <v>421</v>
      </c>
      <c r="B370" s="8" t="s">
        <v>30</v>
      </c>
      <c r="C370" s="8" t="s">
        <v>13</v>
      </c>
      <c r="D370" s="8" t="s">
        <v>630</v>
      </c>
      <c r="E370" s="14">
        <v>45195</v>
      </c>
      <c r="F370" s="14">
        <v>45460</v>
      </c>
      <c r="G370" s="10">
        <v>5457855102</v>
      </c>
      <c r="H370" s="8" t="str">
        <f>TRIM('Raw Dataset'!H370)</f>
        <v>PT A</v>
      </c>
      <c r="J370" t="str">
        <v>OK</v>
      </c>
      <c r="K370" t="str">
        <v>OK</v>
      </c>
    </row>
    <row r="371" spans="1:11" ht="14.25" customHeight="1" x14ac:dyDescent="0.35">
      <c r="A371" s="8" t="s">
        <v>422</v>
      </c>
      <c r="B371" s="8" t="s">
        <v>18</v>
      </c>
      <c r="C371" s="8" t="s">
        <v>31</v>
      </c>
      <c r="D371" s="8" t="s">
        <v>636</v>
      </c>
      <c r="E371" s="14">
        <v>45195</v>
      </c>
      <c r="F371" s="14">
        <v>45533</v>
      </c>
      <c r="G371" s="10">
        <v>2054160295</v>
      </c>
      <c r="H371" s="8" t="str">
        <f>TRIM('Raw Dataset'!H371)</f>
        <v>CV Sihombing</v>
      </c>
      <c r="J371" t="str">
        <v>OK</v>
      </c>
      <c r="K371" t="str">
        <v>OK</v>
      </c>
    </row>
    <row r="372" spans="1:11" ht="14.25" customHeight="1" x14ac:dyDescent="0.35">
      <c r="A372" s="8" t="s">
        <v>423</v>
      </c>
      <c r="B372" s="8" t="s">
        <v>18</v>
      </c>
      <c r="C372" s="8" t="s">
        <v>24</v>
      </c>
      <c r="D372" s="8" t="s">
        <v>618</v>
      </c>
      <c r="E372" s="14">
        <v>45196</v>
      </c>
      <c r="F372" s="14">
        <v>45429</v>
      </c>
      <c r="G372" s="10">
        <v>2343750073</v>
      </c>
      <c r="H372" s="8" t="str">
        <f>TRIM('Raw Dataset'!H372)</f>
        <v>CV Sihombing</v>
      </c>
      <c r="J372" t="str">
        <v>OK</v>
      </c>
      <c r="K372" t="str">
        <v>OK</v>
      </c>
    </row>
    <row r="373" spans="1:11" ht="14.25" customHeight="1" x14ac:dyDescent="0.35">
      <c r="A373" s="8" t="s">
        <v>424</v>
      </c>
      <c r="B373" s="8" t="s">
        <v>18</v>
      </c>
      <c r="C373" s="8" t="s">
        <v>31</v>
      </c>
      <c r="D373" s="8" t="s">
        <v>636</v>
      </c>
      <c r="E373" s="14">
        <v>45197</v>
      </c>
      <c r="F373" s="14">
        <v>45426</v>
      </c>
      <c r="G373" s="10">
        <v>1025269810</v>
      </c>
      <c r="H373" s="8" t="str">
        <f>TRIM('Raw Dataset'!H373)</f>
        <v>PT C</v>
      </c>
      <c r="J373" t="str">
        <v>OK</v>
      </c>
      <c r="K373" t="str">
        <v>OK</v>
      </c>
    </row>
    <row r="374" spans="1:11" ht="14.25" customHeight="1" x14ac:dyDescent="0.35">
      <c r="A374" s="8" t="s">
        <v>425</v>
      </c>
      <c r="B374" s="8" t="s">
        <v>35</v>
      </c>
      <c r="C374" s="8" t="s">
        <v>13</v>
      </c>
      <c r="D374" s="8" t="s">
        <v>78</v>
      </c>
      <c r="E374" s="14">
        <v>45199</v>
      </c>
      <c r="F374" s="14">
        <v>45276</v>
      </c>
      <c r="G374" s="10">
        <v>350434222</v>
      </c>
      <c r="H374" s="8" t="str">
        <f>TRIM('Raw Dataset'!H374)</f>
        <v>PT B</v>
      </c>
      <c r="J374" t="str">
        <v>OK</v>
      </c>
      <c r="K374" t="str">
        <v>OK</v>
      </c>
    </row>
    <row r="375" spans="1:11" ht="14.25" customHeight="1" x14ac:dyDescent="0.35">
      <c r="A375" s="8" t="s">
        <v>426</v>
      </c>
      <c r="B375" s="8" t="s">
        <v>12</v>
      </c>
      <c r="C375" s="8" t="s">
        <v>48</v>
      </c>
      <c r="D375" s="8" t="s">
        <v>602</v>
      </c>
      <c r="E375" s="14">
        <v>45201</v>
      </c>
      <c r="F375" s="14">
        <v>45418</v>
      </c>
      <c r="G375" s="10">
        <v>497218843</v>
      </c>
      <c r="H375" s="8" t="str">
        <f>TRIM('Raw Dataset'!H375)</f>
        <v>PT B</v>
      </c>
      <c r="J375" t="str">
        <v>OK</v>
      </c>
      <c r="K375" t="str">
        <v>OK</v>
      </c>
    </row>
    <row r="376" spans="1:11" ht="14.25" customHeight="1" x14ac:dyDescent="0.35">
      <c r="A376" s="8" t="s">
        <v>427</v>
      </c>
      <c r="B376" s="8" t="s">
        <v>12</v>
      </c>
      <c r="C376" s="8" t="s">
        <v>42</v>
      </c>
      <c r="D376" s="8" t="s">
        <v>603</v>
      </c>
      <c r="E376" s="14">
        <v>45201</v>
      </c>
      <c r="F376" s="14">
        <v>45499</v>
      </c>
      <c r="G376" s="10">
        <v>872130533</v>
      </c>
      <c r="H376" s="8" t="str">
        <f>TRIM('Raw Dataset'!H376)</f>
        <v>PT. Lailasari Hariyah (Persero) Tbk</v>
      </c>
      <c r="J376" t="str">
        <v>OK</v>
      </c>
      <c r="K376" t="str">
        <v>OK</v>
      </c>
    </row>
    <row r="377" spans="1:11" ht="14.25" customHeight="1" x14ac:dyDescent="0.35">
      <c r="A377" s="8" t="s">
        <v>428</v>
      </c>
      <c r="B377" s="8" t="s">
        <v>60</v>
      </c>
      <c r="C377" s="8" t="s">
        <v>24</v>
      </c>
      <c r="D377" s="8" t="s">
        <v>575</v>
      </c>
      <c r="E377" s="14">
        <v>45202</v>
      </c>
      <c r="F377" s="14">
        <v>45487</v>
      </c>
      <c r="G377" s="10">
        <v>4907012780</v>
      </c>
      <c r="H377" s="8" t="str">
        <f>TRIM('Raw Dataset'!H377)</f>
        <v>CV Sihombing</v>
      </c>
      <c r="J377" t="str">
        <v>OK</v>
      </c>
      <c r="K377" t="str">
        <v>OK</v>
      </c>
    </row>
    <row r="378" spans="1:11" ht="14.25" customHeight="1" x14ac:dyDescent="0.35">
      <c r="A378" s="8" t="s">
        <v>429</v>
      </c>
      <c r="B378" s="8" t="s">
        <v>60</v>
      </c>
      <c r="C378" s="8" t="s">
        <v>42</v>
      </c>
      <c r="D378" s="8" t="s">
        <v>587</v>
      </c>
      <c r="E378" s="14">
        <v>45202</v>
      </c>
      <c r="F378" s="14">
        <v>45456</v>
      </c>
      <c r="G378" s="10">
        <v>3253936748</v>
      </c>
      <c r="H378" s="8" t="str">
        <f>TRIM('Raw Dataset'!H378)</f>
        <v>PT D</v>
      </c>
      <c r="J378" t="str">
        <v>OK</v>
      </c>
      <c r="K378" t="str">
        <v>OK</v>
      </c>
    </row>
    <row r="379" spans="1:11" ht="14.25" customHeight="1" x14ac:dyDescent="0.35">
      <c r="A379" s="8" t="s">
        <v>430</v>
      </c>
      <c r="B379" s="8" t="s">
        <v>18</v>
      </c>
      <c r="C379" s="8" t="s">
        <v>13</v>
      </c>
      <c r="D379" s="8" t="s">
        <v>580</v>
      </c>
      <c r="E379" s="14">
        <v>45202</v>
      </c>
      <c r="F379" s="14">
        <v>45474</v>
      </c>
      <c r="G379" s="10">
        <v>1125747425</v>
      </c>
      <c r="H379" s="8" t="str">
        <f>TRIM('Raw Dataset'!H379)</f>
        <v/>
      </c>
      <c r="J379" t="str">
        <v>OK</v>
      </c>
      <c r="K379" t="str">
        <v>OK</v>
      </c>
    </row>
    <row r="380" spans="1:11" ht="14.25" customHeight="1" x14ac:dyDescent="0.35">
      <c r="A380" s="8" t="s">
        <v>431</v>
      </c>
      <c r="B380" s="8" t="s">
        <v>30</v>
      </c>
      <c r="C380" s="8" t="s">
        <v>42</v>
      </c>
      <c r="D380" s="8" t="s">
        <v>632</v>
      </c>
      <c r="E380" s="14">
        <v>45202</v>
      </c>
      <c r="F380" s="14">
        <v>45551</v>
      </c>
      <c r="G380" s="10">
        <v>1635038686</v>
      </c>
      <c r="H380" s="8" t="str">
        <f>TRIM('Raw Dataset'!H380)</f>
        <v>PT B</v>
      </c>
      <c r="J380" t="str">
        <v>OK</v>
      </c>
      <c r="K380" t="str">
        <v>OK</v>
      </c>
    </row>
    <row r="381" spans="1:11" ht="14.25" customHeight="1" x14ac:dyDescent="0.35">
      <c r="A381" s="8" t="s">
        <v>432</v>
      </c>
      <c r="B381" s="8" t="s">
        <v>18</v>
      </c>
      <c r="C381" s="8" t="s">
        <v>42</v>
      </c>
      <c r="D381" s="8" t="s">
        <v>621</v>
      </c>
      <c r="E381" s="14">
        <v>45202</v>
      </c>
      <c r="F381" s="14">
        <v>45532</v>
      </c>
      <c r="G381" s="10">
        <v>9829087531</v>
      </c>
      <c r="H381" s="8" t="str">
        <f>TRIM('Raw Dataset'!H381)</f>
        <v>PT A</v>
      </c>
      <c r="J381" t="str">
        <v>OK</v>
      </c>
      <c r="K381" t="str">
        <v>OK</v>
      </c>
    </row>
    <row r="382" spans="1:11" ht="14.25" customHeight="1" x14ac:dyDescent="0.35">
      <c r="A382" s="8" t="s">
        <v>433</v>
      </c>
      <c r="B382" s="8" t="s">
        <v>18</v>
      </c>
      <c r="C382" s="8" t="s">
        <v>48</v>
      </c>
      <c r="D382" s="8" t="s">
        <v>629</v>
      </c>
      <c r="E382" s="14">
        <v>45202</v>
      </c>
      <c r="F382" s="14">
        <v>45387</v>
      </c>
      <c r="G382" s="10">
        <v>1057037862</v>
      </c>
      <c r="H382" s="8" t="str">
        <f>TRIM('Raw Dataset'!H382)</f>
        <v>PT. Lailasari Hariyah (Persero) Tbk</v>
      </c>
      <c r="J382" t="str">
        <v>OK</v>
      </c>
      <c r="K382" t="str">
        <v>OK</v>
      </c>
    </row>
    <row r="383" spans="1:11" ht="14.25" customHeight="1" x14ac:dyDescent="0.35">
      <c r="A383" s="8" t="s">
        <v>434</v>
      </c>
      <c r="B383" s="8" t="s">
        <v>30</v>
      </c>
      <c r="C383" s="8" t="s">
        <v>36</v>
      </c>
      <c r="D383" s="8" t="s">
        <v>639</v>
      </c>
      <c r="E383" s="14">
        <v>45203</v>
      </c>
      <c r="F383" s="14">
        <v>45407</v>
      </c>
      <c r="G383" s="10">
        <v>5469982538</v>
      </c>
      <c r="H383" s="8" t="str">
        <f>TRIM('Raw Dataset'!H383)</f>
        <v>CV Sihombing</v>
      </c>
      <c r="J383" t="str">
        <v>OK</v>
      </c>
      <c r="K383" t="str">
        <v>OK</v>
      </c>
    </row>
    <row r="384" spans="1:11" ht="14.25" customHeight="1" x14ac:dyDescent="0.35">
      <c r="A384" s="8" t="s">
        <v>435</v>
      </c>
      <c r="B384" s="8" t="s">
        <v>30</v>
      </c>
      <c r="C384" s="8" t="s">
        <v>13</v>
      </c>
      <c r="D384" s="8" t="s">
        <v>630</v>
      </c>
      <c r="E384" s="14">
        <v>45204</v>
      </c>
      <c r="F384" s="14">
        <v>45308</v>
      </c>
      <c r="G384" s="10">
        <v>5055515290</v>
      </c>
      <c r="H384" s="8" t="str">
        <f>TRIM('Raw Dataset'!H384)</f>
        <v>PT B</v>
      </c>
      <c r="J384" t="str">
        <v>OK</v>
      </c>
      <c r="K384" t="str">
        <v>OK</v>
      </c>
    </row>
    <row r="385" spans="1:11" ht="14.25" customHeight="1" x14ac:dyDescent="0.35">
      <c r="A385" s="8" t="s">
        <v>436</v>
      </c>
      <c r="B385" s="8" t="s">
        <v>18</v>
      </c>
      <c r="C385" s="8" t="s">
        <v>48</v>
      </c>
      <c r="D385" s="8" t="s">
        <v>629</v>
      </c>
      <c r="E385" s="14">
        <v>45205</v>
      </c>
      <c r="F385" s="14">
        <v>45463</v>
      </c>
      <c r="G385" s="10">
        <v>2556364237</v>
      </c>
      <c r="H385" s="8" t="str">
        <f>TRIM('Raw Dataset'!H385)</f>
        <v/>
      </c>
      <c r="J385" t="str">
        <v>OK</v>
      </c>
      <c r="K385" t="str">
        <v>OK</v>
      </c>
    </row>
    <row r="386" spans="1:11" ht="14.25" customHeight="1" x14ac:dyDescent="0.35">
      <c r="A386" s="8" t="s">
        <v>437</v>
      </c>
      <c r="B386" s="8" t="s">
        <v>30</v>
      </c>
      <c r="C386" s="8" t="s">
        <v>36</v>
      </c>
      <c r="D386" s="8" t="s">
        <v>614</v>
      </c>
      <c r="E386" s="14">
        <v>45205</v>
      </c>
      <c r="F386" s="14">
        <v>45384</v>
      </c>
      <c r="G386" s="10">
        <v>6904869726</v>
      </c>
      <c r="H386" s="8" t="str">
        <f>TRIM('Raw Dataset'!H386)</f>
        <v>PT. Lailasari Hariyah (Persero) Tbk</v>
      </c>
      <c r="J386" t="str">
        <v>OK</v>
      </c>
      <c r="K386" t="str">
        <v>OK</v>
      </c>
    </row>
    <row r="387" spans="1:11" ht="14.25" customHeight="1" x14ac:dyDescent="0.35">
      <c r="A387" s="8" t="s">
        <v>438</v>
      </c>
      <c r="B387" s="8" t="s">
        <v>30</v>
      </c>
      <c r="C387" s="8" t="s">
        <v>39</v>
      </c>
      <c r="D387" s="8" t="s">
        <v>638</v>
      </c>
      <c r="E387" s="14">
        <v>45205</v>
      </c>
      <c r="F387" s="14">
        <v>45503</v>
      </c>
      <c r="G387" s="10">
        <v>3882607118</v>
      </c>
      <c r="H387" s="8" t="str">
        <f>TRIM('Raw Dataset'!H387)</f>
        <v/>
      </c>
      <c r="J387" t="str">
        <v>OK</v>
      </c>
      <c r="K387" t="str">
        <v>OK</v>
      </c>
    </row>
    <row r="388" spans="1:11" ht="14.25" customHeight="1" x14ac:dyDescent="0.35">
      <c r="A388" s="8" t="s">
        <v>439</v>
      </c>
      <c r="B388" s="8" t="s">
        <v>12</v>
      </c>
      <c r="C388" s="8" t="s">
        <v>36</v>
      </c>
      <c r="D388" s="8" t="s">
        <v>578</v>
      </c>
      <c r="E388" s="14">
        <v>45205</v>
      </c>
      <c r="F388" s="14">
        <v>45535</v>
      </c>
      <c r="G388" s="10">
        <v>888436167</v>
      </c>
      <c r="H388" s="8" t="str">
        <f>TRIM('Raw Dataset'!H388)</f>
        <v>PT. Lailasari Hariyah (Persero) Tbk</v>
      </c>
      <c r="J388" t="str">
        <v>OK</v>
      </c>
      <c r="K388" t="str">
        <v>OK</v>
      </c>
    </row>
    <row r="389" spans="1:11" ht="14.25" customHeight="1" x14ac:dyDescent="0.35">
      <c r="A389" s="8" t="s">
        <v>440</v>
      </c>
      <c r="B389" s="8" t="s">
        <v>30</v>
      </c>
      <c r="C389" s="8" t="s">
        <v>39</v>
      </c>
      <c r="D389" s="8" t="s">
        <v>590</v>
      </c>
      <c r="E389" s="14">
        <v>45205</v>
      </c>
      <c r="F389" s="14">
        <v>45283</v>
      </c>
      <c r="G389" s="10">
        <v>1354806627</v>
      </c>
      <c r="H389" s="8" t="str">
        <f>TRIM('Raw Dataset'!H389)</f>
        <v>CV Sihombing</v>
      </c>
      <c r="J389" t="str">
        <v>OK</v>
      </c>
      <c r="K389" t="str">
        <v>OK</v>
      </c>
    </row>
    <row r="390" spans="1:11" ht="14.25" customHeight="1" x14ac:dyDescent="0.35">
      <c r="A390" s="8" t="s">
        <v>441</v>
      </c>
      <c r="B390" s="8" t="s">
        <v>12</v>
      </c>
      <c r="C390" s="8" t="s">
        <v>31</v>
      </c>
      <c r="D390" s="8" t="s">
        <v>593</v>
      </c>
      <c r="E390" s="14">
        <v>45206</v>
      </c>
      <c r="F390" s="14">
        <v>45293</v>
      </c>
      <c r="G390" s="10">
        <v>984605716</v>
      </c>
      <c r="H390" s="8" t="str">
        <f>TRIM('Raw Dataset'!H390)</f>
        <v>PT D</v>
      </c>
      <c r="J390" t="str">
        <v>OK</v>
      </c>
      <c r="K390" t="str">
        <v>OK</v>
      </c>
    </row>
    <row r="391" spans="1:11" ht="14.25" customHeight="1" x14ac:dyDescent="0.35">
      <c r="A391" s="8" t="s">
        <v>442</v>
      </c>
      <c r="B391" s="8" t="s">
        <v>12</v>
      </c>
      <c r="C391" s="8" t="s">
        <v>36</v>
      </c>
      <c r="D391" s="8" t="s">
        <v>578</v>
      </c>
      <c r="E391" s="14">
        <v>45207</v>
      </c>
      <c r="F391" s="14">
        <v>45507</v>
      </c>
      <c r="G391" s="10">
        <v>371601786</v>
      </c>
      <c r="H391" s="8" t="str">
        <f>TRIM('Raw Dataset'!H391)</f>
        <v>PT. Lailasari Hariyah (Persero) Tbk</v>
      </c>
      <c r="J391" t="str">
        <v>OK</v>
      </c>
      <c r="K391" t="str">
        <v>OK</v>
      </c>
    </row>
    <row r="392" spans="1:11" ht="14.25" customHeight="1" x14ac:dyDescent="0.35">
      <c r="A392" s="8" t="s">
        <v>443</v>
      </c>
      <c r="B392" s="8" t="s">
        <v>12</v>
      </c>
      <c r="C392" s="8" t="s">
        <v>24</v>
      </c>
      <c r="D392" s="8" t="s">
        <v>610</v>
      </c>
      <c r="E392" s="14">
        <v>45207</v>
      </c>
      <c r="F392" s="14">
        <v>45396</v>
      </c>
      <c r="G392" s="10">
        <v>516197294</v>
      </c>
      <c r="H392" s="8" t="str">
        <f>TRIM('Raw Dataset'!H392)</f>
        <v>PT A</v>
      </c>
      <c r="J392" t="str">
        <v>OK</v>
      </c>
      <c r="K392" t="str">
        <v>OK</v>
      </c>
    </row>
    <row r="393" spans="1:11" ht="14.25" customHeight="1" x14ac:dyDescent="0.35">
      <c r="A393" s="8" t="s">
        <v>444</v>
      </c>
      <c r="B393" s="8" t="s">
        <v>12</v>
      </c>
      <c r="C393" s="8" t="s">
        <v>48</v>
      </c>
      <c r="D393" s="8" t="s">
        <v>602</v>
      </c>
      <c r="E393" s="14">
        <v>45207</v>
      </c>
      <c r="F393" s="14">
        <v>45572</v>
      </c>
      <c r="G393" s="10">
        <v>540697362</v>
      </c>
      <c r="H393" s="8" t="str">
        <f>TRIM('Raw Dataset'!H393)</f>
        <v>PT B</v>
      </c>
      <c r="J393" t="str">
        <v>OK</v>
      </c>
      <c r="K393" t="str">
        <v>OK</v>
      </c>
    </row>
    <row r="394" spans="1:11" ht="14.25" customHeight="1" x14ac:dyDescent="0.35">
      <c r="A394" s="8" t="s">
        <v>445</v>
      </c>
      <c r="B394" s="8" t="s">
        <v>18</v>
      </c>
      <c r="C394" s="8" t="s">
        <v>24</v>
      </c>
      <c r="D394" s="8" t="s">
        <v>618</v>
      </c>
      <c r="E394" s="14">
        <v>45208</v>
      </c>
      <c r="F394" s="14">
        <v>45388</v>
      </c>
      <c r="G394" s="10">
        <v>6374609108</v>
      </c>
      <c r="H394" s="8" t="str">
        <f>TRIM('Raw Dataset'!H394)</f>
        <v>PT A</v>
      </c>
      <c r="J394" t="str">
        <v>OK</v>
      </c>
      <c r="K394" t="str">
        <v>OK</v>
      </c>
    </row>
    <row r="395" spans="1:11" ht="14.25" customHeight="1" x14ac:dyDescent="0.35">
      <c r="A395" s="8" t="s">
        <v>446</v>
      </c>
      <c r="B395" s="8" t="s">
        <v>30</v>
      </c>
      <c r="C395" s="8" t="s">
        <v>48</v>
      </c>
      <c r="D395" s="8" t="s">
        <v>620</v>
      </c>
      <c r="E395" s="14">
        <v>45208</v>
      </c>
      <c r="F395" s="14">
        <v>45271</v>
      </c>
      <c r="G395" s="10">
        <v>2805083829</v>
      </c>
      <c r="H395" s="8" t="str">
        <f>TRIM('Raw Dataset'!H395)</f>
        <v>PT. Yuniar Hakim Tbk</v>
      </c>
      <c r="J395" t="str">
        <v>OK</v>
      </c>
      <c r="K395" t="str">
        <v>OK</v>
      </c>
    </row>
    <row r="396" spans="1:11" ht="14.25" customHeight="1" x14ac:dyDescent="0.35">
      <c r="A396" s="8" t="s">
        <v>447</v>
      </c>
      <c r="B396" s="8" t="s">
        <v>18</v>
      </c>
      <c r="C396" s="8" t="s">
        <v>13</v>
      </c>
      <c r="D396" s="8" t="s">
        <v>580</v>
      </c>
      <c r="E396" s="14">
        <v>45210</v>
      </c>
      <c r="F396" s="14">
        <v>45557</v>
      </c>
      <c r="G396" s="10">
        <v>7779607484</v>
      </c>
      <c r="H396" s="8" t="str">
        <f>TRIM('Raw Dataset'!H396)</f>
        <v>PT. Lailasari Hariyah (Persero) Tbk</v>
      </c>
      <c r="J396" t="str">
        <v>OK</v>
      </c>
      <c r="K396" t="str">
        <v>OK</v>
      </c>
    </row>
    <row r="397" spans="1:11" ht="14.25" customHeight="1" x14ac:dyDescent="0.35">
      <c r="A397" s="8" t="s">
        <v>448</v>
      </c>
      <c r="B397" s="8" t="s">
        <v>30</v>
      </c>
      <c r="C397" s="8" t="s">
        <v>13</v>
      </c>
      <c r="D397" s="8" t="s">
        <v>630</v>
      </c>
      <c r="E397" s="14">
        <v>45211</v>
      </c>
      <c r="F397" s="14">
        <v>45297</v>
      </c>
      <c r="G397" s="10">
        <v>1204572808</v>
      </c>
      <c r="H397" s="8" t="str">
        <f>TRIM('Raw Dataset'!H397)</f>
        <v/>
      </c>
      <c r="J397" t="str">
        <v>OK</v>
      </c>
      <c r="K397" t="str">
        <v>OK</v>
      </c>
    </row>
    <row r="398" spans="1:11" ht="14.25" customHeight="1" x14ac:dyDescent="0.35">
      <c r="A398" s="8" t="s">
        <v>449</v>
      </c>
      <c r="B398" s="8" t="s">
        <v>12</v>
      </c>
      <c r="C398" s="8" t="s">
        <v>24</v>
      </c>
      <c r="D398" s="8" t="s">
        <v>610</v>
      </c>
      <c r="E398" s="14">
        <v>45214</v>
      </c>
      <c r="F398" s="14">
        <v>45488</v>
      </c>
      <c r="G398" s="10">
        <v>909945479</v>
      </c>
      <c r="H398" s="8" t="str">
        <f>TRIM('Raw Dataset'!H398)</f>
        <v>CV Sihombing</v>
      </c>
      <c r="J398" t="str">
        <v>OK</v>
      </c>
      <c r="K398" t="str">
        <v>OK</v>
      </c>
    </row>
    <row r="399" spans="1:11" ht="14.25" customHeight="1" x14ac:dyDescent="0.35">
      <c r="A399" s="8" t="s">
        <v>450</v>
      </c>
      <c r="B399" s="8" t="s">
        <v>18</v>
      </c>
      <c r="C399" s="8" t="s">
        <v>39</v>
      </c>
      <c r="D399" s="8" t="s">
        <v>577</v>
      </c>
      <c r="E399" s="14">
        <v>45214</v>
      </c>
      <c r="F399" s="14">
        <v>45410</v>
      </c>
      <c r="G399" s="10">
        <v>5167811974</v>
      </c>
      <c r="H399" s="8" t="str">
        <f>TRIM('Raw Dataset'!H399)</f>
        <v/>
      </c>
      <c r="J399" t="str">
        <v>OK</v>
      </c>
      <c r="K399" t="str">
        <v>OK</v>
      </c>
    </row>
    <row r="400" spans="1:11" ht="14.25" customHeight="1" x14ac:dyDescent="0.35">
      <c r="A400" s="8" t="s">
        <v>451</v>
      </c>
      <c r="B400" s="8" t="s">
        <v>35</v>
      </c>
      <c r="C400" s="8" t="s">
        <v>39</v>
      </c>
      <c r="D400" s="8" t="s">
        <v>145</v>
      </c>
      <c r="E400" s="14">
        <v>45217</v>
      </c>
      <c r="F400" s="14">
        <v>45469</v>
      </c>
      <c r="G400" s="10">
        <v>320968841</v>
      </c>
      <c r="H400" s="8" t="str">
        <f>TRIM('Raw Dataset'!H400)</f>
        <v>PT A</v>
      </c>
      <c r="J400" t="str">
        <v>OK</v>
      </c>
      <c r="K400" t="str">
        <v>OK</v>
      </c>
    </row>
    <row r="401" spans="1:11" ht="14.25" customHeight="1" x14ac:dyDescent="0.35">
      <c r="A401" s="8" t="s">
        <v>452</v>
      </c>
      <c r="B401" s="8" t="s">
        <v>60</v>
      </c>
      <c r="C401" s="8" t="s">
        <v>39</v>
      </c>
      <c r="D401" s="8" t="s">
        <v>626</v>
      </c>
      <c r="E401" s="14">
        <v>45217</v>
      </c>
      <c r="F401" s="14">
        <v>45524</v>
      </c>
      <c r="G401" s="10">
        <v>2879285863</v>
      </c>
      <c r="H401" s="8" t="str">
        <f>TRIM('Raw Dataset'!H401)</f>
        <v>PT D</v>
      </c>
      <c r="J401" t="str">
        <v>OK</v>
      </c>
      <c r="K401" t="str">
        <v>OK</v>
      </c>
    </row>
    <row r="402" spans="1:11" ht="14.25" customHeight="1" x14ac:dyDescent="0.35">
      <c r="A402" s="8" t="s">
        <v>453</v>
      </c>
      <c r="B402" s="8" t="s">
        <v>60</v>
      </c>
      <c r="C402" s="8" t="s">
        <v>13</v>
      </c>
      <c r="D402" s="8" t="s">
        <v>582</v>
      </c>
      <c r="E402" s="14">
        <v>45219</v>
      </c>
      <c r="F402" s="14">
        <v>45583</v>
      </c>
      <c r="G402" s="10">
        <v>4595916165</v>
      </c>
      <c r="H402" s="8" t="str">
        <f>TRIM('Raw Dataset'!H402)</f>
        <v>PT C</v>
      </c>
      <c r="J402" t="str">
        <v>OK</v>
      </c>
      <c r="K402" t="str">
        <v>OK</v>
      </c>
    </row>
    <row r="403" spans="1:11" ht="14.25" customHeight="1" x14ac:dyDescent="0.35">
      <c r="A403" s="8" t="s">
        <v>454</v>
      </c>
      <c r="B403" s="8" t="s">
        <v>30</v>
      </c>
      <c r="C403" s="8" t="s">
        <v>48</v>
      </c>
      <c r="D403" s="8" t="s">
        <v>620</v>
      </c>
      <c r="E403" s="14">
        <v>45220</v>
      </c>
      <c r="F403" s="14">
        <v>45327</v>
      </c>
      <c r="G403" s="10">
        <v>1299848740</v>
      </c>
      <c r="H403" s="8" t="str">
        <f>TRIM('Raw Dataset'!H403)</f>
        <v>PT B</v>
      </c>
      <c r="J403" t="str">
        <v>OK</v>
      </c>
      <c r="K403" t="str">
        <v>OK</v>
      </c>
    </row>
    <row r="404" spans="1:11" ht="14.25" customHeight="1" x14ac:dyDescent="0.35">
      <c r="A404" s="8" t="s">
        <v>455</v>
      </c>
      <c r="B404" s="8" t="s">
        <v>18</v>
      </c>
      <c r="C404" s="8" t="s">
        <v>48</v>
      </c>
      <c r="D404" s="8" t="s">
        <v>629</v>
      </c>
      <c r="E404" s="14">
        <v>45221</v>
      </c>
      <c r="F404" s="14">
        <v>45307</v>
      </c>
      <c r="G404" s="10">
        <v>3206827076</v>
      </c>
      <c r="H404" s="8" t="str">
        <f>TRIM('Raw Dataset'!H404)</f>
        <v>PT D</v>
      </c>
      <c r="J404" t="str">
        <v>OK</v>
      </c>
      <c r="K404" t="str">
        <v>OK</v>
      </c>
    </row>
    <row r="405" spans="1:11" ht="14.25" customHeight="1" x14ac:dyDescent="0.35">
      <c r="A405" s="8" t="s">
        <v>456</v>
      </c>
      <c r="B405" s="8" t="s">
        <v>35</v>
      </c>
      <c r="C405" s="8" t="s">
        <v>31</v>
      </c>
      <c r="D405" s="8" t="s">
        <v>91</v>
      </c>
      <c r="E405" s="14">
        <v>45222</v>
      </c>
      <c r="F405" s="14">
        <v>45341</v>
      </c>
      <c r="G405" s="10">
        <v>559804949</v>
      </c>
      <c r="H405" s="8" t="str">
        <f>TRIM('Raw Dataset'!H405)</f>
        <v>PT. Yuniar Hakim Tbk</v>
      </c>
      <c r="J405" t="str">
        <v>OK</v>
      </c>
      <c r="K405" t="str">
        <v>OK</v>
      </c>
    </row>
    <row r="406" spans="1:11" ht="14.25" customHeight="1" x14ac:dyDescent="0.35">
      <c r="A406" s="8" t="s">
        <v>457</v>
      </c>
      <c r="B406" s="8" t="s">
        <v>35</v>
      </c>
      <c r="C406" s="8" t="s">
        <v>19</v>
      </c>
      <c r="D406" s="8" t="s">
        <v>97</v>
      </c>
      <c r="E406" s="14">
        <v>45223</v>
      </c>
      <c r="F406" s="14">
        <v>45586</v>
      </c>
      <c r="G406" s="10">
        <v>582067969</v>
      </c>
      <c r="H406" s="8" t="str">
        <f>TRIM('Raw Dataset'!H406)</f>
        <v/>
      </c>
      <c r="J406" t="str">
        <v>OK</v>
      </c>
      <c r="K406" t="str">
        <v>OK</v>
      </c>
    </row>
    <row r="407" spans="1:11" ht="14.25" customHeight="1" x14ac:dyDescent="0.35">
      <c r="A407" s="8" t="s">
        <v>458</v>
      </c>
      <c r="B407" s="8" t="s">
        <v>12</v>
      </c>
      <c r="C407" s="8" t="s">
        <v>13</v>
      </c>
      <c r="D407" s="8" t="s">
        <v>605</v>
      </c>
      <c r="E407" s="14">
        <v>45223</v>
      </c>
      <c r="F407" s="14">
        <v>45484</v>
      </c>
      <c r="G407" s="10">
        <v>685929486</v>
      </c>
      <c r="H407" s="8" t="str">
        <f>TRIM('Raw Dataset'!H407)</f>
        <v>PT A</v>
      </c>
      <c r="J407" t="str">
        <v>OK</v>
      </c>
      <c r="K407" t="str">
        <v>OK</v>
      </c>
    </row>
    <row r="408" spans="1:11" ht="14.25" customHeight="1" x14ac:dyDescent="0.35">
      <c r="A408" s="8" t="s">
        <v>459</v>
      </c>
      <c r="B408" s="8" t="s">
        <v>18</v>
      </c>
      <c r="C408" s="8" t="s">
        <v>39</v>
      </c>
      <c r="D408" s="8" t="s">
        <v>577</v>
      </c>
      <c r="E408" s="14">
        <v>45225</v>
      </c>
      <c r="F408" s="14">
        <v>45551</v>
      </c>
      <c r="G408" s="10">
        <v>2626084542</v>
      </c>
      <c r="H408" s="8" t="str">
        <f>TRIM('Raw Dataset'!H408)</f>
        <v>PT. Yuniar Hakim Tbk</v>
      </c>
      <c r="J408" t="str">
        <v>OK</v>
      </c>
      <c r="K408" t="str">
        <v>OK</v>
      </c>
    </row>
    <row r="409" spans="1:11" ht="14.25" customHeight="1" x14ac:dyDescent="0.35">
      <c r="A409" s="8" t="s">
        <v>460</v>
      </c>
      <c r="B409" s="8" t="s">
        <v>12</v>
      </c>
      <c r="C409" s="8" t="s">
        <v>24</v>
      </c>
      <c r="D409" s="8" t="s">
        <v>610</v>
      </c>
      <c r="E409" s="14">
        <v>45226</v>
      </c>
      <c r="F409" s="14">
        <v>45403</v>
      </c>
      <c r="G409" s="10">
        <v>893411259</v>
      </c>
      <c r="H409" s="8" t="str">
        <f>TRIM('Raw Dataset'!H409)</f>
        <v>PT A</v>
      </c>
      <c r="J409" t="str">
        <v>OK</v>
      </c>
      <c r="K409" t="str">
        <v>OK</v>
      </c>
    </row>
    <row r="410" spans="1:11" ht="14.25" customHeight="1" x14ac:dyDescent="0.35">
      <c r="A410" s="8" t="s">
        <v>461</v>
      </c>
      <c r="B410" s="8" t="s">
        <v>35</v>
      </c>
      <c r="C410" s="8" t="s">
        <v>42</v>
      </c>
      <c r="D410" s="8" t="s">
        <v>69</v>
      </c>
      <c r="E410" s="14">
        <v>45226</v>
      </c>
      <c r="F410" s="14">
        <v>45467</v>
      </c>
      <c r="G410" s="10">
        <v>264833844</v>
      </c>
      <c r="H410" s="8" t="str">
        <f>TRIM('Raw Dataset'!H410)</f>
        <v>PT A</v>
      </c>
      <c r="J410" t="str">
        <v>OK</v>
      </c>
      <c r="K410" t="str">
        <v>OK</v>
      </c>
    </row>
    <row r="411" spans="1:11" ht="14.25" customHeight="1" x14ac:dyDescent="0.35">
      <c r="A411" s="8" t="s">
        <v>462</v>
      </c>
      <c r="B411" s="8" t="s">
        <v>35</v>
      </c>
      <c r="C411" s="8" t="s">
        <v>39</v>
      </c>
      <c r="D411" s="8" t="s">
        <v>145</v>
      </c>
      <c r="E411" s="14">
        <v>45226</v>
      </c>
      <c r="F411" s="14">
        <v>45426</v>
      </c>
      <c r="G411" s="10">
        <v>588269229</v>
      </c>
      <c r="H411" s="8" t="str">
        <f>TRIM('Raw Dataset'!H411)</f>
        <v>PT D</v>
      </c>
      <c r="J411" t="str">
        <v>OK</v>
      </c>
      <c r="K411" t="str">
        <v>OK</v>
      </c>
    </row>
    <row r="412" spans="1:11" ht="14.25" customHeight="1" x14ac:dyDescent="0.35">
      <c r="A412" s="8" t="s">
        <v>463</v>
      </c>
      <c r="B412" s="8" t="s">
        <v>35</v>
      </c>
      <c r="C412" s="8" t="s">
        <v>31</v>
      </c>
      <c r="D412" s="8" t="s">
        <v>91</v>
      </c>
      <c r="E412" s="14">
        <v>45227</v>
      </c>
      <c r="F412" s="14">
        <v>45478</v>
      </c>
      <c r="G412" s="10">
        <v>691409314</v>
      </c>
      <c r="H412" s="8" t="str">
        <f>TRIM('Raw Dataset'!H412)</f>
        <v>PT C</v>
      </c>
      <c r="J412" t="str">
        <v>OK</v>
      </c>
      <c r="K412" t="str">
        <v>OK</v>
      </c>
    </row>
    <row r="413" spans="1:11" ht="14.25" customHeight="1" x14ac:dyDescent="0.35">
      <c r="A413" s="8" t="s">
        <v>464</v>
      </c>
      <c r="B413" s="8" t="s">
        <v>12</v>
      </c>
      <c r="C413" s="8" t="s">
        <v>42</v>
      </c>
      <c r="D413" s="8" t="s">
        <v>603</v>
      </c>
      <c r="E413" s="14">
        <v>45228</v>
      </c>
      <c r="F413" s="14">
        <v>45583</v>
      </c>
      <c r="G413" s="10">
        <v>242272002</v>
      </c>
      <c r="H413" s="8" t="str">
        <f>TRIM('Raw Dataset'!H413)</f>
        <v/>
      </c>
      <c r="J413" t="str">
        <v>OK</v>
      </c>
      <c r="K413" t="str">
        <v>OK</v>
      </c>
    </row>
    <row r="414" spans="1:11" ht="14.25" customHeight="1" x14ac:dyDescent="0.35">
      <c r="A414" s="8" t="s">
        <v>465</v>
      </c>
      <c r="B414" s="8" t="s">
        <v>30</v>
      </c>
      <c r="C414" s="8" t="s">
        <v>48</v>
      </c>
      <c r="D414" s="8" t="s">
        <v>615</v>
      </c>
      <c r="E414" s="14">
        <v>45228</v>
      </c>
      <c r="F414" s="14">
        <v>45515</v>
      </c>
      <c r="G414" s="10">
        <v>1906777116</v>
      </c>
      <c r="H414" s="8" t="str">
        <f>TRIM('Raw Dataset'!H414)</f>
        <v>CV Sihombing</v>
      </c>
      <c r="J414" t="str">
        <v>OK</v>
      </c>
      <c r="K414" t="str">
        <v>OK</v>
      </c>
    </row>
    <row r="415" spans="1:11" ht="14.25" customHeight="1" x14ac:dyDescent="0.35">
      <c r="A415" s="8" t="s">
        <v>466</v>
      </c>
      <c r="B415" s="8" t="s">
        <v>35</v>
      </c>
      <c r="C415" s="8" t="s">
        <v>24</v>
      </c>
      <c r="D415" s="8" t="s">
        <v>133</v>
      </c>
      <c r="E415" s="14">
        <v>45229</v>
      </c>
      <c r="F415" s="14">
        <v>45334</v>
      </c>
      <c r="G415" s="10">
        <v>325400177</v>
      </c>
      <c r="H415" s="8" t="str">
        <f>TRIM('Raw Dataset'!H415)</f>
        <v/>
      </c>
      <c r="J415" t="str">
        <v>OK</v>
      </c>
      <c r="K415" t="str">
        <v>OK</v>
      </c>
    </row>
    <row r="416" spans="1:11" ht="14.25" customHeight="1" x14ac:dyDescent="0.35">
      <c r="A416" s="8" t="s">
        <v>467</v>
      </c>
      <c r="B416" s="8" t="s">
        <v>12</v>
      </c>
      <c r="C416" s="8" t="s">
        <v>42</v>
      </c>
      <c r="D416" s="8" t="s">
        <v>603</v>
      </c>
      <c r="E416" s="14">
        <v>45230</v>
      </c>
      <c r="F416" s="14">
        <v>45529</v>
      </c>
      <c r="G416" s="10">
        <v>131415829</v>
      </c>
      <c r="H416" s="8" t="str">
        <f>TRIM('Raw Dataset'!H416)</f>
        <v>PT D</v>
      </c>
      <c r="J416" t="str">
        <v>OK</v>
      </c>
      <c r="K416" t="str">
        <v>OK</v>
      </c>
    </row>
    <row r="417" spans="1:11" ht="14.25" customHeight="1" x14ac:dyDescent="0.35">
      <c r="A417" s="8" t="s">
        <v>468</v>
      </c>
      <c r="B417" s="8" t="s">
        <v>35</v>
      </c>
      <c r="C417" s="8" t="s">
        <v>19</v>
      </c>
      <c r="D417" s="8" t="s">
        <v>97</v>
      </c>
      <c r="E417" s="14">
        <v>45230</v>
      </c>
      <c r="F417" s="14">
        <v>45310</v>
      </c>
      <c r="G417" s="10">
        <v>435534089</v>
      </c>
      <c r="H417" s="8" t="str">
        <f>TRIM('Raw Dataset'!H417)</f>
        <v>PT B</v>
      </c>
      <c r="J417" t="str">
        <v>OK</v>
      </c>
      <c r="K417" t="str">
        <v>OK</v>
      </c>
    </row>
    <row r="418" spans="1:11" ht="14.25" customHeight="1" x14ac:dyDescent="0.35">
      <c r="A418" s="8" t="s">
        <v>469</v>
      </c>
      <c r="B418" s="8" t="s">
        <v>18</v>
      </c>
      <c r="C418" s="8" t="s">
        <v>39</v>
      </c>
      <c r="D418" s="8" t="s">
        <v>577</v>
      </c>
      <c r="E418" s="14">
        <v>45231</v>
      </c>
      <c r="F418" s="14">
        <v>45268</v>
      </c>
      <c r="G418" s="10">
        <v>1107624052</v>
      </c>
      <c r="H418" s="8" t="str">
        <f>TRIM('Raw Dataset'!H418)</f>
        <v>CV Sihombing</v>
      </c>
      <c r="J418" t="str">
        <v>OK</v>
      </c>
      <c r="K418" t="str">
        <v>OK</v>
      </c>
    </row>
    <row r="419" spans="1:11" ht="14.25" customHeight="1" x14ac:dyDescent="0.35">
      <c r="A419" s="8" t="s">
        <v>470</v>
      </c>
      <c r="B419" s="8" t="s">
        <v>30</v>
      </c>
      <c r="C419" s="8" t="s">
        <v>19</v>
      </c>
      <c r="D419" s="8" t="s">
        <v>624</v>
      </c>
      <c r="E419" s="14">
        <v>45231</v>
      </c>
      <c r="F419" s="14">
        <v>45434</v>
      </c>
      <c r="G419" s="10">
        <v>4913634320</v>
      </c>
      <c r="H419" s="8" t="str">
        <f>TRIM('Raw Dataset'!H419)</f>
        <v/>
      </c>
      <c r="J419" t="str">
        <v>OK</v>
      </c>
      <c r="K419" t="str">
        <v>OK</v>
      </c>
    </row>
    <row r="420" spans="1:11" ht="14.25" customHeight="1" x14ac:dyDescent="0.35">
      <c r="A420" s="8" t="s">
        <v>471</v>
      </c>
      <c r="B420" s="8" t="s">
        <v>18</v>
      </c>
      <c r="C420" s="8" t="s">
        <v>13</v>
      </c>
      <c r="D420" s="8" t="s">
        <v>580</v>
      </c>
      <c r="E420" s="14">
        <v>45231</v>
      </c>
      <c r="F420" s="14">
        <v>45567</v>
      </c>
      <c r="G420" s="10">
        <v>2100848894</v>
      </c>
      <c r="H420" s="8" t="str">
        <f>TRIM('Raw Dataset'!H420)</f>
        <v>PT. Lailasari Hariyah (Persero) Tbk</v>
      </c>
      <c r="J420" t="str">
        <v>OK</v>
      </c>
      <c r="K420" t="str">
        <v>OK</v>
      </c>
    </row>
    <row r="421" spans="1:11" ht="14.25" customHeight="1" x14ac:dyDescent="0.35">
      <c r="A421" s="8" t="s">
        <v>472</v>
      </c>
      <c r="B421" s="8" t="s">
        <v>12</v>
      </c>
      <c r="C421" s="8" t="s">
        <v>36</v>
      </c>
      <c r="D421" s="8" t="s">
        <v>578</v>
      </c>
      <c r="E421" s="14">
        <v>45234</v>
      </c>
      <c r="F421" s="14">
        <v>45348</v>
      </c>
      <c r="G421" s="10">
        <v>505388172</v>
      </c>
      <c r="H421" s="8" t="str">
        <f>TRIM('Raw Dataset'!H421)</f>
        <v>CV Sihombing</v>
      </c>
      <c r="J421" t="str">
        <v>OK</v>
      </c>
      <c r="K421" t="str">
        <v>OK</v>
      </c>
    </row>
    <row r="422" spans="1:11" ht="14.25" customHeight="1" x14ac:dyDescent="0.35">
      <c r="A422" s="8" t="s">
        <v>473</v>
      </c>
      <c r="B422" s="8" t="s">
        <v>12</v>
      </c>
      <c r="C422" s="8" t="s">
        <v>31</v>
      </c>
      <c r="D422" s="8" t="s">
        <v>593</v>
      </c>
      <c r="E422" s="14">
        <v>45234</v>
      </c>
      <c r="F422" s="14">
        <v>45426</v>
      </c>
      <c r="G422" s="10">
        <v>574563455</v>
      </c>
      <c r="H422" s="8" t="str">
        <f>TRIM('Raw Dataset'!H422)</f>
        <v>PT. Lailasari Hariyah (Persero) Tbk</v>
      </c>
      <c r="J422" t="str">
        <v>OK</v>
      </c>
      <c r="K422" t="str">
        <v>OK</v>
      </c>
    </row>
    <row r="423" spans="1:11" ht="14.25" customHeight="1" x14ac:dyDescent="0.35">
      <c r="A423" s="8" t="s">
        <v>474</v>
      </c>
      <c r="B423" s="8" t="s">
        <v>12</v>
      </c>
      <c r="C423" s="8" t="s">
        <v>24</v>
      </c>
      <c r="D423" s="8" t="s">
        <v>610</v>
      </c>
      <c r="E423" s="14">
        <v>45234</v>
      </c>
      <c r="F423" s="14">
        <v>45264</v>
      </c>
      <c r="G423" s="10">
        <v>445199395</v>
      </c>
      <c r="H423" s="8" t="str">
        <f>TRIM('Raw Dataset'!H423)</f>
        <v>CV Sihombing</v>
      </c>
      <c r="J423" t="str">
        <v>OK</v>
      </c>
      <c r="K423" t="str">
        <v>OK</v>
      </c>
    </row>
    <row r="424" spans="1:11" ht="14.25" customHeight="1" x14ac:dyDescent="0.35">
      <c r="A424" s="8" t="s">
        <v>475</v>
      </c>
      <c r="B424" s="8" t="s">
        <v>12</v>
      </c>
      <c r="C424" s="8" t="s">
        <v>39</v>
      </c>
      <c r="D424" s="8" t="s">
        <v>591</v>
      </c>
      <c r="E424" s="14">
        <v>45235</v>
      </c>
      <c r="F424" s="14">
        <v>45313</v>
      </c>
      <c r="G424" s="10">
        <v>849005913</v>
      </c>
      <c r="H424" s="8" t="str">
        <f>TRIM('Raw Dataset'!H424)</f>
        <v>CV Sihombing</v>
      </c>
      <c r="J424" t="str">
        <v>OK</v>
      </c>
      <c r="K424" t="str">
        <v>OK</v>
      </c>
    </row>
    <row r="425" spans="1:11" ht="14.25" customHeight="1" x14ac:dyDescent="0.35">
      <c r="A425" s="8" t="s">
        <v>476</v>
      </c>
      <c r="B425" s="8" t="s">
        <v>30</v>
      </c>
      <c r="C425" s="8" t="s">
        <v>42</v>
      </c>
      <c r="D425" s="8" t="s">
        <v>632</v>
      </c>
      <c r="E425" s="14">
        <v>45236</v>
      </c>
      <c r="F425" s="14">
        <v>45266</v>
      </c>
      <c r="G425" s="10">
        <v>3098364960</v>
      </c>
      <c r="H425" s="8" t="str">
        <f>TRIM('Raw Dataset'!H425)</f>
        <v>PT. Yuniar Hakim Tbk</v>
      </c>
      <c r="J425" t="str">
        <v>OK</v>
      </c>
      <c r="K425" t="str">
        <v>OK</v>
      </c>
    </row>
    <row r="426" spans="1:11" ht="14.25" customHeight="1" x14ac:dyDescent="0.35">
      <c r="A426" s="8" t="s">
        <v>477</v>
      </c>
      <c r="B426" s="8" t="s">
        <v>60</v>
      </c>
      <c r="C426" s="8" t="s">
        <v>42</v>
      </c>
      <c r="D426" s="8" t="s">
        <v>617</v>
      </c>
      <c r="E426" s="14">
        <v>45237</v>
      </c>
      <c r="F426" s="14">
        <v>45413</v>
      </c>
      <c r="G426" s="10">
        <v>1607071599</v>
      </c>
      <c r="H426" s="8" t="str">
        <f>TRIM('Raw Dataset'!H426)</f>
        <v>PT. Lailasari Hariyah (Persero) Tbk</v>
      </c>
      <c r="J426" t="str">
        <v>OK</v>
      </c>
      <c r="K426" t="str">
        <v>OK</v>
      </c>
    </row>
    <row r="427" spans="1:11" ht="14.25" customHeight="1" x14ac:dyDescent="0.35">
      <c r="A427" s="8" t="s">
        <v>478</v>
      </c>
      <c r="B427" s="8" t="s">
        <v>30</v>
      </c>
      <c r="C427" s="8" t="s">
        <v>36</v>
      </c>
      <c r="D427" s="8" t="s">
        <v>639</v>
      </c>
      <c r="E427" s="14">
        <v>45240</v>
      </c>
      <c r="F427" s="14">
        <v>45361</v>
      </c>
      <c r="G427" s="10">
        <v>2771182474</v>
      </c>
      <c r="H427" s="8" t="str">
        <f>TRIM('Raw Dataset'!H427)</f>
        <v>PT D</v>
      </c>
      <c r="J427" t="str">
        <v>OK</v>
      </c>
      <c r="K427" t="str">
        <v>OK</v>
      </c>
    </row>
    <row r="428" spans="1:11" ht="14.25" customHeight="1" x14ac:dyDescent="0.35">
      <c r="A428" s="8" t="s">
        <v>479</v>
      </c>
      <c r="B428" s="8" t="s">
        <v>12</v>
      </c>
      <c r="C428" s="8" t="s">
        <v>48</v>
      </c>
      <c r="D428" s="8" t="s">
        <v>602</v>
      </c>
      <c r="E428" s="14">
        <v>45240</v>
      </c>
      <c r="F428" s="14">
        <v>45532</v>
      </c>
      <c r="G428" s="10">
        <v>153884086</v>
      </c>
      <c r="H428" s="8" t="str">
        <f>TRIM('Raw Dataset'!H428)</f>
        <v>PT D</v>
      </c>
      <c r="J428" t="str">
        <v>OK</v>
      </c>
      <c r="K428" t="str">
        <v>OK</v>
      </c>
    </row>
    <row r="429" spans="1:11" ht="14.25" customHeight="1" x14ac:dyDescent="0.35">
      <c r="A429" s="8" t="s">
        <v>480</v>
      </c>
      <c r="B429" s="8" t="s">
        <v>12</v>
      </c>
      <c r="C429" s="8" t="s">
        <v>24</v>
      </c>
      <c r="D429" s="8" t="s">
        <v>610</v>
      </c>
      <c r="E429" s="14">
        <v>45240</v>
      </c>
      <c r="F429" s="14">
        <v>45434</v>
      </c>
      <c r="G429" s="10">
        <v>545725479</v>
      </c>
      <c r="H429" s="8" t="str">
        <f>TRIM('Raw Dataset'!H429)</f>
        <v/>
      </c>
      <c r="J429" t="str">
        <v>OK</v>
      </c>
      <c r="K429" t="str">
        <v>OK</v>
      </c>
    </row>
    <row r="430" spans="1:11" ht="14.25" customHeight="1" x14ac:dyDescent="0.35">
      <c r="A430" s="8" t="s">
        <v>481</v>
      </c>
      <c r="B430" s="8" t="s">
        <v>60</v>
      </c>
      <c r="C430" s="8" t="s">
        <v>39</v>
      </c>
      <c r="D430" s="8" t="s">
        <v>626</v>
      </c>
      <c r="E430" s="14">
        <v>45240</v>
      </c>
      <c r="F430" s="14">
        <v>45440</v>
      </c>
      <c r="G430" s="10">
        <v>4659030076</v>
      </c>
      <c r="H430" s="8" t="str">
        <f>TRIM('Raw Dataset'!H430)</f>
        <v/>
      </c>
      <c r="J430" t="str">
        <v>OK</v>
      </c>
      <c r="K430" t="str">
        <v>OK</v>
      </c>
    </row>
    <row r="431" spans="1:11" ht="14.25" customHeight="1" x14ac:dyDescent="0.35">
      <c r="A431" s="8" t="s">
        <v>482</v>
      </c>
      <c r="B431" s="8" t="s">
        <v>30</v>
      </c>
      <c r="C431" s="8" t="s">
        <v>24</v>
      </c>
      <c r="D431" s="8" t="s">
        <v>637</v>
      </c>
      <c r="E431" s="14">
        <v>45240</v>
      </c>
      <c r="F431" s="14">
        <v>45466</v>
      </c>
      <c r="G431" s="10">
        <v>2661560994</v>
      </c>
      <c r="H431" s="8" t="str">
        <f>TRIM('Raw Dataset'!H431)</f>
        <v/>
      </c>
      <c r="J431" t="str">
        <v>OK</v>
      </c>
      <c r="K431" t="str">
        <v>OK</v>
      </c>
    </row>
    <row r="432" spans="1:11" ht="14.25" customHeight="1" x14ac:dyDescent="0.35">
      <c r="A432" s="8" t="s">
        <v>483</v>
      </c>
      <c r="B432" s="8" t="s">
        <v>18</v>
      </c>
      <c r="C432" s="8" t="s">
        <v>24</v>
      </c>
      <c r="D432" s="8" t="s">
        <v>618</v>
      </c>
      <c r="E432" s="14">
        <v>45240</v>
      </c>
      <c r="F432" s="14">
        <v>45346</v>
      </c>
      <c r="G432" s="10">
        <v>1652872648</v>
      </c>
      <c r="H432" s="8" t="str">
        <f>TRIM('Raw Dataset'!H432)</f>
        <v>PT D</v>
      </c>
      <c r="J432" t="str">
        <v>OK</v>
      </c>
      <c r="K432" t="str">
        <v>OK</v>
      </c>
    </row>
    <row r="433" spans="1:11" ht="14.25" customHeight="1" x14ac:dyDescent="0.35">
      <c r="A433" s="8" t="s">
        <v>484</v>
      </c>
      <c r="B433" s="8" t="s">
        <v>30</v>
      </c>
      <c r="C433" s="8" t="s">
        <v>24</v>
      </c>
      <c r="D433" s="8" t="s">
        <v>637</v>
      </c>
      <c r="E433" s="14">
        <v>45241</v>
      </c>
      <c r="F433" s="14">
        <v>45505</v>
      </c>
      <c r="G433" s="10">
        <v>7444707554</v>
      </c>
      <c r="H433" s="8" t="str">
        <f>TRIM('Raw Dataset'!H433)</f>
        <v>PT. Yuniar Hakim Tbk</v>
      </c>
      <c r="J433" t="str">
        <v>OK</v>
      </c>
      <c r="K433" t="str">
        <v>OK</v>
      </c>
    </row>
    <row r="434" spans="1:11" ht="14.25" customHeight="1" x14ac:dyDescent="0.35">
      <c r="A434" s="8" t="s">
        <v>485</v>
      </c>
      <c r="B434" s="8" t="s">
        <v>35</v>
      </c>
      <c r="C434" s="8" t="s">
        <v>48</v>
      </c>
      <c r="D434" s="8" t="s">
        <v>49</v>
      </c>
      <c r="E434" s="14">
        <v>45241</v>
      </c>
      <c r="F434" s="14">
        <v>45311</v>
      </c>
      <c r="G434" s="10">
        <v>308009410</v>
      </c>
      <c r="H434" s="8" t="str">
        <f>TRIM('Raw Dataset'!H434)</f>
        <v>PT A</v>
      </c>
      <c r="J434" t="str">
        <v>OK</v>
      </c>
      <c r="K434" t="str">
        <v>OK</v>
      </c>
    </row>
    <row r="435" spans="1:11" ht="14.25" customHeight="1" x14ac:dyDescent="0.35">
      <c r="A435" s="8" t="s">
        <v>486</v>
      </c>
      <c r="B435" s="8" t="s">
        <v>30</v>
      </c>
      <c r="C435" s="8" t="s">
        <v>48</v>
      </c>
      <c r="D435" s="8" t="s">
        <v>615</v>
      </c>
      <c r="E435" s="14">
        <v>45242</v>
      </c>
      <c r="F435" s="14">
        <v>45439</v>
      </c>
      <c r="G435" s="10">
        <v>2851933896</v>
      </c>
      <c r="H435" s="8" t="str">
        <f>TRIM('Raw Dataset'!H435)</f>
        <v>PT D</v>
      </c>
      <c r="J435" t="str">
        <v>OK</v>
      </c>
      <c r="K435" t="str">
        <v>OK</v>
      </c>
    </row>
    <row r="436" spans="1:11" ht="14.25" customHeight="1" x14ac:dyDescent="0.35">
      <c r="A436" s="8" t="s">
        <v>487</v>
      </c>
      <c r="B436" s="8" t="s">
        <v>30</v>
      </c>
      <c r="C436" s="8" t="s">
        <v>42</v>
      </c>
      <c r="D436" s="8" t="s">
        <v>632</v>
      </c>
      <c r="E436" s="14">
        <v>45242</v>
      </c>
      <c r="F436" s="14">
        <v>45464</v>
      </c>
      <c r="G436" s="10">
        <v>5932217911</v>
      </c>
      <c r="H436" s="8" t="str">
        <f>TRIM('Raw Dataset'!H436)</f>
        <v>CV Sihombing</v>
      </c>
      <c r="J436" t="str">
        <v>OK</v>
      </c>
      <c r="K436" t="str">
        <v>OK</v>
      </c>
    </row>
    <row r="437" spans="1:11" ht="14.25" customHeight="1" x14ac:dyDescent="0.35">
      <c r="A437" s="8" t="s">
        <v>488</v>
      </c>
      <c r="B437" s="8" t="s">
        <v>12</v>
      </c>
      <c r="C437" s="8" t="s">
        <v>48</v>
      </c>
      <c r="D437" s="8" t="s">
        <v>602</v>
      </c>
      <c r="E437" s="14">
        <v>45242</v>
      </c>
      <c r="F437" s="14">
        <v>45345</v>
      </c>
      <c r="G437" s="10">
        <v>394459258</v>
      </c>
      <c r="H437" s="8" t="str">
        <f>TRIM('Raw Dataset'!H437)</f>
        <v>PT. Yuniar Hakim Tbk</v>
      </c>
      <c r="J437" t="str">
        <v>OK</v>
      </c>
      <c r="K437" t="str">
        <v>OK</v>
      </c>
    </row>
    <row r="438" spans="1:11" ht="14.25" customHeight="1" x14ac:dyDescent="0.35">
      <c r="A438" s="8" t="s">
        <v>489</v>
      </c>
      <c r="B438" s="8" t="s">
        <v>60</v>
      </c>
      <c r="C438" s="8" t="s">
        <v>39</v>
      </c>
      <c r="D438" s="8" t="s">
        <v>642</v>
      </c>
      <c r="E438" s="14">
        <v>45242</v>
      </c>
      <c r="F438" s="14">
        <v>45305</v>
      </c>
      <c r="G438" s="10">
        <v>3343026784</v>
      </c>
      <c r="H438" s="8" t="str">
        <f>TRIM('Raw Dataset'!H438)</f>
        <v>PT. Lailasari Hariyah (Persero) Tbk</v>
      </c>
      <c r="J438" t="str">
        <v>OK</v>
      </c>
      <c r="K438" t="str">
        <v>OK</v>
      </c>
    </row>
    <row r="439" spans="1:11" ht="14.25" customHeight="1" x14ac:dyDescent="0.35">
      <c r="A439" s="8" t="s">
        <v>490</v>
      </c>
      <c r="B439" s="8" t="s">
        <v>60</v>
      </c>
      <c r="C439" s="8" t="s">
        <v>31</v>
      </c>
      <c r="D439" s="8" t="s">
        <v>599</v>
      </c>
      <c r="E439" s="14">
        <v>45243</v>
      </c>
      <c r="F439" s="14">
        <v>45535</v>
      </c>
      <c r="G439" s="10">
        <v>4651361592</v>
      </c>
      <c r="H439" s="8" t="str">
        <f>TRIM('Raw Dataset'!H439)</f>
        <v>PT C</v>
      </c>
      <c r="J439" t="str">
        <v>OK</v>
      </c>
      <c r="K439" t="str">
        <v>OK</v>
      </c>
    </row>
    <row r="440" spans="1:11" ht="14.25" customHeight="1" x14ac:dyDescent="0.35">
      <c r="A440" s="8" t="s">
        <v>491</v>
      </c>
      <c r="B440" s="8" t="s">
        <v>35</v>
      </c>
      <c r="C440" s="8" t="s">
        <v>24</v>
      </c>
      <c r="D440" s="8" t="s">
        <v>133</v>
      </c>
      <c r="E440" s="14">
        <v>45245</v>
      </c>
      <c r="F440" s="14">
        <v>45585</v>
      </c>
      <c r="G440" s="10">
        <v>287244799</v>
      </c>
      <c r="H440" s="8" t="str">
        <f>TRIM('Raw Dataset'!H440)</f>
        <v>PT C</v>
      </c>
      <c r="J440" t="str">
        <v>OK</v>
      </c>
      <c r="K440" t="str">
        <v>OK</v>
      </c>
    </row>
    <row r="441" spans="1:11" ht="14.25" customHeight="1" x14ac:dyDescent="0.35">
      <c r="A441" s="8" t="s">
        <v>492</v>
      </c>
      <c r="B441" s="8" t="s">
        <v>30</v>
      </c>
      <c r="C441" s="8" t="s">
        <v>31</v>
      </c>
      <c r="D441" s="8" t="s">
        <v>585</v>
      </c>
      <c r="E441" s="14">
        <v>45245</v>
      </c>
      <c r="F441" s="14">
        <v>45532</v>
      </c>
      <c r="G441" s="10">
        <v>1941923313</v>
      </c>
      <c r="H441" s="8" t="str">
        <f>TRIM('Raw Dataset'!H441)</f>
        <v/>
      </c>
      <c r="J441" t="str">
        <v>OK</v>
      </c>
      <c r="K441" t="str">
        <v>OK</v>
      </c>
    </row>
    <row r="442" spans="1:11" ht="14.25" customHeight="1" x14ac:dyDescent="0.35">
      <c r="A442" s="8" t="s">
        <v>493</v>
      </c>
      <c r="B442" s="8" t="s">
        <v>30</v>
      </c>
      <c r="C442" s="8" t="s">
        <v>48</v>
      </c>
      <c r="D442" s="8" t="s">
        <v>615</v>
      </c>
      <c r="E442" s="14">
        <v>45245</v>
      </c>
      <c r="F442" s="14">
        <v>45333</v>
      </c>
      <c r="G442" s="10">
        <v>1897092669</v>
      </c>
      <c r="H442" s="8" t="str">
        <f>TRIM('Raw Dataset'!H442)</f>
        <v/>
      </c>
      <c r="J442" t="str">
        <v>OK</v>
      </c>
      <c r="K442" t="str">
        <v>OK</v>
      </c>
    </row>
    <row r="443" spans="1:11" ht="14.25" customHeight="1" x14ac:dyDescent="0.35">
      <c r="A443" s="8" t="s">
        <v>494</v>
      </c>
      <c r="B443" s="8" t="s">
        <v>60</v>
      </c>
      <c r="C443" s="8" t="s">
        <v>39</v>
      </c>
      <c r="D443" s="8" t="s">
        <v>626</v>
      </c>
      <c r="E443" s="14">
        <v>45245</v>
      </c>
      <c r="F443" s="14">
        <v>45348</v>
      </c>
      <c r="G443" s="10">
        <v>2304818789</v>
      </c>
      <c r="H443" s="8" t="str">
        <f>TRIM('Raw Dataset'!H443)</f>
        <v/>
      </c>
      <c r="J443" t="str">
        <v>OK</v>
      </c>
      <c r="K443" t="str">
        <v>OK</v>
      </c>
    </row>
    <row r="444" spans="1:11" ht="14.25" customHeight="1" x14ac:dyDescent="0.35">
      <c r="A444" s="8" t="s">
        <v>495</v>
      </c>
      <c r="B444" s="8" t="s">
        <v>12</v>
      </c>
      <c r="C444" s="8" t="s">
        <v>48</v>
      </c>
      <c r="D444" s="8" t="s">
        <v>602</v>
      </c>
      <c r="E444" s="14">
        <v>45246</v>
      </c>
      <c r="F444" s="14">
        <v>45389</v>
      </c>
      <c r="G444" s="10">
        <v>642644763</v>
      </c>
      <c r="H444" s="8" t="str">
        <f>TRIM('Raw Dataset'!H444)</f>
        <v>PT D</v>
      </c>
      <c r="J444" t="str">
        <v>OK</v>
      </c>
      <c r="K444" t="str">
        <v>OK</v>
      </c>
    </row>
    <row r="445" spans="1:11" ht="14.25" customHeight="1" x14ac:dyDescent="0.35">
      <c r="A445" s="8" t="s">
        <v>496</v>
      </c>
      <c r="B445" s="8" t="s">
        <v>30</v>
      </c>
      <c r="C445" s="8" t="s">
        <v>19</v>
      </c>
      <c r="D445" s="8" t="s">
        <v>624</v>
      </c>
      <c r="E445" s="14">
        <v>45246</v>
      </c>
      <c r="F445" s="14">
        <v>45343</v>
      </c>
      <c r="G445" s="10">
        <v>5716503787</v>
      </c>
      <c r="H445" s="8" t="str">
        <f>TRIM('Raw Dataset'!H445)</f>
        <v>PT B</v>
      </c>
      <c r="J445" t="str">
        <v>OK</v>
      </c>
      <c r="K445" t="str">
        <v>OK</v>
      </c>
    </row>
    <row r="446" spans="1:11" ht="14.25" customHeight="1" x14ac:dyDescent="0.35">
      <c r="A446" s="8" t="s">
        <v>497</v>
      </c>
      <c r="B446" s="8" t="s">
        <v>35</v>
      </c>
      <c r="C446" s="8" t="s">
        <v>48</v>
      </c>
      <c r="D446" s="8" t="s">
        <v>49</v>
      </c>
      <c r="E446" s="14">
        <v>45247</v>
      </c>
      <c r="F446" s="14">
        <v>45328</v>
      </c>
      <c r="G446" s="10">
        <v>537845909</v>
      </c>
      <c r="H446" s="8" t="str">
        <f>TRIM('Raw Dataset'!H446)</f>
        <v>PT D</v>
      </c>
      <c r="J446" t="str">
        <v>OK</v>
      </c>
      <c r="K446" t="str">
        <v>OK</v>
      </c>
    </row>
    <row r="447" spans="1:11" ht="14.25" customHeight="1" x14ac:dyDescent="0.35">
      <c r="A447" s="8" t="s">
        <v>498</v>
      </c>
      <c r="B447" s="8" t="s">
        <v>12</v>
      </c>
      <c r="C447" s="8" t="s">
        <v>24</v>
      </c>
      <c r="D447" s="8" t="s">
        <v>610</v>
      </c>
      <c r="E447" s="14">
        <v>45247</v>
      </c>
      <c r="F447" s="14">
        <v>45499</v>
      </c>
      <c r="G447" s="10">
        <v>800732653</v>
      </c>
      <c r="H447" s="8" t="str">
        <f>TRIM('Raw Dataset'!H447)</f>
        <v>PT C</v>
      </c>
      <c r="J447" t="str">
        <v>OK</v>
      </c>
      <c r="K447" t="str">
        <v>OK</v>
      </c>
    </row>
    <row r="448" spans="1:11" ht="14.25" customHeight="1" x14ac:dyDescent="0.35">
      <c r="A448" s="8" t="s">
        <v>499</v>
      </c>
      <c r="B448" s="8" t="s">
        <v>30</v>
      </c>
      <c r="C448" s="8" t="s">
        <v>48</v>
      </c>
      <c r="D448" s="8" t="s">
        <v>615</v>
      </c>
      <c r="E448" s="14">
        <v>45248</v>
      </c>
      <c r="F448" s="14">
        <v>45605</v>
      </c>
      <c r="G448" s="10">
        <v>676299944</v>
      </c>
      <c r="H448" s="8" t="str">
        <f>TRIM('Raw Dataset'!H448)</f>
        <v>PT D</v>
      </c>
      <c r="J448" t="str">
        <v>OK</v>
      </c>
      <c r="K448" t="str">
        <v>OK</v>
      </c>
    </row>
    <row r="449" spans="1:11" ht="14.25" customHeight="1" x14ac:dyDescent="0.35">
      <c r="A449" s="8" t="s">
        <v>500</v>
      </c>
      <c r="B449" s="8" t="s">
        <v>30</v>
      </c>
      <c r="C449" s="8" t="s">
        <v>39</v>
      </c>
      <c r="D449" s="8" t="s">
        <v>590</v>
      </c>
      <c r="E449" s="14">
        <v>45248</v>
      </c>
      <c r="F449" s="14">
        <v>45481</v>
      </c>
      <c r="G449" s="10">
        <v>5621717823</v>
      </c>
      <c r="H449" s="8" t="str">
        <f>TRIM('Raw Dataset'!H449)</f>
        <v>PT. Lailasari Hariyah (Persero) Tbk</v>
      </c>
      <c r="J449" t="str">
        <v>OK</v>
      </c>
      <c r="K449" t="str">
        <v>OK</v>
      </c>
    </row>
    <row r="450" spans="1:11" ht="14.25" customHeight="1" x14ac:dyDescent="0.35">
      <c r="A450" s="8" t="s">
        <v>501</v>
      </c>
      <c r="B450" s="8" t="s">
        <v>18</v>
      </c>
      <c r="C450" s="8" t="s">
        <v>48</v>
      </c>
      <c r="D450" s="8" t="s">
        <v>629</v>
      </c>
      <c r="E450" s="14">
        <v>45248</v>
      </c>
      <c r="F450" s="14">
        <v>45412</v>
      </c>
      <c r="G450" s="10">
        <v>1652704535</v>
      </c>
      <c r="H450" s="8" t="str">
        <f>TRIM('Raw Dataset'!H450)</f>
        <v>CV Sihombing</v>
      </c>
      <c r="J450" t="str">
        <v>OK</v>
      </c>
      <c r="K450" t="str">
        <v>OK</v>
      </c>
    </row>
    <row r="451" spans="1:11" ht="14.25" customHeight="1" x14ac:dyDescent="0.35">
      <c r="A451" s="8" t="s">
        <v>502</v>
      </c>
      <c r="B451" s="8" t="s">
        <v>30</v>
      </c>
      <c r="C451" s="8" t="s">
        <v>13</v>
      </c>
      <c r="D451" s="8" t="s">
        <v>630</v>
      </c>
      <c r="E451" s="14">
        <v>45249</v>
      </c>
      <c r="F451" s="14">
        <v>45590</v>
      </c>
      <c r="G451" s="10">
        <v>2696276120</v>
      </c>
      <c r="H451" s="8" t="str">
        <f>TRIM('Raw Dataset'!H451)</f>
        <v>PT A</v>
      </c>
      <c r="J451" t="str">
        <v>OK</v>
      </c>
      <c r="K451" t="str">
        <v>OK</v>
      </c>
    </row>
    <row r="452" spans="1:11" ht="14.25" customHeight="1" x14ac:dyDescent="0.35">
      <c r="A452" s="8" t="s">
        <v>503</v>
      </c>
      <c r="B452" s="8" t="s">
        <v>35</v>
      </c>
      <c r="C452" s="8" t="s">
        <v>48</v>
      </c>
      <c r="D452" s="8" t="s">
        <v>49</v>
      </c>
      <c r="E452" s="14">
        <v>45249</v>
      </c>
      <c r="F452" s="14">
        <v>45512</v>
      </c>
      <c r="G452" s="10">
        <v>344399927</v>
      </c>
      <c r="H452" s="8" t="str">
        <f>TRIM('Raw Dataset'!H452)</f>
        <v>PT. Lailasari Hariyah (Persero) Tbk</v>
      </c>
      <c r="J452" t="str">
        <v>OK</v>
      </c>
      <c r="K452" t="str">
        <v>OK</v>
      </c>
    </row>
    <row r="453" spans="1:11" ht="14.25" customHeight="1" x14ac:dyDescent="0.35">
      <c r="A453" s="8" t="s">
        <v>504</v>
      </c>
      <c r="B453" s="8" t="s">
        <v>35</v>
      </c>
      <c r="C453" s="8" t="s">
        <v>24</v>
      </c>
      <c r="D453" s="8" t="s">
        <v>133</v>
      </c>
      <c r="E453" s="14">
        <v>45249</v>
      </c>
      <c r="F453" s="14">
        <v>45478</v>
      </c>
      <c r="G453" s="10">
        <v>624334418</v>
      </c>
      <c r="H453" s="8" t="str">
        <f>TRIM('Raw Dataset'!H453)</f>
        <v>PT D</v>
      </c>
      <c r="J453" t="str">
        <v>OK</v>
      </c>
      <c r="K453" t="str">
        <v>OK</v>
      </c>
    </row>
    <row r="454" spans="1:11" ht="14.25" customHeight="1" x14ac:dyDescent="0.35">
      <c r="A454" s="8" t="s">
        <v>505</v>
      </c>
      <c r="B454" s="8" t="s">
        <v>30</v>
      </c>
      <c r="C454" s="8" t="s">
        <v>36</v>
      </c>
      <c r="D454" s="8" t="s">
        <v>614</v>
      </c>
      <c r="E454" s="14">
        <v>45252</v>
      </c>
      <c r="F454" s="14">
        <v>45467</v>
      </c>
      <c r="G454" s="10">
        <v>7036506058</v>
      </c>
      <c r="H454" s="8" t="str">
        <f>TRIM('Raw Dataset'!H454)</f>
        <v>PT D</v>
      </c>
      <c r="J454" t="str">
        <v>OK</v>
      </c>
      <c r="K454" t="str">
        <v>OK</v>
      </c>
    </row>
    <row r="455" spans="1:11" ht="14.25" customHeight="1" x14ac:dyDescent="0.35">
      <c r="A455" s="8" t="s">
        <v>506</v>
      </c>
      <c r="B455" s="8" t="s">
        <v>18</v>
      </c>
      <c r="C455" s="8" t="s">
        <v>48</v>
      </c>
      <c r="D455" s="8" t="s">
        <v>629</v>
      </c>
      <c r="E455" s="14">
        <v>45253</v>
      </c>
      <c r="F455" s="14">
        <v>45512</v>
      </c>
      <c r="G455" s="10">
        <v>4458001292</v>
      </c>
      <c r="H455" s="8" t="str">
        <f>TRIM('Raw Dataset'!H455)</f>
        <v/>
      </c>
      <c r="J455" t="str">
        <v>OK</v>
      </c>
      <c r="K455" t="str">
        <v>OK</v>
      </c>
    </row>
    <row r="456" spans="1:11" ht="14.25" customHeight="1" x14ac:dyDescent="0.35">
      <c r="A456" s="8" t="s">
        <v>507</v>
      </c>
      <c r="B456" s="8" t="s">
        <v>30</v>
      </c>
      <c r="C456" s="8" t="s">
        <v>19</v>
      </c>
      <c r="D456" s="8" t="s">
        <v>624</v>
      </c>
      <c r="E456" s="14">
        <v>45254</v>
      </c>
      <c r="F456" s="14">
        <v>45331</v>
      </c>
      <c r="G456" s="10">
        <v>6553637483</v>
      </c>
      <c r="H456" s="8" t="str">
        <f>TRIM('Raw Dataset'!H456)</f>
        <v/>
      </c>
      <c r="J456" t="str">
        <v>OK</v>
      </c>
      <c r="K456" t="str">
        <v>OK</v>
      </c>
    </row>
    <row r="457" spans="1:11" ht="14.25" customHeight="1" x14ac:dyDescent="0.35">
      <c r="A457" s="8" t="s">
        <v>508</v>
      </c>
      <c r="B457" s="8" t="s">
        <v>30</v>
      </c>
      <c r="C457" s="8" t="s">
        <v>24</v>
      </c>
      <c r="D457" s="8" t="s">
        <v>637</v>
      </c>
      <c r="E457" s="14">
        <v>45254</v>
      </c>
      <c r="F457" s="14">
        <v>45547</v>
      </c>
      <c r="G457" s="10">
        <v>5694242987</v>
      </c>
      <c r="H457" s="8" t="str">
        <f>TRIM('Raw Dataset'!H457)</f>
        <v>PT. Yuniar Hakim Tbk</v>
      </c>
      <c r="J457" t="str">
        <v>OK</v>
      </c>
      <c r="K457" t="str">
        <v>OK</v>
      </c>
    </row>
    <row r="458" spans="1:11" ht="14.25" customHeight="1" x14ac:dyDescent="0.35">
      <c r="A458" s="8" t="s">
        <v>509</v>
      </c>
      <c r="B458" s="8" t="s">
        <v>30</v>
      </c>
      <c r="C458" s="8" t="s">
        <v>19</v>
      </c>
      <c r="D458" s="8" t="s">
        <v>624</v>
      </c>
      <c r="E458" s="14">
        <v>45255</v>
      </c>
      <c r="F458" s="14">
        <v>45461</v>
      </c>
      <c r="G458" s="10">
        <v>2266697296</v>
      </c>
      <c r="H458" s="8" t="str">
        <f>TRIM('Raw Dataset'!H458)</f>
        <v/>
      </c>
      <c r="J458" t="str">
        <v>OK</v>
      </c>
      <c r="K458" t="str">
        <v>OK</v>
      </c>
    </row>
    <row r="459" spans="1:11" ht="14.25" customHeight="1" x14ac:dyDescent="0.35">
      <c r="A459" s="8" t="s">
        <v>510</v>
      </c>
      <c r="B459" s="8" t="s">
        <v>35</v>
      </c>
      <c r="C459" s="8" t="s">
        <v>13</v>
      </c>
      <c r="D459" s="8" t="s">
        <v>78</v>
      </c>
      <c r="E459" s="14">
        <v>45258</v>
      </c>
      <c r="F459" s="14">
        <v>45497</v>
      </c>
      <c r="G459" s="10">
        <v>449824902</v>
      </c>
      <c r="H459" s="8" t="str">
        <f>TRIM('Raw Dataset'!H459)</f>
        <v>PT D</v>
      </c>
      <c r="J459" t="str">
        <v>OK</v>
      </c>
      <c r="K459" t="str">
        <v>OK</v>
      </c>
    </row>
    <row r="460" spans="1:11" ht="14.25" customHeight="1" x14ac:dyDescent="0.35">
      <c r="A460" s="8" t="s">
        <v>511</v>
      </c>
      <c r="B460" s="8" t="s">
        <v>12</v>
      </c>
      <c r="C460" s="8" t="s">
        <v>36</v>
      </c>
      <c r="D460" s="8" t="s">
        <v>578</v>
      </c>
      <c r="E460" s="14">
        <v>45259</v>
      </c>
      <c r="F460" s="14">
        <v>45579</v>
      </c>
      <c r="G460" s="10">
        <v>687256096</v>
      </c>
      <c r="H460" s="8" t="str">
        <f>TRIM('Raw Dataset'!H460)</f>
        <v>PT A</v>
      </c>
      <c r="J460" t="str">
        <v>OK</v>
      </c>
      <c r="K460" t="str">
        <v>OK</v>
      </c>
    </row>
    <row r="461" spans="1:11" ht="14.25" customHeight="1" x14ac:dyDescent="0.35">
      <c r="A461" s="8" t="s">
        <v>512</v>
      </c>
      <c r="B461" s="8" t="s">
        <v>12</v>
      </c>
      <c r="C461" s="8" t="s">
        <v>24</v>
      </c>
      <c r="D461" s="8" t="s">
        <v>610</v>
      </c>
      <c r="E461" s="14">
        <v>45259</v>
      </c>
      <c r="F461" s="14">
        <v>45542</v>
      </c>
      <c r="G461" s="10">
        <v>529398283</v>
      </c>
      <c r="H461" s="8" t="str">
        <f>TRIM('Raw Dataset'!H461)</f>
        <v>PT B</v>
      </c>
      <c r="J461" t="str">
        <v>OK</v>
      </c>
      <c r="K461" t="str">
        <v>OK</v>
      </c>
    </row>
    <row r="462" spans="1:11" ht="14.25" customHeight="1" x14ac:dyDescent="0.35">
      <c r="A462" s="8" t="s">
        <v>513</v>
      </c>
      <c r="B462" s="8" t="s">
        <v>18</v>
      </c>
      <c r="C462" s="8" t="s">
        <v>48</v>
      </c>
      <c r="D462" s="8" t="s">
        <v>629</v>
      </c>
      <c r="E462" s="14">
        <v>45259</v>
      </c>
      <c r="F462" s="14">
        <v>45457</v>
      </c>
      <c r="G462" s="10">
        <v>4710182773</v>
      </c>
      <c r="H462" s="8" t="str">
        <f>TRIM('Raw Dataset'!H462)</f>
        <v>PT. Yuniar Hakim Tbk</v>
      </c>
      <c r="J462" t="str">
        <v>OK</v>
      </c>
      <c r="K462" t="str">
        <v>OK</v>
      </c>
    </row>
    <row r="463" spans="1:11" ht="14.25" customHeight="1" x14ac:dyDescent="0.35">
      <c r="A463" s="8" t="s">
        <v>514</v>
      </c>
      <c r="B463" s="8" t="s">
        <v>12</v>
      </c>
      <c r="C463" s="8" t="s">
        <v>42</v>
      </c>
      <c r="D463" s="8" t="s">
        <v>603</v>
      </c>
      <c r="E463" s="14">
        <v>45260</v>
      </c>
      <c r="F463" s="14">
        <v>45376</v>
      </c>
      <c r="G463" s="10">
        <v>744960204</v>
      </c>
      <c r="H463" s="8" t="str">
        <f>TRIM('Raw Dataset'!H463)</f>
        <v>CV Sihombing</v>
      </c>
      <c r="J463" t="str">
        <v>OK</v>
      </c>
      <c r="K463" t="str">
        <v>OK</v>
      </c>
    </row>
    <row r="464" spans="1:11" ht="14.25" customHeight="1" x14ac:dyDescent="0.35">
      <c r="A464" s="8" t="s">
        <v>515</v>
      </c>
      <c r="B464" s="8" t="s">
        <v>18</v>
      </c>
      <c r="C464" s="8" t="s">
        <v>48</v>
      </c>
      <c r="D464" s="8" t="s">
        <v>629</v>
      </c>
      <c r="E464" s="14">
        <v>45260</v>
      </c>
      <c r="F464" s="14">
        <v>45384</v>
      </c>
      <c r="G464" s="10">
        <v>3580995628</v>
      </c>
      <c r="H464" s="8" t="str">
        <f>TRIM('Raw Dataset'!H464)</f>
        <v/>
      </c>
      <c r="J464" t="str">
        <v>OK</v>
      </c>
      <c r="K464" t="str">
        <v>OK</v>
      </c>
    </row>
    <row r="465" spans="1:11" ht="14.25" customHeight="1" x14ac:dyDescent="0.35">
      <c r="A465" s="8" t="s">
        <v>516</v>
      </c>
      <c r="B465" s="8" t="s">
        <v>60</v>
      </c>
      <c r="C465" s="8" t="s">
        <v>39</v>
      </c>
      <c r="D465" s="8" t="s">
        <v>626</v>
      </c>
      <c r="E465" s="14">
        <v>45261</v>
      </c>
      <c r="F465" s="14">
        <v>45492</v>
      </c>
      <c r="G465" s="10">
        <v>3574507730</v>
      </c>
      <c r="H465" s="8" t="str">
        <f>TRIM('Raw Dataset'!H465)</f>
        <v>PT B</v>
      </c>
      <c r="J465" t="str">
        <v>OK</v>
      </c>
      <c r="K465" t="str">
        <v>OK</v>
      </c>
    </row>
    <row r="466" spans="1:11" ht="14.25" customHeight="1" x14ac:dyDescent="0.35">
      <c r="A466" s="8" t="s">
        <v>517</v>
      </c>
      <c r="B466" s="8" t="s">
        <v>60</v>
      </c>
      <c r="C466" s="8" t="s">
        <v>24</v>
      </c>
      <c r="D466" s="8" t="s">
        <v>575</v>
      </c>
      <c r="E466" s="14">
        <v>45261</v>
      </c>
      <c r="F466" s="14">
        <v>45525</v>
      </c>
      <c r="G466" s="10">
        <v>2640159197</v>
      </c>
      <c r="H466" s="8" t="str">
        <f>TRIM('Raw Dataset'!H466)</f>
        <v>PT D</v>
      </c>
      <c r="J466" t="str">
        <v>OK</v>
      </c>
      <c r="K466" t="str">
        <v>OK</v>
      </c>
    </row>
    <row r="467" spans="1:11" ht="14.25" customHeight="1" x14ac:dyDescent="0.35">
      <c r="A467" s="8" t="s">
        <v>518</v>
      </c>
      <c r="B467" s="8" t="s">
        <v>30</v>
      </c>
      <c r="C467" s="8" t="s">
        <v>39</v>
      </c>
      <c r="D467" s="8" t="s">
        <v>638</v>
      </c>
      <c r="E467" s="14">
        <v>45262</v>
      </c>
      <c r="F467" s="14">
        <v>45476</v>
      </c>
      <c r="G467" s="10">
        <v>857010798</v>
      </c>
      <c r="H467" s="8" t="str">
        <f>TRIM('Raw Dataset'!H467)</f>
        <v>PT. Yuniar Hakim Tbk</v>
      </c>
      <c r="J467" t="str">
        <v>OK</v>
      </c>
      <c r="K467" t="str">
        <v>OK</v>
      </c>
    </row>
    <row r="468" spans="1:11" ht="14.25" customHeight="1" x14ac:dyDescent="0.35">
      <c r="A468" s="8" t="s">
        <v>519</v>
      </c>
      <c r="B468" s="8" t="s">
        <v>60</v>
      </c>
      <c r="C468" s="8" t="s">
        <v>19</v>
      </c>
      <c r="D468" s="8" t="s">
        <v>616</v>
      </c>
      <c r="E468" s="14">
        <v>45262</v>
      </c>
      <c r="F468" s="14">
        <v>45620</v>
      </c>
      <c r="G468" s="10">
        <v>3902836313</v>
      </c>
      <c r="H468" s="8" t="str">
        <f>TRIM('Raw Dataset'!H468)</f>
        <v>PT. Yuniar Hakim Tbk</v>
      </c>
      <c r="J468" t="str">
        <v>OK</v>
      </c>
      <c r="K468" t="str">
        <v>OK</v>
      </c>
    </row>
    <row r="469" spans="1:11" ht="14.25" customHeight="1" x14ac:dyDescent="0.35">
      <c r="A469" s="8" t="s">
        <v>520</v>
      </c>
      <c r="B469" s="8" t="s">
        <v>12</v>
      </c>
      <c r="C469" s="8" t="s">
        <v>19</v>
      </c>
      <c r="D469" s="8" t="s">
        <v>631</v>
      </c>
      <c r="E469" s="14">
        <v>45263</v>
      </c>
      <c r="F469" s="14">
        <v>45413</v>
      </c>
      <c r="G469" s="10">
        <v>313061138</v>
      </c>
      <c r="H469" s="8" t="str">
        <f>TRIM('Raw Dataset'!H469)</f>
        <v>PT A</v>
      </c>
      <c r="J469" t="str">
        <v>OK</v>
      </c>
      <c r="K469" t="str">
        <v>OK</v>
      </c>
    </row>
    <row r="470" spans="1:11" ht="14.25" customHeight="1" x14ac:dyDescent="0.35">
      <c r="A470" s="8" t="s">
        <v>521</v>
      </c>
      <c r="B470" s="8" t="s">
        <v>60</v>
      </c>
      <c r="C470" s="8" t="s">
        <v>39</v>
      </c>
      <c r="D470" s="8" t="s">
        <v>626</v>
      </c>
      <c r="E470" s="14">
        <v>45263</v>
      </c>
      <c r="F470" s="14">
        <v>45473</v>
      </c>
      <c r="G470" s="10">
        <v>3704994376</v>
      </c>
      <c r="H470" s="8" t="str">
        <f>TRIM('Raw Dataset'!H470)</f>
        <v>PT D</v>
      </c>
      <c r="J470" t="str">
        <v>OK</v>
      </c>
      <c r="K470" t="str">
        <v>OK</v>
      </c>
    </row>
    <row r="471" spans="1:11" ht="14.25" customHeight="1" x14ac:dyDescent="0.35">
      <c r="A471" s="8" t="s">
        <v>522</v>
      </c>
      <c r="B471" s="8" t="s">
        <v>30</v>
      </c>
      <c r="C471" s="8" t="s">
        <v>36</v>
      </c>
      <c r="D471" s="8" t="s">
        <v>639</v>
      </c>
      <c r="E471" s="14">
        <v>45263</v>
      </c>
      <c r="F471" s="14">
        <v>45306</v>
      </c>
      <c r="G471" s="10">
        <v>6935528254</v>
      </c>
      <c r="H471" s="8" t="str">
        <f>TRIM('Raw Dataset'!H471)</f>
        <v>CV Sihombing</v>
      </c>
      <c r="J471" t="str">
        <v>OK</v>
      </c>
      <c r="K471" t="str">
        <v>OK</v>
      </c>
    </row>
    <row r="472" spans="1:11" ht="14.25" customHeight="1" x14ac:dyDescent="0.35">
      <c r="A472" s="8" t="s">
        <v>523</v>
      </c>
      <c r="B472" s="8" t="s">
        <v>18</v>
      </c>
      <c r="C472" s="8" t="s">
        <v>19</v>
      </c>
      <c r="D472" s="8" t="s">
        <v>633</v>
      </c>
      <c r="E472" s="14">
        <v>45265</v>
      </c>
      <c r="F472" s="14">
        <v>45562</v>
      </c>
      <c r="G472" s="10">
        <v>1827330534</v>
      </c>
      <c r="H472" s="8" t="str">
        <f>TRIM('Raw Dataset'!H472)</f>
        <v>PT C</v>
      </c>
      <c r="J472" t="str">
        <v>OK</v>
      </c>
      <c r="K472" t="str">
        <v>OK</v>
      </c>
    </row>
    <row r="473" spans="1:11" ht="14.25" customHeight="1" x14ac:dyDescent="0.35">
      <c r="A473" s="8" t="s">
        <v>524</v>
      </c>
      <c r="B473" s="8" t="s">
        <v>12</v>
      </c>
      <c r="C473" s="8" t="s">
        <v>48</v>
      </c>
      <c r="D473" s="8" t="s">
        <v>602</v>
      </c>
      <c r="E473" s="14">
        <v>45266</v>
      </c>
      <c r="F473" s="14">
        <v>45425</v>
      </c>
      <c r="G473" s="10">
        <v>643095755</v>
      </c>
      <c r="H473" s="8" t="str">
        <f>TRIM('Raw Dataset'!H473)</f>
        <v>PT B</v>
      </c>
      <c r="J473" t="str">
        <v>OK</v>
      </c>
      <c r="K473" t="str">
        <v>OK</v>
      </c>
    </row>
    <row r="474" spans="1:11" ht="14.25" customHeight="1" x14ac:dyDescent="0.35">
      <c r="A474" s="8" t="s">
        <v>525</v>
      </c>
      <c r="B474" s="8" t="s">
        <v>12</v>
      </c>
      <c r="C474" s="8" t="s">
        <v>19</v>
      </c>
      <c r="D474" s="8" t="s">
        <v>631</v>
      </c>
      <c r="E474" s="14">
        <v>45268</v>
      </c>
      <c r="F474" s="14">
        <v>45476</v>
      </c>
      <c r="G474" s="10">
        <v>195287277</v>
      </c>
      <c r="H474" s="8" t="str">
        <f>TRIM('Raw Dataset'!H474)</f>
        <v>PT B</v>
      </c>
      <c r="J474" t="str">
        <v>OK</v>
      </c>
      <c r="K474" t="str">
        <v>OK</v>
      </c>
    </row>
    <row r="475" spans="1:11" ht="14.25" customHeight="1" x14ac:dyDescent="0.35">
      <c r="A475" s="8" t="s">
        <v>526</v>
      </c>
      <c r="B475" s="8" t="s">
        <v>18</v>
      </c>
      <c r="C475" s="8" t="s">
        <v>13</v>
      </c>
      <c r="D475" s="8" t="s">
        <v>580</v>
      </c>
      <c r="E475" s="14">
        <v>45268</v>
      </c>
      <c r="F475" s="14">
        <v>45413</v>
      </c>
      <c r="G475" s="10">
        <v>6786324237</v>
      </c>
      <c r="H475" s="8" t="str">
        <f>TRIM('Raw Dataset'!H475)</f>
        <v>PT. Yuniar Hakim Tbk</v>
      </c>
      <c r="J475" t="str">
        <v>OK</v>
      </c>
      <c r="K475" t="str">
        <v>OK</v>
      </c>
    </row>
    <row r="476" spans="1:11" ht="14.25" customHeight="1" x14ac:dyDescent="0.35">
      <c r="A476" s="8" t="s">
        <v>527</v>
      </c>
      <c r="B476" s="8" t="s">
        <v>35</v>
      </c>
      <c r="C476" s="8" t="s">
        <v>36</v>
      </c>
      <c r="D476" s="8" t="s">
        <v>37</v>
      </c>
      <c r="E476" s="14">
        <v>45269</v>
      </c>
      <c r="F476" s="14">
        <v>45594</v>
      </c>
      <c r="G476" s="10">
        <v>499105719</v>
      </c>
      <c r="H476" s="8" t="str">
        <f>TRIM('Raw Dataset'!H476)</f>
        <v>CV Sihombing</v>
      </c>
      <c r="J476" t="str">
        <v>OK</v>
      </c>
      <c r="K476" t="str">
        <v>OK</v>
      </c>
    </row>
    <row r="477" spans="1:11" ht="14.25" customHeight="1" x14ac:dyDescent="0.35">
      <c r="A477" s="8" t="s">
        <v>528</v>
      </c>
      <c r="B477" s="8" t="s">
        <v>35</v>
      </c>
      <c r="C477" s="8" t="s">
        <v>13</v>
      </c>
      <c r="D477" s="8" t="s">
        <v>78</v>
      </c>
      <c r="E477" s="14">
        <v>45271</v>
      </c>
      <c r="F477" s="14">
        <v>45311</v>
      </c>
      <c r="G477" s="10">
        <v>461111964</v>
      </c>
      <c r="H477" s="8" t="str">
        <f>TRIM('Raw Dataset'!H477)</f>
        <v>CV Sihombing</v>
      </c>
      <c r="J477" t="str">
        <v>OK</v>
      </c>
      <c r="K477" t="str">
        <v>OK</v>
      </c>
    </row>
    <row r="478" spans="1:11" ht="14.25" customHeight="1" x14ac:dyDescent="0.35">
      <c r="A478" s="8" t="s">
        <v>529</v>
      </c>
      <c r="B478" s="8" t="s">
        <v>60</v>
      </c>
      <c r="C478" s="8" t="s">
        <v>13</v>
      </c>
      <c r="D478" s="8" t="s">
        <v>619</v>
      </c>
      <c r="E478" s="14">
        <v>45272</v>
      </c>
      <c r="F478" s="14">
        <v>45481</v>
      </c>
      <c r="G478" s="10">
        <v>3310535255</v>
      </c>
      <c r="H478" s="8" t="str">
        <f>TRIM('Raw Dataset'!H478)</f>
        <v>PT. Lailasari Hariyah (Persero) Tbk</v>
      </c>
      <c r="J478" t="str">
        <v>OK</v>
      </c>
      <c r="K478" t="str">
        <v>OK</v>
      </c>
    </row>
    <row r="479" spans="1:11" ht="14.25" customHeight="1" x14ac:dyDescent="0.35">
      <c r="A479" s="8" t="s">
        <v>530</v>
      </c>
      <c r="B479" s="8" t="s">
        <v>18</v>
      </c>
      <c r="C479" s="8" t="s">
        <v>19</v>
      </c>
      <c r="D479" s="8" t="s">
        <v>633</v>
      </c>
      <c r="E479" s="14">
        <v>45272</v>
      </c>
      <c r="F479" s="14">
        <v>45553</v>
      </c>
      <c r="G479" s="10">
        <v>1639451183</v>
      </c>
      <c r="H479" s="8" t="str">
        <f>TRIM('Raw Dataset'!H479)</f>
        <v>PT D</v>
      </c>
      <c r="J479" t="str">
        <v>OK</v>
      </c>
      <c r="K479" t="str">
        <v>OK</v>
      </c>
    </row>
    <row r="480" spans="1:11" ht="14.25" customHeight="1" x14ac:dyDescent="0.35">
      <c r="A480" s="8" t="s">
        <v>531</v>
      </c>
      <c r="B480" s="8" t="s">
        <v>18</v>
      </c>
      <c r="C480" s="8" t="s">
        <v>19</v>
      </c>
      <c r="D480" s="8" t="s">
        <v>633</v>
      </c>
      <c r="E480" s="14">
        <v>45273</v>
      </c>
      <c r="F480" s="14">
        <v>45590</v>
      </c>
      <c r="G480" s="10">
        <v>2042593058</v>
      </c>
      <c r="H480" s="8" t="str">
        <f>TRIM('Raw Dataset'!H480)</f>
        <v>PT. Lailasari Hariyah (Persero) Tbk</v>
      </c>
      <c r="J480" t="str">
        <v>OK</v>
      </c>
      <c r="K480" t="str">
        <v>OK</v>
      </c>
    </row>
    <row r="481" spans="1:11" ht="14.25" customHeight="1" x14ac:dyDescent="0.35">
      <c r="A481" s="8" t="s">
        <v>532</v>
      </c>
      <c r="B481" s="8" t="s">
        <v>60</v>
      </c>
      <c r="C481" s="8" t="s">
        <v>48</v>
      </c>
      <c r="D481" s="8" t="s">
        <v>625</v>
      </c>
      <c r="E481" s="14">
        <v>45273</v>
      </c>
      <c r="F481" s="14">
        <v>45394</v>
      </c>
      <c r="G481" s="10">
        <v>2438226800</v>
      </c>
      <c r="H481" s="8" t="str">
        <f>TRIM('Raw Dataset'!H481)</f>
        <v>PT D</v>
      </c>
      <c r="J481" t="str">
        <v>OK</v>
      </c>
      <c r="K481" t="str">
        <v>OK</v>
      </c>
    </row>
    <row r="482" spans="1:11" ht="14.25" customHeight="1" x14ac:dyDescent="0.35">
      <c r="A482" s="8" t="s">
        <v>533</v>
      </c>
      <c r="B482" s="8" t="s">
        <v>35</v>
      </c>
      <c r="C482" s="8" t="s">
        <v>39</v>
      </c>
      <c r="D482" s="8" t="s">
        <v>145</v>
      </c>
      <c r="E482" s="14">
        <v>45273</v>
      </c>
      <c r="F482" s="14">
        <v>45524</v>
      </c>
      <c r="G482" s="10">
        <v>740887892</v>
      </c>
      <c r="H482" s="8" t="str">
        <f>TRIM('Raw Dataset'!H482)</f>
        <v/>
      </c>
      <c r="J482" t="str">
        <v>OK</v>
      </c>
      <c r="K482" t="str">
        <v>OK</v>
      </c>
    </row>
    <row r="483" spans="1:11" ht="14.25" customHeight="1" x14ac:dyDescent="0.35">
      <c r="A483" s="8" t="s">
        <v>534</v>
      </c>
      <c r="B483" s="8" t="s">
        <v>60</v>
      </c>
      <c r="C483" s="8" t="s">
        <v>24</v>
      </c>
      <c r="D483" s="8" t="s">
        <v>575</v>
      </c>
      <c r="E483" s="14">
        <v>45278</v>
      </c>
      <c r="F483" s="14">
        <v>45634</v>
      </c>
      <c r="G483" s="10">
        <v>3502390822</v>
      </c>
      <c r="H483" s="8" t="str">
        <f>TRIM('Raw Dataset'!H483)</f>
        <v/>
      </c>
      <c r="J483" t="str">
        <v>OK</v>
      </c>
      <c r="K483" t="str">
        <v>OK</v>
      </c>
    </row>
    <row r="484" spans="1:11" ht="14.25" customHeight="1" x14ac:dyDescent="0.35">
      <c r="A484" s="8" t="s">
        <v>535</v>
      </c>
      <c r="B484" s="8" t="s">
        <v>35</v>
      </c>
      <c r="C484" s="8" t="s">
        <v>48</v>
      </c>
      <c r="D484" s="8" t="s">
        <v>49</v>
      </c>
      <c r="E484" s="14">
        <v>45281</v>
      </c>
      <c r="F484" s="14">
        <v>45467</v>
      </c>
      <c r="G484" s="10">
        <v>633299430</v>
      </c>
      <c r="H484" s="8" t="str">
        <f>TRIM('Raw Dataset'!H484)</f>
        <v>PT. Yuniar Hakim Tbk</v>
      </c>
      <c r="J484" t="str">
        <v>OK</v>
      </c>
      <c r="K484" t="str">
        <v>OK</v>
      </c>
    </row>
    <row r="485" spans="1:11" ht="14.25" customHeight="1" x14ac:dyDescent="0.35">
      <c r="A485" s="8" t="s">
        <v>536</v>
      </c>
      <c r="B485" s="8" t="s">
        <v>35</v>
      </c>
      <c r="C485" s="8" t="s">
        <v>24</v>
      </c>
      <c r="D485" s="8" t="s">
        <v>133</v>
      </c>
      <c r="E485" s="14">
        <v>45282</v>
      </c>
      <c r="F485" s="14">
        <v>45595</v>
      </c>
      <c r="G485" s="10">
        <v>518578528</v>
      </c>
      <c r="H485" s="8" t="str">
        <f>TRIM('Raw Dataset'!H485)</f>
        <v>PT. Yuniar Hakim Tbk</v>
      </c>
      <c r="J485" t="str">
        <v>OK</v>
      </c>
      <c r="K485" t="str">
        <v>OK</v>
      </c>
    </row>
    <row r="486" spans="1:11" ht="14.25" customHeight="1" x14ac:dyDescent="0.35">
      <c r="A486" s="8" t="s">
        <v>537</v>
      </c>
      <c r="B486" s="8" t="s">
        <v>60</v>
      </c>
      <c r="C486" s="8" t="s">
        <v>19</v>
      </c>
      <c r="D486" s="8" t="s">
        <v>616</v>
      </c>
      <c r="E486" s="14">
        <v>45283</v>
      </c>
      <c r="F486" s="14">
        <v>45588</v>
      </c>
      <c r="G486" s="10">
        <v>2716743578</v>
      </c>
      <c r="H486" s="8" t="str">
        <f>TRIM('Raw Dataset'!H486)</f>
        <v>PT. Lailasari Hariyah (Persero) Tbk</v>
      </c>
      <c r="J486" t="str">
        <v>OK</v>
      </c>
      <c r="K486" t="str">
        <v>OK</v>
      </c>
    </row>
    <row r="487" spans="1:11" ht="14.25" customHeight="1" x14ac:dyDescent="0.35">
      <c r="A487" s="8" t="s">
        <v>538</v>
      </c>
      <c r="B487" s="8" t="s">
        <v>18</v>
      </c>
      <c r="C487" s="8" t="s">
        <v>36</v>
      </c>
      <c r="D487" s="8" t="s">
        <v>634</v>
      </c>
      <c r="E487" s="14">
        <v>45284</v>
      </c>
      <c r="F487" s="14">
        <v>45579</v>
      </c>
      <c r="G487" s="10">
        <v>3558366170</v>
      </c>
      <c r="H487" s="8" t="str">
        <f>TRIM('Raw Dataset'!H487)</f>
        <v>PT B</v>
      </c>
      <c r="J487" t="str">
        <v>OK</v>
      </c>
      <c r="K487" t="str">
        <v>OK</v>
      </c>
    </row>
    <row r="488" spans="1:11" ht="14.25" customHeight="1" x14ac:dyDescent="0.35">
      <c r="A488" s="8" t="s">
        <v>539</v>
      </c>
      <c r="B488" s="8" t="s">
        <v>60</v>
      </c>
      <c r="C488" s="8" t="s">
        <v>48</v>
      </c>
      <c r="D488" s="8" t="s">
        <v>625</v>
      </c>
      <c r="E488" s="14">
        <v>45284</v>
      </c>
      <c r="F488" s="14">
        <v>45473</v>
      </c>
      <c r="G488" s="10">
        <v>3504700319</v>
      </c>
      <c r="H488" s="8" t="str">
        <f>TRIM('Raw Dataset'!H488)</f>
        <v>PT A</v>
      </c>
      <c r="J488" t="str">
        <v>OK</v>
      </c>
      <c r="K488" t="str">
        <v>OK</v>
      </c>
    </row>
    <row r="489" spans="1:11" ht="14.25" customHeight="1" x14ac:dyDescent="0.35">
      <c r="A489" s="8" t="s">
        <v>540</v>
      </c>
      <c r="B489" s="8" t="s">
        <v>18</v>
      </c>
      <c r="C489" s="8" t="s">
        <v>36</v>
      </c>
      <c r="D489" s="8" t="s">
        <v>634</v>
      </c>
      <c r="E489" s="14">
        <v>45284</v>
      </c>
      <c r="F489" s="14">
        <v>45536</v>
      </c>
      <c r="G489" s="10">
        <v>8473123375</v>
      </c>
      <c r="H489" s="8" t="str">
        <f>TRIM('Raw Dataset'!H489)</f>
        <v>PT. Lailasari Hariyah (Persero) Tbk</v>
      </c>
      <c r="J489" t="str">
        <v>OK</v>
      </c>
      <c r="K489" t="str">
        <v>OK</v>
      </c>
    </row>
    <row r="490" spans="1:11" ht="14.25" customHeight="1" x14ac:dyDescent="0.35">
      <c r="A490" s="8" t="s">
        <v>541</v>
      </c>
      <c r="B490" s="8" t="s">
        <v>12</v>
      </c>
      <c r="C490" s="8" t="s">
        <v>48</v>
      </c>
      <c r="D490" s="8" t="s">
        <v>602</v>
      </c>
      <c r="E490" s="14">
        <v>45285</v>
      </c>
      <c r="F490" s="14">
        <v>45318</v>
      </c>
      <c r="G490" s="10">
        <v>407605972</v>
      </c>
      <c r="H490" s="8" t="str">
        <f>TRIM('Raw Dataset'!H490)</f>
        <v/>
      </c>
      <c r="J490" t="str">
        <v>OK</v>
      </c>
      <c r="K490" t="str">
        <v>OK</v>
      </c>
    </row>
    <row r="491" spans="1:11" ht="14.25" customHeight="1" x14ac:dyDescent="0.35">
      <c r="A491" s="8" t="s">
        <v>542</v>
      </c>
      <c r="B491" s="8" t="s">
        <v>60</v>
      </c>
      <c r="C491" s="8" t="s">
        <v>19</v>
      </c>
      <c r="D491" s="8" t="s">
        <v>635</v>
      </c>
      <c r="E491" s="14">
        <v>45285</v>
      </c>
      <c r="F491" s="14">
        <v>45567</v>
      </c>
      <c r="G491" s="10">
        <v>3697961455</v>
      </c>
      <c r="H491" s="8" t="str">
        <f>TRIM('Raw Dataset'!H491)</f>
        <v>PT D</v>
      </c>
      <c r="J491" t="str">
        <v>OK</v>
      </c>
      <c r="K491" t="str">
        <v>OK</v>
      </c>
    </row>
    <row r="492" spans="1:11" ht="14.25" customHeight="1" x14ac:dyDescent="0.35">
      <c r="A492" s="8" t="s">
        <v>543</v>
      </c>
      <c r="B492" s="8" t="s">
        <v>18</v>
      </c>
      <c r="C492" s="8" t="s">
        <v>42</v>
      </c>
      <c r="D492" s="8" t="s">
        <v>621</v>
      </c>
      <c r="E492" s="14">
        <v>45286</v>
      </c>
      <c r="F492" s="14">
        <v>45368</v>
      </c>
      <c r="G492" s="10">
        <v>9185210892</v>
      </c>
      <c r="H492" s="8" t="str">
        <f>TRIM('Raw Dataset'!H492)</f>
        <v>PT. Yuniar Hakim Tbk</v>
      </c>
      <c r="J492" t="str">
        <v>OK</v>
      </c>
      <c r="K492" t="str">
        <v>OK</v>
      </c>
    </row>
    <row r="493" spans="1:11" ht="14.25" customHeight="1" x14ac:dyDescent="0.35">
      <c r="A493" s="8" t="s">
        <v>544</v>
      </c>
      <c r="B493" s="8" t="s">
        <v>35</v>
      </c>
      <c r="C493" s="8" t="s">
        <v>13</v>
      </c>
      <c r="D493" s="8" t="s">
        <v>78</v>
      </c>
      <c r="E493" s="14">
        <v>45286</v>
      </c>
      <c r="F493" s="14">
        <v>45570</v>
      </c>
      <c r="G493" s="10">
        <v>577434070</v>
      </c>
      <c r="H493" s="8" t="str">
        <f>TRIM('Raw Dataset'!H493)</f>
        <v>PT D</v>
      </c>
      <c r="J493" t="str">
        <v>OK</v>
      </c>
      <c r="K493" t="str">
        <v>OK</v>
      </c>
    </row>
    <row r="494" spans="1:11" ht="14.25" customHeight="1" x14ac:dyDescent="0.35">
      <c r="A494" s="8" t="s">
        <v>545</v>
      </c>
      <c r="B494" s="8" t="s">
        <v>18</v>
      </c>
      <c r="C494" s="8" t="s">
        <v>31</v>
      </c>
      <c r="D494" s="8" t="s">
        <v>636</v>
      </c>
      <c r="E494" s="14">
        <v>45286</v>
      </c>
      <c r="F494" s="16">
        <v>45410</v>
      </c>
      <c r="G494" s="10">
        <v>9221677626</v>
      </c>
      <c r="H494" s="8" t="str">
        <f>TRIM('Raw Dataset'!H494)</f>
        <v>PT. Yuniar Hakim Tbk</v>
      </c>
      <c r="J494" t="str">
        <v>OK</v>
      </c>
      <c r="K494" t="str">
        <v>OK</v>
      </c>
    </row>
    <row r="495" spans="1:11" ht="14.25" customHeight="1" x14ac:dyDescent="0.35">
      <c r="A495" s="8" t="s">
        <v>546</v>
      </c>
      <c r="B495" s="8" t="s">
        <v>60</v>
      </c>
      <c r="C495" s="8" t="s">
        <v>31</v>
      </c>
      <c r="D495" s="8" t="s">
        <v>599</v>
      </c>
      <c r="E495" s="14">
        <v>45287</v>
      </c>
      <c r="F495" s="14">
        <v>45624</v>
      </c>
      <c r="G495" s="10">
        <v>4616485762</v>
      </c>
      <c r="H495" s="8" t="str">
        <f>TRIM('Raw Dataset'!H495)</f>
        <v>CV Sihombing</v>
      </c>
      <c r="J495" t="str">
        <v>OK</v>
      </c>
      <c r="K495" t="str">
        <v>OK</v>
      </c>
    </row>
    <row r="496" spans="1:11" ht="14.25" customHeight="1" x14ac:dyDescent="0.35">
      <c r="A496" s="8" t="s">
        <v>547</v>
      </c>
      <c r="B496" s="8" t="s">
        <v>18</v>
      </c>
      <c r="C496" s="8" t="s">
        <v>24</v>
      </c>
      <c r="D496" s="8" t="s">
        <v>618</v>
      </c>
      <c r="E496" s="14">
        <v>45287</v>
      </c>
      <c r="F496" s="14">
        <v>45343</v>
      </c>
      <c r="G496" s="10">
        <v>4101514487</v>
      </c>
      <c r="H496" s="8" t="str">
        <f>TRIM('Raw Dataset'!H496)</f>
        <v/>
      </c>
      <c r="J496" t="str">
        <v>OK</v>
      </c>
      <c r="K496" t="str">
        <v>OK</v>
      </c>
    </row>
    <row r="497" spans="1:11" ht="14.25" customHeight="1" x14ac:dyDescent="0.35">
      <c r="A497" s="8" t="s">
        <v>548</v>
      </c>
      <c r="B497" s="8" t="s">
        <v>35</v>
      </c>
      <c r="C497" s="8" t="s">
        <v>39</v>
      </c>
      <c r="D497" s="8" t="s">
        <v>145</v>
      </c>
      <c r="E497" s="14">
        <v>45289</v>
      </c>
      <c r="F497" s="14">
        <v>45611</v>
      </c>
      <c r="G497" s="10">
        <v>419613481</v>
      </c>
      <c r="H497" s="8" t="str">
        <f>TRIM('Raw Dataset'!H497)</f>
        <v>PT D</v>
      </c>
      <c r="J497" t="str">
        <v>OK</v>
      </c>
      <c r="K497" t="str">
        <v>OK</v>
      </c>
    </row>
    <row r="498" spans="1:11" ht="14.25" customHeight="1" x14ac:dyDescent="0.35">
      <c r="A498" s="8" t="s">
        <v>549</v>
      </c>
      <c r="B498" s="8" t="s">
        <v>35</v>
      </c>
      <c r="C498" s="8" t="s">
        <v>36</v>
      </c>
      <c r="D498" s="8" t="s">
        <v>37</v>
      </c>
      <c r="E498" s="14">
        <v>45289</v>
      </c>
      <c r="F498" s="14">
        <v>45346</v>
      </c>
      <c r="G498" s="10">
        <v>271658499</v>
      </c>
      <c r="H498" s="8" t="str">
        <f>TRIM('Raw Dataset'!H498)</f>
        <v>PT A</v>
      </c>
      <c r="J498" t="str">
        <v>OK</v>
      </c>
      <c r="K498" t="str">
        <v>OK</v>
      </c>
    </row>
    <row r="499" spans="1:11" ht="14.25" customHeight="1" x14ac:dyDescent="0.35">
      <c r="A499" s="8" t="s">
        <v>550</v>
      </c>
      <c r="B499" s="8" t="s">
        <v>60</v>
      </c>
      <c r="C499" s="8" t="s">
        <v>19</v>
      </c>
      <c r="D499" s="8" t="s">
        <v>616</v>
      </c>
      <c r="E499" s="14">
        <v>45290</v>
      </c>
      <c r="F499" s="14">
        <v>45461</v>
      </c>
      <c r="G499" s="10">
        <v>3282339654</v>
      </c>
      <c r="H499" s="8" t="str">
        <f>TRIM('Raw Dataset'!H499)</f>
        <v>PT B</v>
      </c>
      <c r="J499" t="str">
        <v>OK</v>
      </c>
      <c r="K499" t="str">
        <v>OK</v>
      </c>
    </row>
    <row r="500" spans="1:11" ht="14.25" customHeight="1" x14ac:dyDescent="0.35">
      <c r="A500" s="8" t="s">
        <v>551</v>
      </c>
      <c r="B500" s="8" t="s">
        <v>18</v>
      </c>
      <c r="C500" s="8" t="s">
        <v>48</v>
      </c>
      <c r="D500" s="8" t="s">
        <v>629</v>
      </c>
      <c r="E500" s="14">
        <v>45291</v>
      </c>
      <c r="F500" s="14">
        <v>45563</v>
      </c>
      <c r="G500" s="10">
        <v>2974669932</v>
      </c>
      <c r="H500" s="8" t="str">
        <f>TRIM('Raw Dataset'!H500)</f>
        <v>PT B</v>
      </c>
      <c r="J500" t="str">
        <v>OK</v>
      </c>
      <c r="K500" t="str">
        <v>OK</v>
      </c>
    </row>
    <row r="501" spans="1:11" ht="14.25" customHeight="1" x14ac:dyDescent="0.35">
      <c r="A501" s="8"/>
      <c r="B501" s="8"/>
      <c r="C501" s="8"/>
      <c r="D501" s="8"/>
      <c r="E501" s="9"/>
      <c r="F501" s="9"/>
      <c r="G501" s="10"/>
      <c r="H501" s="8"/>
    </row>
    <row r="502" spans="1:11" ht="14.25" customHeight="1" x14ac:dyDescent="0.35"/>
    <row r="503" spans="1:11" ht="14.25" customHeight="1" x14ac:dyDescent="0.35"/>
    <row r="504" spans="1:11" ht="14.25" customHeight="1" x14ac:dyDescent="0.35"/>
    <row r="505" spans="1:11" ht="14.25" customHeight="1" x14ac:dyDescent="0.35"/>
    <row r="506" spans="1:11" ht="14.25" customHeight="1" x14ac:dyDescent="0.35"/>
    <row r="507" spans="1:11" ht="14.25" customHeight="1" x14ac:dyDescent="0.35"/>
    <row r="508" spans="1:11" ht="14.25" customHeight="1" x14ac:dyDescent="0.35"/>
    <row r="509" spans="1:11" ht="14.25" customHeight="1" x14ac:dyDescent="0.35"/>
    <row r="510" spans="1:11" ht="14.25" customHeight="1" x14ac:dyDescent="0.35"/>
    <row r="511" spans="1:11" ht="14.25" customHeight="1" x14ac:dyDescent="0.35"/>
    <row r="512" spans="1:11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J1:K500" xr:uid="{209DACD5-6F99-4417-AF14-353C85ACA670}"/>
  <conditionalFormatting sqref="A1">
    <cfRule type="duplicateValues" dxfId="11" priority="3"/>
    <cfRule type="duplicateValues" dxfId="10" priority="4"/>
  </conditionalFormatting>
  <conditionalFormatting sqref="A2">
    <cfRule type="duplicateValues" dxfId="9" priority="2"/>
  </conditionalFormatting>
  <conditionalFormatting sqref="A2:A500">
    <cfRule type="duplicateValues" dxfId="8" priority="1"/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8277-F7B3-47D6-940E-82E9FE55185A}">
  <dimension ref="A1:X1000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501" sqref="J501"/>
    </sheetView>
  </sheetViews>
  <sheetFormatPr defaultColWidth="14.453125" defaultRowHeight="15" customHeight="1" x14ac:dyDescent="0.35"/>
  <cols>
    <col min="1" max="1" width="13.453125" customWidth="1"/>
    <col min="2" max="2" width="15.26953125" customWidth="1"/>
    <col min="3" max="3" width="11.36328125" customWidth="1"/>
    <col min="4" max="4" width="35.54296875" customWidth="1"/>
    <col min="5" max="5" width="16.54296875" customWidth="1"/>
    <col min="6" max="6" width="17.54296875" customWidth="1"/>
    <col min="7" max="7" width="16.54296875" customWidth="1"/>
    <col min="8" max="8" width="30.08984375" customWidth="1"/>
    <col min="9" max="9" width="17.08984375" customWidth="1"/>
    <col min="10" max="10" width="19.54296875" customWidth="1"/>
    <col min="11" max="11" width="13.7265625" customWidth="1"/>
    <col min="12" max="12" width="20.453125" customWidth="1"/>
    <col min="13" max="13" width="20.81640625" customWidth="1"/>
    <col min="14" max="14" width="21.81640625" customWidth="1"/>
    <col min="15" max="15" width="16.54296875" customWidth="1"/>
    <col min="16" max="16" width="17.7265625" customWidth="1"/>
    <col min="17" max="17" width="20.54296875" customWidth="1"/>
    <col min="18" max="18" width="18.08984375" customWidth="1"/>
    <col min="19" max="19" width="17.453125" customWidth="1"/>
    <col min="20" max="22" width="20.7265625" customWidth="1"/>
    <col min="23" max="23" width="21.7265625" customWidth="1"/>
    <col min="24" max="24" width="16.453125" customWidth="1"/>
  </cols>
  <sheetData>
    <row r="1" spans="1:2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5"/>
      <c r="J1" s="15"/>
      <c r="K1" s="15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8" t="s">
        <v>11</v>
      </c>
      <c r="B2" s="8" t="str">
        <f>IF(Table2[[#This Row],[Jenis_Proyek]]="", "Tidak Diketahui", Table2[[#This Row],[Jenis_Proyek]])</f>
        <v>Drainase</v>
      </c>
      <c r="C2" s="8" t="str">
        <f>IF(Table2[[#This Row],[Lokasi]]="", "Tidak Diketahui", Table2[[#This Row],[Lokasi]])</f>
        <v>Bandung</v>
      </c>
      <c r="D2" s="8" t="str">
        <f>IF(Table2[[#This Row],[Nama_Proyek]]="", "Tidak Diketahui", Table2[[#This Row],[Nama_Proyek]])</f>
        <v>Perbaikan Drainase Bandung</v>
      </c>
      <c r="E2" s="14">
        <v>44927</v>
      </c>
      <c r="F2" s="14">
        <v>44994</v>
      </c>
      <c r="G2" s="10">
        <v>649208256</v>
      </c>
      <c r="H2" s="8" t="str">
        <f>IF(Table2[[#This Row],[Kontraktor]]="", "Tidak Diketahui",Table2[[#This Row],[Kontraktor]])</f>
        <v>PT. Lailasari Hariyah (Persero) Tbk</v>
      </c>
      <c r="I2" s="11"/>
    </row>
    <row r="3" spans="1:24" ht="14.25" customHeight="1" x14ac:dyDescent="0.35">
      <c r="A3" s="8" t="s">
        <v>574</v>
      </c>
      <c r="B3" s="8" t="str">
        <f>IF(Table2[[#This Row],[Jenis_Proyek]]="", "Tidak Diketahui", Table2[[#This Row],[Jenis_Proyek]])</f>
        <v>Drainase</v>
      </c>
      <c r="C3" s="8" t="str">
        <f>IF(Table2[[#This Row],[Lokasi]]="", "Tidak Diketahui", Table2[[#This Row],[Lokasi]])</f>
        <v>Surabaya</v>
      </c>
      <c r="D3" s="8" t="str">
        <f>IF(Table2[[#This Row],[Nama_Proyek]]="", "Tidak Diketahui", Table2[[#This Row],[Nama_Proyek]])</f>
        <v>Perbaikan Drainase Surabaya</v>
      </c>
      <c r="E3" s="14">
        <v>45319</v>
      </c>
      <c r="F3" s="14">
        <v>45323</v>
      </c>
      <c r="G3" s="10">
        <v>326999652</v>
      </c>
      <c r="H3" s="8" t="str">
        <f>IF(Table2[[#This Row],[Kontraktor]]="", "Tidak Diketahui",Table2[[#This Row],[Kontraktor]])</f>
        <v>CV Sihombing</v>
      </c>
      <c r="I3" s="11"/>
    </row>
    <row r="4" spans="1:24" ht="14.25" customHeight="1" x14ac:dyDescent="0.35">
      <c r="A4" s="8" t="s">
        <v>17</v>
      </c>
      <c r="B4" s="8" t="str">
        <f>IF(Table2[[#This Row],[Jenis_Proyek]]="", "Tidak Diketahui", Table2[[#This Row],[Jenis_Proyek]])</f>
        <v>Flyover</v>
      </c>
      <c r="C4" s="8" t="str">
        <f>IF(Table2[[#This Row],[Lokasi]]="", "Tidak Diketahui", Table2[[#This Row],[Lokasi]])</f>
        <v>Depok</v>
      </c>
      <c r="D4" s="8" t="str">
        <f>IF(Table2[[#This Row],[Nama_Proyek]]="", "Tidak Diketahui", Table2[[#This Row],[Nama_Proyek]])</f>
        <v>Pembuatan Flyover Depok</v>
      </c>
      <c r="E4" s="14">
        <v>44927</v>
      </c>
      <c r="F4" s="14">
        <v>45062</v>
      </c>
      <c r="G4" s="10">
        <v>3474309188</v>
      </c>
      <c r="H4" s="8" t="str">
        <f>IF(Table2[[#This Row],[Kontraktor]]="", "Tidak Diketahui",Table2[[#This Row],[Kontraktor]])</f>
        <v>CV Sihombing</v>
      </c>
      <c r="I4" s="11"/>
    </row>
    <row r="5" spans="1:24" ht="14.25" customHeight="1" x14ac:dyDescent="0.35">
      <c r="A5" s="8" t="s">
        <v>576</v>
      </c>
      <c r="B5" s="8" t="str">
        <f>IF(Table2[[#This Row],[Jenis_Proyek]]="", "Tidak Diketahui", Table2[[#This Row],[Jenis_Proyek]])</f>
        <v>Gedung</v>
      </c>
      <c r="C5" s="8" t="str">
        <f>IF(Table2[[#This Row],[Lokasi]]="", "Tidak Diketahui", Table2[[#This Row],[Lokasi]])</f>
        <v>Jakarta</v>
      </c>
      <c r="D5" s="8" t="str">
        <f>IF(Table2[[#This Row],[Nama_Proyek]]="", "Tidak Diketahui", Table2[[#This Row],[Nama_Proyek]])</f>
        <v>Perbaikan Gedung Pemerintah Jakarta</v>
      </c>
      <c r="E5" s="14">
        <v>45320</v>
      </c>
      <c r="F5" s="14">
        <v>45336</v>
      </c>
      <c r="G5" s="10">
        <v>8587951510</v>
      </c>
      <c r="H5" s="8" t="str">
        <f>IF(Table2[[#This Row],[Kontraktor]]="", "Tidak Diketahui",Table2[[#This Row],[Kontraktor]])</f>
        <v>CV Sihombing</v>
      </c>
      <c r="I5" s="11"/>
    </row>
    <row r="6" spans="1:24" ht="14.25" customHeight="1" x14ac:dyDescent="0.35">
      <c r="A6" s="8" t="s">
        <v>23</v>
      </c>
      <c r="B6" s="8" t="str">
        <f>IF(Table2[[#This Row],[Jenis_Proyek]]="", "Tidak Diketahui", Table2[[#This Row],[Jenis_Proyek]])</f>
        <v>Jalan Raya</v>
      </c>
      <c r="C6" s="8" t="str">
        <f>IF(Table2[[#This Row],[Lokasi]]="", "Tidak Diketahui", Table2[[#This Row],[Lokasi]])</f>
        <v>Bandung</v>
      </c>
      <c r="D6" s="8" t="str">
        <f>IF(Table2[[#This Row],[Nama_Proyek]]="", "Tidak Diketahui", Table2[[#This Row],[Nama_Proyek]])</f>
        <v>Perbaikan Jalan Raya Bandung</v>
      </c>
      <c r="E6" s="14">
        <v>44928</v>
      </c>
      <c r="F6" s="14">
        <v>45239</v>
      </c>
      <c r="G6" s="10">
        <v>191505827</v>
      </c>
      <c r="H6" s="8" t="str">
        <f>IF(Table2[[#This Row],[Kontraktor]]="", "Tidak Diketahui",Table2[[#This Row],[Kontraktor]])</f>
        <v>Tidak Diketahui</v>
      </c>
      <c r="I6" s="11"/>
    </row>
    <row r="7" spans="1:24" ht="14.25" customHeight="1" x14ac:dyDescent="0.35">
      <c r="A7" s="8" t="s">
        <v>579</v>
      </c>
      <c r="B7" s="8" t="str">
        <f>IF(Table2[[#This Row],[Jenis_Proyek]]="", "Tidak Diketahui", Table2[[#This Row],[Jenis_Proyek]])</f>
        <v>Gedung</v>
      </c>
      <c r="C7" s="8" t="str">
        <f>IF(Table2[[#This Row],[Lokasi]]="", "Tidak Diketahui", Table2[[#This Row],[Lokasi]])</f>
        <v>Tomohon</v>
      </c>
      <c r="D7" s="8" t="str">
        <f>IF(Table2[[#This Row],[Nama_Proyek]]="", "Tidak Diketahui", Table2[[#This Row],[Nama_Proyek]])</f>
        <v>Perbaikan Gedung Pemerintah Tomohon</v>
      </c>
      <c r="E7" s="14">
        <v>45323</v>
      </c>
      <c r="F7" s="14">
        <v>45343</v>
      </c>
      <c r="G7" s="10">
        <v>8016851785</v>
      </c>
      <c r="H7" s="8" t="str">
        <f>IF(Table2[[#This Row],[Kontraktor]]="", "Tidak Diketahui",Table2[[#This Row],[Kontraktor]])</f>
        <v>PT. Yuniar Hakim Tbk</v>
      </c>
      <c r="I7" s="11"/>
    </row>
    <row r="8" spans="1:24" ht="14.25" customHeight="1" x14ac:dyDescent="0.35">
      <c r="A8" s="8" t="s">
        <v>27</v>
      </c>
      <c r="B8" s="8" t="str">
        <f>IF(Table2[[#This Row],[Jenis_Proyek]]="", "Tidak Diketahui", Table2[[#This Row],[Jenis_Proyek]])</f>
        <v>Flyover</v>
      </c>
      <c r="C8" s="8" t="str">
        <f>IF(Table2[[#This Row],[Lokasi]]="", "Tidak Diketahui", Table2[[#This Row],[Lokasi]])</f>
        <v>Tomohon</v>
      </c>
      <c r="D8" s="8" t="str">
        <f>IF(Table2[[#This Row],[Nama_Proyek]]="", "Tidak Diketahui", Table2[[#This Row],[Nama_Proyek]])</f>
        <v>Pembuatan Flyover Tomohon</v>
      </c>
      <c r="E8" s="14">
        <v>44928</v>
      </c>
      <c r="F8" s="14">
        <v>45006</v>
      </c>
      <c r="G8" s="10">
        <v>3979021821</v>
      </c>
      <c r="H8" s="8" t="str">
        <f>IF(Table2[[#This Row],[Kontraktor]]="", "Tidak Diketahui",Table2[[#This Row],[Kontraktor]])</f>
        <v>PT D</v>
      </c>
      <c r="I8" s="11"/>
    </row>
    <row r="9" spans="1:24" ht="14.25" customHeight="1" x14ac:dyDescent="0.35">
      <c r="A9" s="8" t="s">
        <v>583</v>
      </c>
      <c r="B9" s="8" t="str">
        <f>IF(Table2[[#This Row],[Jenis_Proyek]]="", "Tidak Diketahui", Table2[[#This Row],[Jenis_Proyek]])</f>
        <v>Gedung</v>
      </c>
      <c r="C9" s="8" t="str">
        <f>IF(Table2[[#This Row],[Lokasi]]="", "Tidak Diketahui", Table2[[#This Row],[Lokasi]])</f>
        <v>Jakarta</v>
      </c>
      <c r="D9" s="8" t="str">
        <f>IF(Table2[[#This Row],[Nama_Proyek]]="", "Tidak Diketahui", Table2[[#This Row],[Nama_Proyek]])</f>
        <v>Perbaikan Gedung Pemerintah Jakarta</v>
      </c>
      <c r="E9" s="14">
        <v>45325</v>
      </c>
      <c r="F9" s="14">
        <v>45342</v>
      </c>
      <c r="G9" s="10">
        <v>2153093275</v>
      </c>
      <c r="H9" s="8" t="str">
        <f>IF(Table2[[#This Row],[Kontraktor]]="", "Tidak Diketahui",Table2[[#This Row],[Kontraktor]])</f>
        <v>PT. Yuniar Hakim Tbk</v>
      </c>
      <c r="I9" s="11"/>
    </row>
    <row r="10" spans="1:24" ht="14.25" customHeight="1" x14ac:dyDescent="0.35">
      <c r="A10" s="8" t="s">
        <v>29</v>
      </c>
      <c r="B10" s="8" t="str">
        <f>IF(Table2[[#This Row],[Jenis_Proyek]]="", "Tidak Diketahui", Table2[[#This Row],[Jenis_Proyek]])</f>
        <v>Drainase</v>
      </c>
      <c r="C10" s="8" t="str">
        <f>IF(Table2[[#This Row],[Lokasi]]="", "Tidak Diketahui", Table2[[#This Row],[Lokasi]])</f>
        <v>Jakarta</v>
      </c>
      <c r="D10" s="8" t="str">
        <f>IF(Table2[[#This Row],[Nama_Proyek]]="", "Tidak Diketahui", Table2[[#This Row],[Nama_Proyek]])</f>
        <v>Perbaikan Drainase Jakarta</v>
      </c>
      <c r="E10" s="14">
        <v>44928</v>
      </c>
      <c r="F10" s="14">
        <v>45271</v>
      </c>
      <c r="G10" s="10">
        <v>683556997</v>
      </c>
      <c r="H10" s="8" t="str">
        <f>IF(Table2[[#This Row],[Kontraktor]]="", "Tidak Diketahui",Table2[[#This Row],[Kontraktor]])</f>
        <v>PT A</v>
      </c>
      <c r="I10" s="11"/>
    </row>
    <row r="11" spans="1:24" ht="14.25" customHeight="1" x14ac:dyDescent="0.35">
      <c r="A11" s="8" t="s">
        <v>584</v>
      </c>
      <c r="B11" s="8" t="str">
        <f>IF(Table2[[#This Row],[Jenis_Proyek]]="", "Tidak Diketahui", Table2[[#This Row],[Jenis_Proyek]])</f>
        <v>Jembatan</v>
      </c>
      <c r="C11" s="8" t="str">
        <f>IF(Table2[[#This Row],[Lokasi]]="", "Tidak Diketahui", Table2[[#This Row],[Lokasi]])</f>
        <v>Bau-Bau</v>
      </c>
      <c r="D11" s="8" t="str">
        <f>IF(Table2[[#This Row],[Nama_Proyek]]="", "Tidak Diketahui", Table2[[#This Row],[Nama_Proyek]])</f>
        <v>Perbaikan Jembatan Bau-Bau</v>
      </c>
      <c r="E11" s="14">
        <v>45327</v>
      </c>
      <c r="F11" s="14">
        <v>45353</v>
      </c>
      <c r="G11" s="10">
        <v>4636324090</v>
      </c>
      <c r="H11" s="8" t="str">
        <f>IF(Table2[[#This Row],[Kontraktor]]="", "Tidak Diketahui",Table2[[#This Row],[Kontraktor]])</f>
        <v>PT. Lailasari Hariyah (Persero) Tbk</v>
      </c>
      <c r="I11" s="11"/>
    </row>
    <row r="12" spans="1:24" ht="14.25" customHeight="1" x14ac:dyDescent="0.35">
      <c r="A12" s="8" t="s">
        <v>34</v>
      </c>
      <c r="B12" s="8" t="str">
        <f>IF(Table2[[#This Row],[Jenis_Proyek]]="", "Tidak Diketahui", Table2[[#This Row],[Jenis_Proyek]])</f>
        <v>Drainase</v>
      </c>
      <c r="C12" s="8" t="str">
        <f>IF(Table2[[#This Row],[Lokasi]]="", "Tidak Diketahui", Table2[[#This Row],[Lokasi]])</f>
        <v>Tomohon</v>
      </c>
      <c r="D12" s="8" t="str">
        <f>IF(Table2[[#This Row],[Nama_Proyek]]="", "Tidak Diketahui", Table2[[#This Row],[Nama_Proyek]])</f>
        <v>Perbaikan Drainase Tomohon</v>
      </c>
      <c r="E12" s="14">
        <v>44929</v>
      </c>
      <c r="F12" s="14">
        <v>45230</v>
      </c>
      <c r="G12" s="10">
        <v>663835414</v>
      </c>
      <c r="H12" s="8" t="str">
        <f>IF(Table2[[#This Row],[Kontraktor]]="", "Tidak Diketahui",Table2[[#This Row],[Kontraktor]])</f>
        <v>PT B</v>
      </c>
      <c r="I12" s="11"/>
    </row>
    <row r="13" spans="1:24" ht="14.25" customHeight="1" x14ac:dyDescent="0.35">
      <c r="A13" s="8" t="s">
        <v>586</v>
      </c>
      <c r="B13" s="8" t="str">
        <f>IF(Table2[[#This Row],[Jenis_Proyek]]="", "Tidak Diketahui", Table2[[#This Row],[Jenis_Proyek]])</f>
        <v>Drainase</v>
      </c>
      <c r="C13" s="8" t="str">
        <f>IF(Table2[[#This Row],[Lokasi]]="", "Tidak Diketahui", Table2[[#This Row],[Lokasi]])</f>
        <v>Bandung</v>
      </c>
      <c r="D13" s="8" t="str">
        <f>IF(Table2[[#This Row],[Nama_Proyek]]="", "Tidak Diketahui", Table2[[#This Row],[Nama_Proyek]])</f>
        <v>Perbaikan Drainase Bandung</v>
      </c>
      <c r="E13" s="14">
        <v>45329</v>
      </c>
      <c r="F13" s="14">
        <v>45360</v>
      </c>
      <c r="G13" s="10">
        <v>698540517</v>
      </c>
      <c r="H13" s="8" t="str">
        <f>IF(Table2[[#This Row],[Kontraktor]]="", "Tidak Diketahui",Table2[[#This Row],[Kontraktor]])</f>
        <v>PT A</v>
      </c>
      <c r="I13" s="11"/>
    </row>
    <row r="14" spans="1:24" ht="14.25" customHeight="1" x14ac:dyDescent="0.35">
      <c r="A14" s="8" t="s">
        <v>38</v>
      </c>
      <c r="B14" s="8" t="str">
        <f>IF(Table2[[#This Row],[Jenis_Proyek]]="", "Tidak Diketahui", Table2[[#This Row],[Jenis_Proyek]])</f>
        <v>Flyover</v>
      </c>
      <c r="C14" s="8" t="str">
        <f>IF(Table2[[#This Row],[Lokasi]]="", "Tidak Diketahui", Table2[[#This Row],[Lokasi]])</f>
        <v>Medan</v>
      </c>
      <c r="D14" s="8" t="str">
        <f>IF(Table2[[#This Row],[Nama_Proyek]]="", "Tidak Diketahui", Table2[[#This Row],[Nama_Proyek]])</f>
        <v>Pembuatan Flyover Medan</v>
      </c>
      <c r="E14" s="14">
        <v>44929</v>
      </c>
      <c r="F14" s="14">
        <v>45261</v>
      </c>
      <c r="G14" s="10">
        <v>2423693734</v>
      </c>
      <c r="H14" s="8" t="str">
        <f>IF(Table2[[#This Row],[Kontraktor]]="", "Tidak Diketahui",Table2[[#This Row],[Kontraktor]])</f>
        <v>PT D</v>
      </c>
      <c r="I14" s="11"/>
    </row>
    <row r="15" spans="1:24" ht="14.25" customHeight="1" x14ac:dyDescent="0.35">
      <c r="A15" s="8" t="s">
        <v>588</v>
      </c>
      <c r="B15" s="8" t="str">
        <f>IF(Table2[[#This Row],[Jenis_Proyek]]="", "Tidak Diketahui", Table2[[#This Row],[Jenis_Proyek]])</f>
        <v>Drainase</v>
      </c>
      <c r="C15" s="8" t="str">
        <f>IF(Table2[[#This Row],[Lokasi]]="", "Tidak Diketahui", Table2[[#This Row],[Lokasi]])</f>
        <v>Depok</v>
      </c>
      <c r="D15" s="8" t="str">
        <f>IF(Table2[[#This Row],[Nama_Proyek]]="", "Tidak Diketahui", Table2[[#This Row],[Nama_Proyek]])</f>
        <v>Perbaikan Drainase Depok</v>
      </c>
      <c r="E15" s="14">
        <v>45330</v>
      </c>
      <c r="F15" s="14">
        <v>45337</v>
      </c>
      <c r="G15" s="10">
        <v>313131839</v>
      </c>
      <c r="H15" s="8" t="str">
        <f>IF(Table2[[#This Row],[Kontraktor]]="", "Tidak Diketahui",Table2[[#This Row],[Kontraktor]])</f>
        <v>PT D</v>
      </c>
      <c r="I15" s="11"/>
    </row>
    <row r="16" spans="1:24" ht="14.25" customHeight="1" x14ac:dyDescent="0.35">
      <c r="A16" s="8" t="s">
        <v>41</v>
      </c>
      <c r="B16" s="8" t="str">
        <f>IF(Table2[[#This Row],[Jenis_Proyek]]="", "Tidak Diketahui", Table2[[#This Row],[Jenis_Proyek]])</f>
        <v>Jalan Raya</v>
      </c>
      <c r="C16" s="8" t="str">
        <f>IF(Table2[[#This Row],[Lokasi]]="", "Tidak Diketahui", Table2[[#This Row],[Lokasi]])</f>
        <v>Bandung</v>
      </c>
      <c r="D16" s="8" t="str">
        <f>IF(Table2[[#This Row],[Nama_Proyek]]="", "Tidak Diketahui", Table2[[#This Row],[Nama_Proyek]])</f>
        <v>Perbaikan Jalan Raya Bandung</v>
      </c>
      <c r="E16" s="14">
        <v>44929</v>
      </c>
      <c r="F16" s="14">
        <v>45041</v>
      </c>
      <c r="G16" s="10">
        <v>281077623</v>
      </c>
      <c r="H16" s="8" t="str">
        <f>IF(Table2[[#This Row],[Kontraktor]]="", "Tidak Diketahui",Table2[[#This Row],[Kontraktor]])</f>
        <v>PT. Yuniar Hakim Tbk</v>
      </c>
      <c r="I16" s="11"/>
    </row>
    <row r="17" spans="1:9" ht="14.25" customHeight="1" x14ac:dyDescent="0.35">
      <c r="A17" s="8" t="s">
        <v>589</v>
      </c>
      <c r="B17" s="8" t="str">
        <f>IF(Table2[[#This Row],[Jenis_Proyek]]="", "Tidak Diketahui", Table2[[#This Row],[Jenis_Proyek]])</f>
        <v>Jembatan</v>
      </c>
      <c r="C17" s="8" t="str">
        <f>IF(Table2[[#This Row],[Lokasi]]="", "Tidak Diketahui", Table2[[#This Row],[Lokasi]])</f>
        <v>Jakarta</v>
      </c>
      <c r="D17" s="8" t="str">
        <f>IF(Table2[[#This Row],[Nama_Proyek]]="", "Tidak Diketahui", Table2[[#This Row],[Nama_Proyek]])</f>
        <v>Pembuatan Jembatan Jakarta</v>
      </c>
      <c r="E17" s="14">
        <v>45330</v>
      </c>
      <c r="F17" s="14">
        <v>45386</v>
      </c>
      <c r="G17" s="10">
        <v>921085536</v>
      </c>
      <c r="H17" s="8" t="str">
        <f>IF(Table2[[#This Row],[Kontraktor]]="", "Tidak Diketahui",Table2[[#This Row],[Kontraktor]])</f>
        <v>PT B</v>
      </c>
      <c r="I17" s="11"/>
    </row>
    <row r="18" spans="1:9" ht="14.25" customHeight="1" x14ac:dyDescent="0.35">
      <c r="A18" s="8" t="s">
        <v>45</v>
      </c>
      <c r="B18" s="8" t="str">
        <f>IF(Table2[[#This Row],[Jenis_Proyek]]="", "Tidak Diketahui", Table2[[#This Row],[Jenis_Proyek]])</f>
        <v>Jalan Raya</v>
      </c>
      <c r="C18" s="8" t="str">
        <f>IF(Table2[[#This Row],[Lokasi]]="", "Tidak Diketahui", Table2[[#This Row],[Lokasi]])</f>
        <v>Jakarta</v>
      </c>
      <c r="D18" s="8" t="str">
        <f>IF(Table2[[#This Row],[Nama_Proyek]]="", "Tidak Diketahui", Table2[[#This Row],[Nama_Proyek]])</f>
        <v>Perbaikan Jalan Raya Jakarta</v>
      </c>
      <c r="E18" s="14">
        <v>44930</v>
      </c>
      <c r="F18" s="14">
        <v>45182</v>
      </c>
      <c r="G18" s="10">
        <v>241214887</v>
      </c>
      <c r="H18" s="8" t="str">
        <f>IF(Table2[[#This Row],[Kontraktor]]="", "Tidak Diketahui",Table2[[#This Row],[Kontraktor]])</f>
        <v>PT B</v>
      </c>
      <c r="I18" s="11"/>
    </row>
    <row r="19" spans="1:9" ht="14.25" customHeight="1" x14ac:dyDescent="0.35">
      <c r="A19" s="8" t="s">
        <v>592</v>
      </c>
      <c r="B19" s="8" t="str">
        <f>IF(Table2[[#This Row],[Jenis_Proyek]]="", "Tidak Diketahui", Table2[[#This Row],[Jenis_Proyek]])</f>
        <v>Drainase</v>
      </c>
      <c r="C19" s="8" t="str">
        <f>IF(Table2[[#This Row],[Lokasi]]="", "Tidak Diketahui", Table2[[#This Row],[Lokasi]])</f>
        <v>Bandung</v>
      </c>
      <c r="D19" s="8" t="str">
        <f>IF(Table2[[#This Row],[Nama_Proyek]]="", "Tidak Diketahui", Table2[[#This Row],[Nama_Proyek]])</f>
        <v>Perbaikan Drainase Bandung</v>
      </c>
      <c r="E19" s="14">
        <v>45334</v>
      </c>
      <c r="F19" s="14">
        <v>45351</v>
      </c>
      <c r="G19" s="10">
        <v>425861681</v>
      </c>
      <c r="H19" s="8" t="str">
        <f>IF(Table2[[#This Row],[Kontraktor]]="", "Tidak Diketahui",Table2[[#This Row],[Kontraktor]])</f>
        <v>PT D</v>
      </c>
      <c r="I19" s="11"/>
    </row>
    <row r="20" spans="1:9" ht="14.25" customHeight="1" x14ac:dyDescent="0.35">
      <c r="A20" s="8" t="s">
        <v>47</v>
      </c>
      <c r="B20" s="8" t="str">
        <f>IF(Table2[[#This Row],[Jenis_Proyek]]="", "Tidak Diketahui", Table2[[#This Row],[Jenis_Proyek]])</f>
        <v>Jalan Raya</v>
      </c>
      <c r="C20" s="8" t="str">
        <f>IF(Table2[[#This Row],[Lokasi]]="", "Tidak Diketahui", Table2[[#This Row],[Lokasi]])</f>
        <v>Bau-Bau</v>
      </c>
      <c r="D20" s="8" t="str">
        <f>IF(Table2[[#This Row],[Nama_Proyek]]="", "Tidak Diketahui", Table2[[#This Row],[Nama_Proyek]])</f>
        <v>Perbaikan Jalan Raya Bau-Bau</v>
      </c>
      <c r="E20" s="14">
        <v>44930</v>
      </c>
      <c r="F20" s="14">
        <v>45244</v>
      </c>
      <c r="G20" s="10">
        <v>749126801</v>
      </c>
      <c r="H20" s="8" t="str">
        <f>IF(Table2[[#This Row],[Kontraktor]]="", "Tidak Diketahui",Table2[[#This Row],[Kontraktor]])</f>
        <v>PT. Lailasari Hariyah (Persero) Tbk</v>
      </c>
      <c r="I20" s="11"/>
    </row>
    <row r="21" spans="1:9" ht="14.25" customHeight="1" x14ac:dyDescent="0.35">
      <c r="A21" s="8" t="s">
        <v>594</v>
      </c>
      <c r="B21" s="8" t="str">
        <f>IF(Table2[[#This Row],[Jenis_Proyek]]="", "Tidak Diketahui", Table2[[#This Row],[Jenis_Proyek]])</f>
        <v>Jembatan</v>
      </c>
      <c r="C21" s="8" t="str">
        <f>IF(Table2[[#This Row],[Lokasi]]="", "Tidak Diketahui", Table2[[#This Row],[Lokasi]])</f>
        <v>Bau-Bau</v>
      </c>
      <c r="D21" s="8" t="str">
        <f>IF(Table2[[#This Row],[Nama_Proyek]]="", "Tidak Diketahui", Table2[[#This Row],[Nama_Proyek]])</f>
        <v>Pembuatan Jembatan Bau-Bau</v>
      </c>
      <c r="E21" s="14">
        <v>45335</v>
      </c>
      <c r="F21" s="14">
        <v>45386</v>
      </c>
      <c r="G21" s="10">
        <v>6584342537</v>
      </c>
      <c r="H21" s="8" t="str">
        <f>IF(Table2[[#This Row],[Kontraktor]]="", "Tidak Diketahui",Table2[[#This Row],[Kontraktor]])</f>
        <v>PT. Yuniar Hakim Tbk</v>
      </c>
      <c r="I21" s="11"/>
    </row>
    <row r="22" spans="1:9" ht="14.25" customHeight="1" x14ac:dyDescent="0.35">
      <c r="A22" s="8" t="s">
        <v>51</v>
      </c>
      <c r="B22" s="8" t="str">
        <f>IF(Table2[[#This Row],[Jenis_Proyek]]="", "Tidak Diketahui", Table2[[#This Row],[Jenis_Proyek]])</f>
        <v>Drainase</v>
      </c>
      <c r="C22" s="8" t="str">
        <f>IF(Table2[[#This Row],[Lokasi]]="", "Tidak Diketahui", Table2[[#This Row],[Lokasi]])</f>
        <v>Depok</v>
      </c>
      <c r="D22" s="8" t="str">
        <f>IF(Table2[[#This Row],[Nama_Proyek]]="", "Tidak Diketahui", Table2[[#This Row],[Nama_Proyek]])</f>
        <v>Perbaikan Drainase Depok</v>
      </c>
      <c r="E22" s="14">
        <v>44931</v>
      </c>
      <c r="F22" s="14">
        <v>44968</v>
      </c>
      <c r="G22" s="10">
        <v>536495065</v>
      </c>
      <c r="H22" s="8" t="str">
        <f>IF(Table2[[#This Row],[Kontraktor]]="", "Tidak Diketahui",Table2[[#This Row],[Kontraktor]])</f>
        <v>CV Sihombing</v>
      </c>
      <c r="I22" s="11"/>
    </row>
    <row r="23" spans="1:9" ht="14.25" customHeight="1" x14ac:dyDescent="0.35">
      <c r="A23" s="8" t="s">
        <v>596</v>
      </c>
      <c r="B23" s="8" t="str">
        <f>IF(Table2[[#This Row],[Jenis_Proyek]]="", "Tidak Diketahui", Table2[[#This Row],[Jenis_Proyek]])</f>
        <v>Flyover</v>
      </c>
      <c r="C23" s="8" t="str">
        <f>IF(Table2[[#This Row],[Lokasi]]="", "Tidak Diketahui", Table2[[#This Row],[Lokasi]])</f>
        <v>Bandung</v>
      </c>
      <c r="D23" s="8" t="str">
        <f>IF(Table2[[#This Row],[Nama_Proyek]]="", "Tidak Diketahui", Table2[[#This Row],[Nama_Proyek]])</f>
        <v>Pembuatan Flyover Bandung</v>
      </c>
      <c r="E23" s="14">
        <v>45336</v>
      </c>
      <c r="F23" s="14">
        <v>45336</v>
      </c>
      <c r="G23" s="10">
        <v>3981092285</v>
      </c>
      <c r="H23" s="8" t="str">
        <f>IF(Table2[[#This Row],[Kontraktor]]="", "Tidak Diketahui",Table2[[#This Row],[Kontraktor]])</f>
        <v>PT D</v>
      </c>
      <c r="I23" s="11"/>
    </row>
    <row r="24" spans="1:9" ht="14.25" customHeight="1" x14ac:dyDescent="0.35">
      <c r="A24" s="8" t="s">
        <v>52</v>
      </c>
      <c r="B24" s="8" t="str">
        <f>IF(Table2[[#This Row],[Jenis_Proyek]]="", "Tidak Diketahui", Table2[[#This Row],[Jenis_Proyek]])</f>
        <v>Drainase</v>
      </c>
      <c r="C24" s="8" t="str">
        <f>IF(Table2[[#This Row],[Lokasi]]="", "Tidak Diketahui", Table2[[#This Row],[Lokasi]])</f>
        <v>Medan</v>
      </c>
      <c r="D24" s="8" t="str">
        <f>IF(Table2[[#This Row],[Nama_Proyek]]="", "Tidak Diketahui", Table2[[#This Row],[Nama_Proyek]])</f>
        <v>Perbaikan Drainase Medan</v>
      </c>
      <c r="E24" s="14">
        <v>44932</v>
      </c>
      <c r="F24" s="14">
        <v>45108</v>
      </c>
      <c r="G24" s="10">
        <v>341629572</v>
      </c>
      <c r="H24" s="8" t="str">
        <f>IF(Table2[[#This Row],[Kontraktor]]="", "Tidak Diketahui",Table2[[#This Row],[Kontraktor]])</f>
        <v>CV Sihombing</v>
      </c>
      <c r="I24" s="11"/>
    </row>
    <row r="25" spans="1:9" ht="14.25" customHeight="1" x14ac:dyDescent="0.35">
      <c r="A25" s="8" t="s">
        <v>598</v>
      </c>
      <c r="B25" s="8" t="str">
        <f>IF(Table2[[#This Row],[Jenis_Proyek]]="", "Tidak Diketahui", Table2[[#This Row],[Jenis_Proyek]])</f>
        <v>Drainase</v>
      </c>
      <c r="C25" s="8" t="str">
        <f>IF(Table2[[#This Row],[Lokasi]]="", "Tidak Diketahui", Table2[[#This Row],[Lokasi]])</f>
        <v>Tomohon</v>
      </c>
      <c r="D25" s="8" t="str">
        <f>IF(Table2[[#This Row],[Nama_Proyek]]="", "Tidak Diketahui", Table2[[#This Row],[Nama_Proyek]])</f>
        <v>Perbaikan Drainase Tomohon</v>
      </c>
      <c r="E25" s="14">
        <v>45337</v>
      </c>
      <c r="F25" s="14">
        <v>45342</v>
      </c>
      <c r="G25" s="10">
        <v>603837273</v>
      </c>
      <c r="H25" s="8" t="str">
        <f>IF(Table2[[#This Row],[Kontraktor]]="", "Tidak Diketahui",Table2[[#This Row],[Kontraktor]])</f>
        <v>PT B</v>
      </c>
      <c r="I25" s="11"/>
    </row>
    <row r="26" spans="1:9" ht="14.25" customHeight="1" x14ac:dyDescent="0.35">
      <c r="A26" s="8" t="s">
        <v>54</v>
      </c>
      <c r="B26" s="8" t="str">
        <f>IF(Table2[[#This Row],[Jenis_Proyek]]="", "Tidak Diketahui", Table2[[#This Row],[Jenis_Proyek]])</f>
        <v>Flyover</v>
      </c>
      <c r="C26" s="8" t="str">
        <f>IF(Table2[[#This Row],[Lokasi]]="", "Tidak Diketahui", Table2[[#This Row],[Lokasi]])</f>
        <v>Bau-Bau</v>
      </c>
      <c r="D26" s="8" t="str">
        <f>IF(Table2[[#This Row],[Nama_Proyek]]="", "Tidak Diketahui", Table2[[#This Row],[Nama_Proyek]])</f>
        <v>Pembuatan Flyover Bau-Bau</v>
      </c>
      <c r="E26" s="14">
        <v>44935</v>
      </c>
      <c r="F26" s="14">
        <v>44971</v>
      </c>
      <c r="G26" s="10">
        <v>4534202846</v>
      </c>
      <c r="H26" s="8" t="str">
        <f>IF(Table2[[#This Row],[Kontraktor]]="", "Tidak Diketahui",Table2[[#This Row],[Kontraktor]])</f>
        <v>CV Sihombing</v>
      </c>
      <c r="I26" s="11"/>
    </row>
    <row r="27" spans="1:9" ht="14.25" customHeight="1" x14ac:dyDescent="0.35">
      <c r="A27" s="8" t="s">
        <v>600</v>
      </c>
      <c r="B27" s="8" t="str">
        <f>IF(Table2[[#This Row],[Jenis_Proyek]]="", "Tidak Diketahui", Table2[[#This Row],[Jenis_Proyek]])</f>
        <v>Drainase</v>
      </c>
      <c r="C27" s="8" t="str">
        <f>IF(Table2[[#This Row],[Lokasi]]="", "Tidak Diketahui", Table2[[#This Row],[Lokasi]])</f>
        <v>Medan</v>
      </c>
      <c r="D27" s="8" t="str">
        <f>IF(Table2[[#This Row],[Nama_Proyek]]="", "Tidak Diketahui", Table2[[#This Row],[Nama_Proyek]])</f>
        <v>Perbaikan Drainase Medan</v>
      </c>
      <c r="E27" s="14">
        <v>45338</v>
      </c>
      <c r="F27" s="14">
        <v>45346</v>
      </c>
      <c r="G27" s="10">
        <v>257898943</v>
      </c>
      <c r="H27" s="8" t="str">
        <f>IF(Table2[[#This Row],[Kontraktor]]="", "Tidak Diketahui",Table2[[#This Row],[Kontraktor]])</f>
        <v>PT. Yuniar Hakim Tbk</v>
      </c>
      <c r="I27" s="11"/>
    </row>
    <row r="28" spans="1:9" ht="14.25" customHeight="1" x14ac:dyDescent="0.35">
      <c r="A28" s="8" t="s">
        <v>55</v>
      </c>
      <c r="B28" s="8" t="str">
        <f>IF(Table2[[#This Row],[Jenis_Proyek]]="", "Tidak Diketahui", Table2[[#This Row],[Jenis_Proyek]])</f>
        <v>Drainase</v>
      </c>
      <c r="C28" s="8" t="str">
        <f>IF(Table2[[#This Row],[Lokasi]]="", "Tidak Diketahui", Table2[[#This Row],[Lokasi]])</f>
        <v>Medan</v>
      </c>
      <c r="D28" s="8" t="str">
        <f>IF(Table2[[#This Row],[Nama_Proyek]]="", "Tidak Diketahui", Table2[[#This Row],[Nama_Proyek]])</f>
        <v>Perbaikan Drainase Medan</v>
      </c>
      <c r="E28" s="14">
        <v>44936</v>
      </c>
      <c r="F28" s="14">
        <v>45295</v>
      </c>
      <c r="G28" s="10">
        <v>489065831</v>
      </c>
      <c r="H28" s="8" t="str">
        <f>IF(Table2[[#This Row],[Kontraktor]]="", "Tidak Diketahui",Table2[[#This Row],[Kontraktor]])</f>
        <v>PT A</v>
      </c>
      <c r="I28" s="11"/>
    </row>
    <row r="29" spans="1:9" ht="14.25" customHeight="1" x14ac:dyDescent="0.35">
      <c r="A29" s="8" t="s">
        <v>601</v>
      </c>
      <c r="B29" s="8" t="str">
        <f>IF(Table2[[#This Row],[Jenis_Proyek]]="", "Tidak Diketahui", Table2[[#This Row],[Jenis_Proyek]])</f>
        <v>Jalan Raya</v>
      </c>
      <c r="C29" s="8" t="str">
        <f>IF(Table2[[#This Row],[Lokasi]]="", "Tidak Diketahui", Table2[[#This Row],[Lokasi]])</f>
        <v>Surabaya</v>
      </c>
      <c r="D29" s="8" t="str">
        <f>IF(Table2[[#This Row],[Nama_Proyek]]="", "Tidak Diketahui", Table2[[#This Row],[Nama_Proyek]])</f>
        <v>Perbaikan Jalan Raya Surabaya</v>
      </c>
      <c r="E29" s="14">
        <v>45339</v>
      </c>
      <c r="F29" s="14">
        <v>45379</v>
      </c>
      <c r="G29" s="10">
        <v>545662746</v>
      </c>
      <c r="H29" s="8" t="str">
        <f>IF(Table2[[#This Row],[Kontraktor]]="", "Tidak Diketahui",Table2[[#This Row],[Kontraktor]])</f>
        <v>PT A</v>
      </c>
      <c r="I29" s="11"/>
    </row>
    <row r="30" spans="1:9" ht="14.25" customHeight="1" x14ac:dyDescent="0.35">
      <c r="A30" s="8" t="s">
        <v>57</v>
      </c>
      <c r="B30" s="8" t="str">
        <f>IF(Table2[[#This Row],[Jenis_Proyek]]="", "Tidak Diketahui", Table2[[#This Row],[Jenis_Proyek]])</f>
        <v>Jalan Raya</v>
      </c>
      <c r="C30" s="8" t="str">
        <f>IF(Table2[[#This Row],[Lokasi]]="", "Tidak Diketahui", Table2[[#This Row],[Lokasi]])</f>
        <v>Medan</v>
      </c>
      <c r="D30" s="8" t="str">
        <f>IF(Table2[[#This Row],[Nama_Proyek]]="", "Tidak Diketahui", Table2[[#This Row],[Nama_Proyek]])</f>
        <v>Perbaikan Jalan Raya Medan</v>
      </c>
      <c r="E30" s="14">
        <v>44938</v>
      </c>
      <c r="F30" s="14">
        <v>44985</v>
      </c>
      <c r="G30" s="10">
        <v>486357978</v>
      </c>
      <c r="H30" s="8" t="str">
        <f>IF(Table2[[#This Row],[Kontraktor]]="", "Tidak Diketahui",Table2[[#This Row],[Kontraktor]])</f>
        <v>Tidak Diketahui</v>
      </c>
      <c r="I30" s="11"/>
    </row>
    <row r="31" spans="1:9" ht="14.25" customHeight="1" x14ac:dyDescent="0.35">
      <c r="A31" s="8" t="s">
        <v>604</v>
      </c>
      <c r="B31" s="8" t="str">
        <f>IF(Table2[[#This Row],[Jenis_Proyek]]="", "Tidak Diketahui", Table2[[#This Row],[Jenis_Proyek]])</f>
        <v>Jalan Raya</v>
      </c>
      <c r="C31" s="8" t="str">
        <f>IF(Table2[[#This Row],[Lokasi]]="", "Tidak Diketahui", Table2[[#This Row],[Lokasi]])</f>
        <v>Surabaya</v>
      </c>
      <c r="D31" s="8" t="str">
        <f>IF(Table2[[#This Row],[Nama_Proyek]]="", "Tidak Diketahui", Table2[[#This Row],[Nama_Proyek]])</f>
        <v>Perbaikan Jalan Raya Surabaya</v>
      </c>
      <c r="E31" s="14">
        <v>45340</v>
      </c>
      <c r="F31" s="14">
        <v>45371</v>
      </c>
      <c r="G31" s="10">
        <v>810414368</v>
      </c>
      <c r="H31" s="8" t="str">
        <f>IF(Table2[[#This Row],[Kontraktor]]="", "Tidak Diketahui",Table2[[#This Row],[Kontraktor]])</f>
        <v>PT C</v>
      </c>
      <c r="I31" s="11"/>
    </row>
    <row r="32" spans="1:9" ht="14.25" customHeight="1" x14ac:dyDescent="0.35">
      <c r="A32" s="8" t="s">
        <v>59</v>
      </c>
      <c r="B32" s="8" t="str">
        <f>IF(Table2[[#This Row],[Jenis_Proyek]]="", "Tidak Diketahui", Table2[[#This Row],[Jenis_Proyek]])</f>
        <v>Jalan Raya</v>
      </c>
      <c r="C32" s="8" t="str">
        <f>IF(Table2[[#This Row],[Lokasi]]="", "Tidak Diketahui", Table2[[#This Row],[Lokasi]])</f>
        <v>Tomohon</v>
      </c>
      <c r="D32" s="8" t="str">
        <f>IF(Table2[[#This Row],[Nama_Proyek]]="", "Tidak Diketahui", Table2[[#This Row],[Nama_Proyek]])</f>
        <v>Perbaikan Jalan Raya Tomohon</v>
      </c>
      <c r="E32" s="14">
        <v>44938</v>
      </c>
      <c r="F32" s="14">
        <v>45262</v>
      </c>
      <c r="G32" s="10">
        <v>341929482</v>
      </c>
      <c r="H32" s="8" t="str">
        <f>IF(Table2[[#This Row],[Kontraktor]]="", "Tidak Diketahui",Table2[[#This Row],[Kontraktor]])</f>
        <v>PT. Yuniar Hakim Tbk</v>
      </c>
      <c r="I32" s="11"/>
    </row>
    <row r="33" spans="1:9" ht="14.25" customHeight="1" x14ac:dyDescent="0.35">
      <c r="A33" s="8" t="s">
        <v>606</v>
      </c>
      <c r="B33" s="8" t="str">
        <f>IF(Table2[[#This Row],[Jenis_Proyek]]="", "Tidak Diketahui", Table2[[#This Row],[Jenis_Proyek]])</f>
        <v>Jalan Raya</v>
      </c>
      <c r="C33" s="8" t="str">
        <f>IF(Table2[[#This Row],[Lokasi]]="", "Tidak Diketahui", Table2[[#This Row],[Lokasi]])</f>
        <v>Bau-Bau</v>
      </c>
      <c r="D33" s="8" t="str">
        <f>IF(Table2[[#This Row],[Nama_Proyek]]="", "Tidak Diketahui", Table2[[#This Row],[Nama_Proyek]])</f>
        <v>Perbaikan Jalan Raya Bau-Bau</v>
      </c>
      <c r="E33" s="14">
        <v>45341</v>
      </c>
      <c r="F33" s="14">
        <v>45388</v>
      </c>
      <c r="G33" s="10">
        <v>599466235</v>
      </c>
      <c r="H33" s="8" t="str">
        <f>IF(Table2[[#This Row],[Kontraktor]]="", "Tidak Diketahui",Table2[[#This Row],[Kontraktor]])</f>
        <v>PT. Yuniar Hakim Tbk</v>
      </c>
      <c r="I33" s="11"/>
    </row>
    <row r="34" spans="1:9" ht="14.25" customHeight="1" x14ac:dyDescent="0.35">
      <c r="A34" s="8" t="s">
        <v>62</v>
      </c>
      <c r="B34" s="8" t="str">
        <f>IF(Table2[[#This Row],[Jenis_Proyek]]="", "Tidak Diketahui", Table2[[#This Row],[Jenis_Proyek]])</f>
        <v>Gedung</v>
      </c>
      <c r="C34" s="8" t="str">
        <f>IF(Table2[[#This Row],[Lokasi]]="", "Tidak Diketahui", Table2[[#This Row],[Lokasi]])</f>
        <v>Tomohon</v>
      </c>
      <c r="D34" s="8" t="str">
        <f>IF(Table2[[#This Row],[Nama_Proyek]]="", "Tidak Diketahui", Table2[[#This Row],[Nama_Proyek]])</f>
        <v>Perbaikan Gedung Pemerintah Tomohon</v>
      </c>
      <c r="E34" s="14">
        <v>44939</v>
      </c>
      <c r="F34" s="14">
        <v>45185</v>
      </c>
      <c r="G34" s="10">
        <v>4929333305</v>
      </c>
      <c r="H34" s="8" t="str">
        <f>IF(Table2[[#This Row],[Kontraktor]]="", "Tidak Diketahui",Table2[[#This Row],[Kontraktor]])</f>
        <v>PT. Yuniar Hakim Tbk</v>
      </c>
      <c r="I34" s="11"/>
    </row>
    <row r="35" spans="1:9" ht="14.25" customHeight="1" x14ac:dyDescent="0.35">
      <c r="A35" s="8" t="s">
        <v>607</v>
      </c>
      <c r="B35" s="8" t="str">
        <f>IF(Table2[[#This Row],[Jenis_Proyek]]="", "Tidak Diketahui", Table2[[#This Row],[Jenis_Proyek]])</f>
        <v>Drainase</v>
      </c>
      <c r="C35" s="8" t="str">
        <f>IF(Table2[[#This Row],[Lokasi]]="", "Tidak Diketahui", Table2[[#This Row],[Lokasi]])</f>
        <v>Bandung</v>
      </c>
      <c r="D35" s="8" t="str">
        <f>IF(Table2[[#This Row],[Nama_Proyek]]="", "Tidak Diketahui", Table2[[#This Row],[Nama_Proyek]])</f>
        <v>Perbaikan Drainase Bandung</v>
      </c>
      <c r="E35" s="14">
        <v>45341</v>
      </c>
      <c r="F35" s="14">
        <v>45350</v>
      </c>
      <c r="G35" s="10">
        <v>333089653</v>
      </c>
      <c r="H35" s="8" t="str">
        <f>IF(Table2[[#This Row],[Kontraktor]]="", "Tidak Diketahui",Table2[[#This Row],[Kontraktor]])</f>
        <v>PT B</v>
      </c>
      <c r="I35" s="11"/>
    </row>
    <row r="36" spans="1:9" ht="14.25" customHeight="1" x14ac:dyDescent="0.35">
      <c r="A36" s="8" t="s">
        <v>64</v>
      </c>
      <c r="B36" s="8" t="str">
        <f>IF(Table2[[#This Row],[Jenis_Proyek]]="", "Tidak Diketahui", Table2[[#This Row],[Jenis_Proyek]])</f>
        <v>Drainase</v>
      </c>
      <c r="C36" s="8" t="str">
        <f>IF(Table2[[#This Row],[Lokasi]]="", "Tidak Diketahui", Table2[[#This Row],[Lokasi]])</f>
        <v>Tomohon</v>
      </c>
      <c r="D36" s="8" t="str">
        <f>IF(Table2[[#This Row],[Nama_Proyek]]="", "Tidak Diketahui", Table2[[#This Row],[Nama_Proyek]])</f>
        <v>Perbaikan Drainase Tomohon</v>
      </c>
      <c r="E36" s="14">
        <v>44940</v>
      </c>
      <c r="F36" s="14">
        <v>45043</v>
      </c>
      <c r="G36" s="10">
        <v>523689841</v>
      </c>
      <c r="H36" s="8" t="str">
        <f>IF(Table2[[#This Row],[Kontraktor]]="", "Tidak Diketahui",Table2[[#This Row],[Kontraktor]])</f>
        <v>PT D</v>
      </c>
      <c r="I36" s="11"/>
    </row>
    <row r="37" spans="1:9" ht="14.25" customHeight="1" x14ac:dyDescent="0.35">
      <c r="A37" s="8" t="s">
        <v>608</v>
      </c>
      <c r="B37" s="8" t="str">
        <f>IF(Table2[[#This Row],[Jenis_Proyek]]="", "Tidak Diketahui", Table2[[#This Row],[Jenis_Proyek]])</f>
        <v>Flyover</v>
      </c>
      <c r="C37" s="8" t="str">
        <f>IF(Table2[[#This Row],[Lokasi]]="", "Tidak Diketahui", Table2[[#This Row],[Lokasi]])</f>
        <v>Bandung</v>
      </c>
      <c r="D37" s="8" t="str">
        <f>IF(Table2[[#This Row],[Nama_Proyek]]="", "Tidak Diketahui", Table2[[#This Row],[Nama_Proyek]])</f>
        <v>Pembuatan Flyover Bandung</v>
      </c>
      <c r="E37" s="14">
        <v>45341</v>
      </c>
      <c r="F37" s="14">
        <v>45406</v>
      </c>
      <c r="G37" s="10">
        <v>3757312666</v>
      </c>
      <c r="H37" s="8" t="str">
        <f>IF(Table2[[#This Row],[Kontraktor]]="", "Tidak Diketahui",Table2[[#This Row],[Kontraktor]])</f>
        <v>PT B</v>
      </c>
      <c r="I37" s="11"/>
    </row>
    <row r="38" spans="1:9" ht="14.25" customHeight="1" x14ac:dyDescent="0.35">
      <c r="A38" s="8" t="s">
        <v>65</v>
      </c>
      <c r="B38" s="8" t="str">
        <f>IF(Table2[[#This Row],[Jenis_Proyek]]="", "Tidak Diketahui", Table2[[#This Row],[Jenis_Proyek]])</f>
        <v>Flyover</v>
      </c>
      <c r="C38" s="8" t="str">
        <f>IF(Table2[[#This Row],[Lokasi]]="", "Tidak Diketahui", Table2[[#This Row],[Lokasi]])</f>
        <v>Medan</v>
      </c>
      <c r="D38" s="8" t="str">
        <f>IF(Table2[[#This Row],[Nama_Proyek]]="", "Tidak Diketahui", Table2[[#This Row],[Nama_Proyek]])</f>
        <v>Pembuatan Flyover Medan</v>
      </c>
      <c r="E38" s="14">
        <v>44940</v>
      </c>
      <c r="F38" s="14">
        <v>45206</v>
      </c>
      <c r="G38" s="10">
        <v>3894709817</v>
      </c>
      <c r="H38" s="8" t="str">
        <f>IF(Table2[[#This Row],[Kontraktor]]="", "Tidak Diketahui",Table2[[#This Row],[Kontraktor]])</f>
        <v>PT. Yuniar Hakim Tbk</v>
      </c>
      <c r="I38" s="11"/>
    </row>
    <row r="39" spans="1:9" ht="14.25" customHeight="1" x14ac:dyDescent="0.35">
      <c r="A39" s="8" t="s">
        <v>609</v>
      </c>
      <c r="B39" s="8" t="str">
        <f>IF(Table2[[#This Row],[Jenis_Proyek]]="", "Tidak Diketahui", Table2[[#This Row],[Jenis_Proyek]])</f>
        <v>Jalan Raya</v>
      </c>
      <c r="C39" s="8" t="str">
        <f>IF(Table2[[#This Row],[Lokasi]]="", "Tidak Diketahui", Table2[[#This Row],[Lokasi]])</f>
        <v>Depok</v>
      </c>
      <c r="D39" s="8" t="str">
        <f>IF(Table2[[#This Row],[Nama_Proyek]]="", "Tidak Diketahui", Table2[[#This Row],[Nama_Proyek]])</f>
        <v>Perbaikan Jalan Raya Depok</v>
      </c>
      <c r="E39" s="14">
        <v>45343</v>
      </c>
      <c r="F39" s="14">
        <v>45382</v>
      </c>
      <c r="G39" s="10">
        <v>462876320</v>
      </c>
      <c r="H39" s="8" t="str">
        <f>IF(Table2[[#This Row],[Kontraktor]]="", "Tidak Diketahui",Table2[[#This Row],[Kontraktor]])</f>
        <v>Tidak Diketahui</v>
      </c>
      <c r="I39" s="11"/>
    </row>
    <row r="40" spans="1:9" ht="14.25" customHeight="1" x14ac:dyDescent="0.35">
      <c r="A40" s="8" t="s">
        <v>68</v>
      </c>
      <c r="B40" s="8" t="str">
        <f>IF(Table2[[#This Row],[Jenis_Proyek]]="", "Tidak Diketahui", Table2[[#This Row],[Jenis_Proyek]])</f>
        <v>Jembatan</v>
      </c>
      <c r="C40" s="8" t="str">
        <f>IF(Table2[[#This Row],[Lokasi]]="", "Tidak Diketahui", Table2[[#This Row],[Lokasi]])</f>
        <v>Jakarta</v>
      </c>
      <c r="D40" s="8" t="str">
        <f>IF(Table2[[#This Row],[Nama_Proyek]]="", "Tidak Diketahui", Table2[[#This Row],[Nama_Proyek]])</f>
        <v>Pembuatan Jembatan Jakarta</v>
      </c>
      <c r="E40" s="14">
        <v>44941</v>
      </c>
      <c r="F40" s="14">
        <v>45188</v>
      </c>
      <c r="G40" s="10">
        <v>4532376815</v>
      </c>
      <c r="H40" s="8" t="str">
        <f>IF(Table2[[#This Row],[Kontraktor]]="", "Tidak Diketahui",Table2[[#This Row],[Kontraktor]])</f>
        <v>PT D</v>
      </c>
      <c r="I40" s="11"/>
    </row>
    <row r="41" spans="1:9" ht="14.25" customHeight="1" x14ac:dyDescent="0.35">
      <c r="A41" s="8" t="s">
        <v>611</v>
      </c>
      <c r="B41" s="8" t="str">
        <f>IF(Table2[[#This Row],[Jenis_Proyek]]="", "Tidak Diketahui", Table2[[#This Row],[Jenis_Proyek]])</f>
        <v>Jembatan</v>
      </c>
      <c r="C41" s="8" t="str">
        <f>IF(Table2[[#This Row],[Lokasi]]="", "Tidak Diketahui", Table2[[#This Row],[Lokasi]])</f>
        <v>Depok</v>
      </c>
      <c r="D41" s="8" t="str">
        <f>IF(Table2[[#This Row],[Nama_Proyek]]="", "Tidak Diketahui", Table2[[#This Row],[Nama_Proyek]])</f>
        <v>Pembuatan Jembatan Depok</v>
      </c>
      <c r="E41" s="14">
        <v>45346</v>
      </c>
      <c r="F41" s="14">
        <v>45398</v>
      </c>
      <c r="G41" s="10">
        <v>3821117140</v>
      </c>
      <c r="H41" s="8" t="str">
        <f>IF(Table2[[#This Row],[Kontraktor]]="", "Tidak Diketahui",Table2[[#This Row],[Kontraktor]])</f>
        <v>PT D</v>
      </c>
      <c r="I41" s="11"/>
    </row>
    <row r="42" spans="1:9" ht="14.25" customHeight="1" x14ac:dyDescent="0.35">
      <c r="A42" s="8" t="s">
        <v>70</v>
      </c>
      <c r="B42" s="8" t="str">
        <f>IF(Table2[[#This Row],[Jenis_Proyek]]="", "Tidak Diketahui", Table2[[#This Row],[Jenis_Proyek]])</f>
        <v>Flyover</v>
      </c>
      <c r="C42" s="8" t="str">
        <f>IF(Table2[[#This Row],[Lokasi]]="", "Tidak Diketahui", Table2[[#This Row],[Lokasi]])</f>
        <v>Bau-Bau</v>
      </c>
      <c r="D42" s="8" t="str">
        <f>IF(Table2[[#This Row],[Nama_Proyek]]="", "Tidak Diketahui", Table2[[#This Row],[Nama_Proyek]])</f>
        <v>Perbaikan Flyover Bau-Bau</v>
      </c>
      <c r="E42" s="14">
        <v>44941</v>
      </c>
      <c r="F42" s="14">
        <v>45290</v>
      </c>
      <c r="G42" s="10">
        <v>4159855566</v>
      </c>
      <c r="H42" s="8" t="str">
        <f>IF(Table2[[#This Row],[Kontraktor]]="", "Tidak Diketahui",Table2[[#This Row],[Kontraktor]])</f>
        <v>PT C</v>
      </c>
      <c r="I42" s="11"/>
    </row>
    <row r="43" spans="1:9" ht="14.25" customHeight="1" x14ac:dyDescent="0.35">
      <c r="A43" s="8" t="s">
        <v>72</v>
      </c>
      <c r="B43" s="8" t="str">
        <f>IF(Table2[[#This Row],[Jenis_Proyek]]="", "Tidak Diketahui", Table2[[#This Row],[Jenis_Proyek]])</f>
        <v>Jembatan</v>
      </c>
      <c r="C43" s="8" t="str">
        <f>IF(Table2[[#This Row],[Lokasi]]="", "Tidak Diketahui", Table2[[#This Row],[Lokasi]])</f>
        <v>Bandung</v>
      </c>
      <c r="D43" s="8" t="str">
        <f>IF(Table2[[#This Row],[Nama_Proyek]]="", "Tidak Diketahui", Table2[[#This Row],[Nama_Proyek]])</f>
        <v>Perbaikan Jembatan Bandung</v>
      </c>
      <c r="E43" s="14">
        <v>44941</v>
      </c>
      <c r="F43" s="14">
        <v>45095</v>
      </c>
      <c r="G43" s="10">
        <v>4492886828</v>
      </c>
      <c r="H43" s="8" t="str">
        <f>IF(Table2[[#This Row],[Kontraktor]]="", "Tidak Diketahui",Table2[[#This Row],[Kontraktor]])</f>
        <v>PT D</v>
      </c>
      <c r="I43" s="11"/>
    </row>
    <row r="44" spans="1:9" ht="14.25" customHeight="1" x14ac:dyDescent="0.35">
      <c r="A44" s="8" t="s">
        <v>73</v>
      </c>
      <c r="B44" s="8" t="str">
        <f>IF(Table2[[#This Row],[Jenis_Proyek]]="", "Tidak Diketahui", Table2[[#This Row],[Jenis_Proyek]])</f>
        <v>Jembatan</v>
      </c>
      <c r="C44" s="8" t="str">
        <f>IF(Table2[[#This Row],[Lokasi]]="", "Tidak Diketahui", Table2[[#This Row],[Lokasi]])</f>
        <v>Surabaya</v>
      </c>
      <c r="D44" s="8" t="str">
        <f>IF(Table2[[#This Row],[Nama_Proyek]]="", "Tidak Diketahui", Table2[[#This Row],[Nama_Proyek]])</f>
        <v>Pembuatan Jembatan Surabaya</v>
      </c>
      <c r="E44" s="14">
        <v>44942</v>
      </c>
      <c r="F44" s="14">
        <v>45034</v>
      </c>
      <c r="G44" s="10">
        <v>1424729417</v>
      </c>
      <c r="H44" s="8" t="str">
        <f>IF(Table2[[#This Row],[Kontraktor]]="", "Tidak Diketahui",Table2[[#This Row],[Kontraktor]])</f>
        <v>PT. Yuniar Hakim Tbk</v>
      </c>
      <c r="I44" s="11"/>
    </row>
    <row r="45" spans="1:9" ht="14.25" customHeight="1" x14ac:dyDescent="0.35">
      <c r="A45" s="8" t="s">
        <v>75</v>
      </c>
      <c r="B45" s="8" t="str">
        <f>IF(Table2[[#This Row],[Jenis_Proyek]]="", "Tidak Diketahui", Table2[[#This Row],[Jenis_Proyek]])</f>
        <v>Jembatan</v>
      </c>
      <c r="C45" s="8" t="str">
        <f>IF(Table2[[#This Row],[Lokasi]]="", "Tidak Diketahui", Table2[[#This Row],[Lokasi]])</f>
        <v>Bau-Bau</v>
      </c>
      <c r="D45" s="8" t="str">
        <f>IF(Table2[[#This Row],[Nama_Proyek]]="", "Tidak Diketahui", Table2[[#This Row],[Nama_Proyek]])</f>
        <v>Pembuatan Jembatan Bau-Bau</v>
      </c>
      <c r="E45" s="14">
        <v>44943</v>
      </c>
      <c r="F45" s="14">
        <v>45027</v>
      </c>
      <c r="G45" s="10">
        <v>1425616276</v>
      </c>
      <c r="H45" s="8" t="str">
        <f>IF(Table2[[#This Row],[Kontraktor]]="", "Tidak Diketahui",Table2[[#This Row],[Kontraktor]])</f>
        <v>CV Sihombing</v>
      </c>
      <c r="I45" s="11"/>
    </row>
    <row r="46" spans="1:9" ht="14.25" customHeight="1" x14ac:dyDescent="0.35">
      <c r="A46" s="8" t="s">
        <v>76</v>
      </c>
      <c r="B46" s="8" t="str">
        <f>IF(Table2[[#This Row],[Jenis_Proyek]]="", "Tidak Diketahui", Table2[[#This Row],[Jenis_Proyek]])</f>
        <v>Jalan Raya</v>
      </c>
      <c r="C46" s="8" t="str">
        <f>IF(Table2[[#This Row],[Lokasi]]="", "Tidak Diketahui", Table2[[#This Row],[Lokasi]])</f>
        <v>Bandung</v>
      </c>
      <c r="D46" s="8" t="str">
        <f>IF(Table2[[#This Row],[Nama_Proyek]]="", "Tidak Diketahui", Table2[[#This Row],[Nama_Proyek]])</f>
        <v>Perbaikan Jalan Raya Bandung</v>
      </c>
      <c r="E46" s="14">
        <v>44943</v>
      </c>
      <c r="F46" s="14">
        <v>45136</v>
      </c>
      <c r="G46" s="10">
        <v>307413755</v>
      </c>
      <c r="H46" s="8" t="str">
        <f>IF(Table2[[#This Row],[Kontraktor]]="", "Tidak Diketahui",Table2[[#This Row],[Kontraktor]])</f>
        <v>CV Sihombing</v>
      </c>
      <c r="I46" s="11"/>
    </row>
    <row r="47" spans="1:9" ht="14.25" customHeight="1" x14ac:dyDescent="0.35">
      <c r="A47" s="8" t="s">
        <v>77</v>
      </c>
      <c r="B47" s="8" t="str">
        <f>IF(Table2[[#This Row],[Jenis_Proyek]]="", "Tidak Diketahui", Table2[[#This Row],[Jenis_Proyek]])</f>
        <v>Jembatan</v>
      </c>
      <c r="C47" s="8" t="str">
        <f>IF(Table2[[#This Row],[Lokasi]]="", "Tidak Diketahui", Table2[[#This Row],[Lokasi]])</f>
        <v>Bau-Bau</v>
      </c>
      <c r="D47" s="8" t="str">
        <f>IF(Table2[[#This Row],[Nama_Proyek]]="", "Tidak Diketahui", Table2[[#This Row],[Nama_Proyek]])</f>
        <v>Pembuatan Jembatan Bau-Bau</v>
      </c>
      <c r="E47" s="14">
        <v>44944</v>
      </c>
      <c r="F47" s="14">
        <v>45113</v>
      </c>
      <c r="G47" s="10">
        <v>6929733135</v>
      </c>
      <c r="H47" s="8" t="str">
        <f>IF(Table2[[#This Row],[Kontraktor]]="", "Tidak Diketahui",Table2[[#This Row],[Kontraktor]])</f>
        <v>PT C</v>
      </c>
      <c r="I47" s="11"/>
    </row>
    <row r="48" spans="1:9" ht="14.25" customHeight="1" x14ac:dyDescent="0.35">
      <c r="A48" s="8" t="s">
        <v>79</v>
      </c>
      <c r="B48" s="8" t="str">
        <f>IF(Table2[[#This Row],[Jenis_Proyek]]="", "Tidak Diketahui", Table2[[#This Row],[Jenis_Proyek]])</f>
        <v>Jembatan</v>
      </c>
      <c r="C48" s="8" t="str">
        <f>IF(Table2[[#This Row],[Lokasi]]="", "Tidak Diketahui", Table2[[#This Row],[Lokasi]])</f>
        <v>Bau-Bau</v>
      </c>
      <c r="D48" s="8" t="str">
        <f>IF(Table2[[#This Row],[Nama_Proyek]]="", "Tidak Diketahui", Table2[[#This Row],[Nama_Proyek]])</f>
        <v>Perbaikan Jembatan Bau-Bau</v>
      </c>
      <c r="E48" s="14">
        <v>44944</v>
      </c>
      <c r="F48" s="14">
        <v>45284</v>
      </c>
      <c r="G48" s="10">
        <v>1567712170</v>
      </c>
      <c r="H48" s="8" t="str">
        <f>IF(Table2[[#This Row],[Kontraktor]]="", "Tidak Diketahui",Table2[[#This Row],[Kontraktor]])</f>
        <v>PT. Yuniar Hakim Tbk</v>
      </c>
      <c r="I48" s="11"/>
    </row>
    <row r="49" spans="1:9" ht="14.25" customHeight="1" x14ac:dyDescent="0.35">
      <c r="A49" s="8" t="s">
        <v>81</v>
      </c>
      <c r="B49" s="8" t="str">
        <f>IF(Table2[[#This Row],[Jenis_Proyek]]="", "Tidak Diketahui", Table2[[#This Row],[Jenis_Proyek]])</f>
        <v>Jembatan</v>
      </c>
      <c r="C49" s="8" t="str">
        <f>IF(Table2[[#This Row],[Lokasi]]="", "Tidak Diketahui", Table2[[#This Row],[Lokasi]])</f>
        <v>Jakarta</v>
      </c>
      <c r="D49" s="8" t="str">
        <f>IF(Table2[[#This Row],[Nama_Proyek]]="", "Tidak Diketahui", Table2[[#This Row],[Nama_Proyek]])</f>
        <v>Pembuatan Jembatan Jakarta</v>
      </c>
      <c r="E49" s="14">
        <v>44945</v>
      </c>
      <c r="F49" s="14">
        <v>45037</v>
      </c>
      <c r="G49" s="10">
        <v>3020860458</v>
      </c>
      <c r="H49" s="8" t="str">
        <f>IF(Table2[[#This Row],[Kontraktor]]="", "Tidak Diketahui",Table2[[#This Row],[Kontraktor]])</f>
        <v>PT. Yuniar Hakim Tbk</v>
      </c>
      <c r="I49" s="11"/>
    </row>
    <row r="50" spans="1:9" ht="14.25" customHeight="1" x14ac:dyDescent="0.35">
      <c r="A50" s="8" t="s">
        <v>82</v>
      </c>
      <c r="B50" s="8" t="str">
        <f>IF(Table2[[#This Row],[Jenis_Proyek]]="", "Tidak Diketahui", Table2[[#This Row],[Jenis_Proyek]])</f>
        <v>Drainase</v>
      </c>
      <c r="C50" s="8" t="str">
        <f>IF(Table2[[#This Row],[Lokasi]]="", "Tidak Diketahui", Table2[[#This Row],[Lokasi]])</f>
        <v>Medan</v>
      </c>
      <c r="D50" s="8" t="str">
        <f>IF(Table2[[#This Row],[Nama_Proyek]]="", "Tidak Diketahui", Table2[[#This Row],[Nama_Proyek]])</f>
        <v>Perbaikan Drainase Medan</v>
      </c>
      <c r="E50" s="14">
        <v>44946</v>
      </c>
      <c r="F50" s="14">
        <v>45105</v>
      </c>
      <c r="G50" s="10">
        <v>443234047</v>
      </c>
      <c r="H50" s="8" t="str">
        <f>IF(Table2[[#This Row],[Kontraktor]]="", "Tidak Diketahui",Table2[[#This Row],[Kontraktor]])</f>
        <v>PT. Lailasari Hariyah (Persero) Tbk</v>
      </c>
      <c r="I50" s="11"/>
    </row>
    <row r="51" spans="1:9" ht="14.25" customHeight="1" x14ac:dyDescent="0.35">
      <c r="A51" s="8" t="s">
        <v>84</v>
      </c>
      <c r="B51" s="8" t="str">
        <f>IF(Table2[[#This Row],[Jenis_Proyek]]="", "Tidak Diketahui", Table2[[#This Row],[Jenis_Proyek]])</f>
        <v>Flyover</v>
      </c>
      <c r="C51" s="8" t="str">
        <f>IF(Table2[[#This Row],[Lokasi]]="", "Tidak Diketahui", Table2[[#This Row],[Lokasi]])</f>
        <v>Makassar</v>
      </c>
      <c r="D51" s="8" t="str">
        <f>IF(Table2[[#This Row],[Nama_Proyek]]="", "Tidak Diketahui", Table2[[#This Row],[Nama_Proyek]])</f>
        <v>Pembuatan Flyover Makassar</v>
      </c>
      <c r="E51" s="14">
        <v>44947</v>
      </c>
      <c r="F51" s="14">
        <v>45177</v>
      </c>
      <c r="G51" s="10">
        <v>4609627000</v>
      </c>
      <c r="H51" s="8" t="str">
        <f>IF(Table2[[#This Row],[Kontraktor]]="", "Tidak Diketahui",Table2[[#This Row],[Kontraktor]])</f>
        <v>PT C</v>
      </c>
      <c r="I51" s="11"/>
    </row>
    <row r="52" spans="1:9" ht="14.25" customHeight="1" x14ac:dyDescent="0.35">
      <c r="A52" s="8" t="s">
        <v>86</v>
      </c>
      <c r="B52" s="8" t="str">
        <f>IF(Table2[[#This Row],[Jenis_Proyek]]="", "Tidak Diketahui", Table2[[#This Row],[Jenis_Proyek]])</f>
        <v>Jalan Raya</v>
      </c>
      <c r="C52" s="8" t="str">
        <f>IF(Table2[[#This Row],[Lokasi]]="", "Tidak Diketahui", Table2[[#This Row],[Lokasi]])</f>
        <v>Bandung</v>
      </c>
      <c r="D52" s="8" t="str">
        <f>IF(Table2[[#This Row],[Nama_Proyek]]="", "Tidak Diketahui", Table2[[#This Row],[Nama_Proyek]])</f>
        <v>Perbaikan Jalan Raya Bandung</v>
      </c>
      <c r="E52" s="14">
        <v>44948</v>
      </c>
      <c r="F52" s="14">
        <v>45054</v>
      </c>
      <c r="G52" s="10">
        <v>995204213</v>
      </c>
      <c r="H52" s="8" t="str">
        <f>IF(Table2[[#This Row],[Kontraktor]]="", "Tidak Diketahui",Table2[[#This Row],[Kontraktor]])</f>
        <v>PT. Yuniar Hakim Tbk</v>
      </c>
      <c r="I52" s="11"/>
    </row>
    <row r="53" spans="1:9" ht="14.25" customHeight="1" x14ac:dyDescent="0.35">
      <c r="A53" s="8" t="s">
        <v>88</v>
      </c>
      <c r="B53" s="8" t="str">
        <f>IF(Table2[[#This Row],[Jenis_Proyek]]="", "Tidak Diketahui", Table2[[#This Row],[Jenis_Proyek]])</f>
        <v>Flyover</v>
      </c>
      <c r="C53" s="8" t="str">
        <f>IF(Table2[[#This Row],[Lokasi]]="", "Tidak Diketahui", Table2[[#This Row],[Lokasi]])</f>
        <v>Medan</v>
      </c>
      <c r="D53" s="8" t="str">
        <f>IF(Table2[[#This Row],[Nama_Proyek]]="", "Tidak Diketahui", Table2[[#This Row],[Nama_Proyek]])</f>
        <v>Perbaikan Flyover Medan</v>
      </c>
      <c r="E53" s="14">
        <v>44949</v>
      </c>
      <c r="F53" s="14">
        <v>45041</v>
      </c>
      <c r="G53" s="10">
        <v>3867579335</v>
      </c>
      <c r="H53" s="8" t="str">
        <f>IF(Table2[[#This Row],[Kontraktor]]="", "Tidak Diketahui",Table2[[#This Row],[Kontraktor]])</f>
        <v>PT D</v>
      </c>
      <c r="I53" s="11"/>
    </row>
    <row r="54" spans="1:9" ht="14.25" customHeight="1" x14ac:dyDescent="0.35">
      <c r="A54" s="8" t="s">
        <v>89</v>
      </c>
      <c r="B54" s="8" t="str">
        <f>IF(Table2[[#This Row],[Jenis_Proyek]]="", "Tidak Diketahui", Table2[[#This Row],[Jenis_Proyek]])</f>
        <v>Gedung</v>
      </c>
      <c r="C54" s="8" t="str">
        <f>IF(Table2[[#This Row],[Lokasi]]="", "Tidak Diketahui", Table2[[#This Row],[Lokasi]])</f>
        <v>Depok</v>
      </c>
      <c r="D54" s="8" t="str">
        <f>IF(Table2[[#This Row],[Nama_Proyek]]="", "Tidak Diketahui", Table2[[#This Row],[Nama_Proyek]])</f>
        <v>Perbaikan Gedung Pemerintah Depok</v>
      </c>
      <c r="E54" s="14">
        <v>44949</v>
      </c>
      <c r="F54" s="14">
        <v>44986</v>
      </c>
      <c r="G54" s="10">
        <v>8428412586</v>
      </c>
      <c r="H54" s="8" t="str">
        <f>IF(Table2[[#This Row],[Kontraktor]]="", "Tidak Diketahui",Table2[[#This Row],[Kontraktor]])</f>
        <v>PT. Lailasari Hariyah (Persero) Tbk</v>
      </c>
      <c r="I54" s="11"/>
    </row>
    <row r="55" spans="1:9" ht="14.25" customHeight="1" x14ac:dyDescent="0.35">
      <c r="A55" s="8" t="s">
        <v>90</v>
      </c>
      <c r="B55" s="8" t="str">
        <f>IF(Table2[[#This Row],[Jenis_Proyek]]="", "Tidak Diketahui", Table2[[#This Row],[Jenis_Proyek]])</f>
        <v>Flyover</v>
      </c>
      <c r="C55" s="8" t="str">
        <f>IF(Table2[[#This Row],[Lokasi]]="", "Tidak Diketahui", Table2[[#This Row],[Lokasi]])</f>
        <v>Tomohon</v>
      </c>
      <c r="D55" s="8" t="str">
        <f>IF(Table2[[#This Row],[Nama_Proyek]]="", "Tidak Diketahui", Table2[[#This Row],[Nama_Proyek]])</f>
        <v>Perbaikan Flyover Tomohon</v>
      </c>
      <c r="E55" s="14">
        <v>44950</v>
      </c>
      <c r="F55" s="14">
        <v>45078</v>
      </c>
      <c r="G55" s="10">
        <v>2004784321</v>
      </c>
      <c r="H55" s="8" t="str">
        <f>IF(Table2[[#This Row],[Kontraktor]]="", "Tidak Diketahui",Table2[[#This Row],[Kontraktor]])</f>
        <v>PT A</v>
      </c>
      <c r="I55" s="11"/>
    </row>
    <row r="56" spans="1:9" ht="14.25" customHeight="1" x14ac:dyDescent="0.35">
      <c r="A56" s="8" t="s">
        <v>92</v>
      </c>
      <c r="B56" s="8" t="str">
        <f>IF(Table2[[#This Row],[Jenis_Proyek]]="", "Tidak Diketahui", Table2[[#This Row],[Jenis_Proyek]])</f>
        <v>Jembatan</v>
      </c>
      <c r="C56" s="8" t="str">
        <f>IF(Table2[[#This Row],[Lokasi]]="", "Tidak Diketahui", Table2[[#This Row],[Lokasi]])</f>
        <v>Surabaya</v>
      </c>
      <c r="D56" s="8" t="str">
        <f>IF(Table2[[#This Row],[Nama_Proyek]]="", "Tidak Diketahui", Table2[[#This Row],[Nama_Proyek]])</f>
        <v>Perbaikan Jembatan Surabaya</v>
      </c>
      <c r="E56" s="14">
        <v>44950</v>
      </c>
      <c r="F56" s="14">
        <v>45023</v>
      </c>
      <c r="G56" s="10">
        <v>2364631347</v>
      </c>
      <c r="H56" s="8" t="str">
        <f>IF(Table2[[#This Row],[Kontraktor]]="", "Tidak Diketahui",Table2[[#This Row],[Kontraktor]])</f>
        <v>CV Sihombing</v>
      </c>
      <c r="I56" s="11"/>
    </row>
    <row r="57" spans="1:9" ht="14.25" customHeight="1" x14ac:dyDescent="0.35">
      <c r="A57" s="8" t="s">
        <v>94</v>
      </c>
      <c r="B57" s="8" t="str">
        <f>IF(Table2[[#This Row],[Jenis_Proyek]]="", "Tidak Diketahui", Table2[[#This Row],[Jenis_Proyek]])</f>
        <v>Jembatan</v>
      </c>
      <c r="C57" s="8" t="str">
        <f>IF(Table2[[#This Row],[Lokasi]]="", "Tidak Diketahui", Table2[[#This Row],[Lokasi]])</f>
        <v>Bau-Bau</v>
      </c>
      <c r="D57" s="8" t="str">
        <f>IF(Table2[[#This Row],[Nama_Proyek]]="", "Tidak Diketahui", Table2[[#This Row],[Nama_Proyek]])</f>
        <v>Perbaikan Jembatan Bau-Bau</v>
      </c>
      <c r="E57" s="14">
        <v>44951</v>
      </c>
      <c r="F57" s="14">
        <v>45187</v>
      </c>
      <c r="G57" s="10">
        <v>7177546505</v>
      </c>
      <c r="H57" s="8" t="str">
        <f>IF(Table2[[#This Row],[Kontraktor]]="", "Tidak Diketahui",Table2[[#This Row],[Kontraktor]])</f>
        <v>PT A</v>
      </c>
      <c r="I57" s="11"/>
    </row>
    <row r="58" spans="1:9" ht="14.25" customHeight="1" x14ac:dyDescent="0.35">
      <c r="A58" s="8" t="s">
        <v>96</v>
      </c>
      <c r="B58" s="8" t="str">
        <f>IF(Table2[[#This Row],[Jenis_Proyek]]="", "Tidak Diketahui", Table2[[#This Row],[Jenis_Proyek]])</f>
        <v>Drainase</v>
      </c>
      <c r="C58" s="8" t="str">
        <f>IF(Table2[[#This Row],[Lokasi]]="", "Tidak Diketahui", Table2[[#This Row],[Lokasi]])</f>
        <v>Bau-Bau</v>
      </c>
      <c r="D58" s="8" t="str">
        <f>IF(Table2[[#This Row],[Nama_Proyek]]="", "Tidak Diketahui", Table2[[#This Row],[Nama_Proyek]])</f>
        <v>Perbaikan Drainase Bau-Bau</v>
      </c>
      <c r="E58" s="14">
        <v>44951</v>
      </c>
      <c r="F58" s="14">
        <v>45262</v>
      </c>
      <c r="G58" s="10">
        <v>420827734</v>
      </c>
      <c r="H58" s="8" t="str">
        <f>IF(Table2[[#This Row],[Kontraktor]]="", "Tidak Diketahui",Table2[[#This Row],[Kontraktor]])</f>
        <v>PT B</v>
      </c>
      <c r="I58" s="11"/>
    </row>
    <row r="59" spans="1:9" ht="14.25" customHeight="1" x14ac:dyDescent="0.35">
      <c r="A59" s="8" t="s">
        <v>98</v>
      </c>
      <c r="B59" s="8" t="str">
        <f>IF(Table2[[#This Row],[Jenis_Proyek]]="", "Tidak Diketahui", Table2[[#This Row],[Jenis_Proyek]])</f>
        <v>Drainase</v>
      </c>
      <c r="C59" s="8" t="str">
        <f>IF(Table2[[#This Row],[Lokasi]]="", "Tidak Diketahui", Table2[[#This Row],[Lokasi]])</f>
        <v>Tomohon</v>
      </c>
      <c r="D59" s="8" t="str">
        <f>IF(Table2[[#This Row],[Nama_Proyek]]="", "Tidak Diketahui", Table2[[#This Row],[Nama_Proyek]])</f>
        <v>Perbaikan Drainase Tomohon</v>
      </c>
      <c r="E59" s="14">
        <v>44954</v>
      </c>
      <c r="F59" s="14">
        <v>45186</v>
      </c>
      <c r="G59" s="10">
        <v>382266210</v>
      </c>
      <c r="H59" s="8" t="str">
        <f>IF(Table2[[#This Row],[Kontraktor]]="", "Tidak Diketahui",Table2[[#This Row],[Kontraktor]])</f>
        <v>Tidak Diketahui</v>
      </c>
      <c r="I59" s="11"/>
    </row>
    <row r="60" spans="1:9" ht="14.25" customHeight="1" x14ac:dyDescent="0.35">
      <c r="A60" s="8" t="s">
        <v>99</v>
      </c>
      <c r="B60" s="8" t="str">
        <f>IF(Table2[[#This Row],[Jenis_Proyek]]="", "Tidak Diketahui", Table2[[#This Row],[Jenis_Proyek]])</f>
        <v>Flyover</v>
      </c>
      <c r="C60" s="8" t="str">
        <f>IF(Table2[[#This Row],[Lokasi]]="", "Tidak Diketahui", Table2[[#This Row],[Lokasi]])</f>
        <v>Bau-Bau</v>
      </c>
      <c r="D60" s="8" t="str">
        <f>IF(Table2[[#This Row],[Nama_Proyek]]="", "Tidak Diketahui", Table2[[#This Row],[Nama_Proyek]])</f>
        <v>Pembuatan Flyover Bau-Bau</v>
      </c>
      <c r="E60" s="14">
        <v>44954</v>
      </c>
      <c r="F60" s="14">
        <v>45220</v>
      </c>
      <c r="G60" s="10">
        <v>1545241955</v>
      </c>
      <c r="H60" s="8" t="str">
        <f>IF(Table2[[#This Row],[Kontraktor]]="", "Tidak Diketahui",Table2[[#This Row],[Kontraktor]])</f>
        <v>CV Sihombing</v>
      </c>
      <c r="I60" s="11"/>
    </row>
    <row r="61" spans="1:9" ht="14.25" customHeight="1" x14ac:dyDescent="0.35">
      <c r="A61" s="8" t="s">
        <v>100</v>
      </c>
      <c r="B61" s="8" t="str">
        <f>IF(Table2[[#This Row],[Jenis_Proyek]]="", "Tidak Diketahui", Table2[[#This Row],[Jenis_Proyek]])</f>
        <v>Gedung</v>
      </c>
      <c r="C61" s="8" t="str">
        <f>IF(Table2[[#This Row],[Lokasi]]="", "Tidak Diketahui", Table2[[#This Row],[Lokasi]])</f>
        <v>Medan</v>
      </c>
      <c r="D61" s="8" t="str">
        <f>IF(Table2[[#This Row],[Nama_Proyek]]="", "Tidak Diketahui", Table2[[#This Row],[Nama_Proyek]])</f>
        <v>Perbaikan Gedung Pemerintah Medan</v>
      </c>
      <c r="E61" s="14">
        <v>44954</v>
      </c>
      <c r="F61" s="14">
        <v>45158</v>
      </c>
      <c r="G61" s="10">
        <v>6831252497</v>
      </c>
      <c r="H61" s="8" t="str">
        <f>IF(Table2[[#This Row],[Kontraktor]]="", "Tidak Diketahui",Table2[[#This Row],[Kontraktor]])</f>
        <v>PT A</v>
      </c>
      <c r="I61" s="11"/>
    </row>
    <row r="62" spans="1:9" ht="14.25" customHeight="1" x14ac:dyDescent="0.35">
      <c r="A62" s="8" t="s">
        <v>102</v>
      </c>
      <c r="B62" s="8" t="str">
        <f>IF(Table2[[#This Row],[Jenis_Proyek]]="", "Tidak Diketahui", Table2[[#This Row],[Jenis_Proyek]])</f>
        <v>Jembatan</v>
      </c>
      <c r="C62" s="8" t="str">
        <f>IF(Table2[[#This Row],[Lokasi]]="", "Tidak Diketahui", Table2[[#This Row],[Lokasi]])</f>
        <v>Bau-Bau</v>
      </c>
      <c r="D62" s="8" t="str">
        <f>IF(Table2[[#This Row],[Nama_Proyek]]="", "Tidak Diketahui", Table2[[#This Row],[Nama_Proyek]])</f>
        <v>Perbaikan Jembatan Bau-Bau</v>
      </c>
      <c r="E62" s="14">
        <v>44955</v>
      </c>
      <c r="F62" s="14">
        <v>45116</v>
      </c>
      <c r="G62" s="10">
        <v>3703277131</v>
      </c>
      <c r="H62" s="8" t="str">
        <f>IF(Table2[[#This Row],[Kontraktor]]="", "Tidak Diketahui",Table2[[#This Row],[Kontraktor]])</f>
        <v>Tidak Diketahui</v>
      </c>
      <c r="I62" s="11"/>
    </row>
    <row r="63" spans="1:9" ht="14.25" customHeight="1" x14ac:dyDescent="0.35">
      <c r="A63" s="8" t="s">
        <v>103</v>
      </c>
      <c r="B63" s="8" t="str">
        <f>IF(Table2[[#This Row],[Jenis_Proyek]]="", "Tidak Diketahui", Table2[[#This Row],[Jenis_Proyek]])</f>
        <v>Flyover</v>
      </c>
      <c r="C63" s="8" t="str">
        <f>IF(Table2[[#This Row],[Lokasi]]="", "Tidak Diketahui", Table2[[#This Row],[Lokasi]])</f>
        <v>Surabaya</v>
      </c>
      <c r="D63" s="8" t="str">
        <f>IF(Table2[[#This Row],[Nama_Proyek]]="", "Tidak Diketahui", Table2[[#This Row],[Nama_Proyek]])</f>
        <v>Perbaikan Flyover Surabaya</v>
      </c>
      <c r="E63" s="14">
        <v>44958</v>
      </c>
      <c r="F63" s="14">
        <v>45158</v>
      </c>
      <c r="G63" s="10">
        <v>3678391600</v>
      </c>
      <c r="H63" s="8" t="str">
        <f>IF(Table2[[#This Row],[Kontraktor]]="", "Tidak Diketahui",Table2[[#This Row],[Kontraktor]])</f>
        <v>PT B</v>
      </c>
      <c r="I63" s="11"/>
    </row>
    <row r="64" spans="1:9" ht="14.25" customHeight="1" x14ac:dyDescent="0.35">
      <c r="A64" s="8" t="s">
        <v>104</v>
      </c>
      <c r="B64" s="8" t="str">
        <f>IF(Table2[[#This Row],[Jenis_Proyek]]="", "Tidak Diketahui", Table2[[#This Row],[Jenis_Proyek]])</f>
        <v>Jalan Raya</v>
      </c>
      <c r="C64" s="8" t="str">
        <f>IF(Table2[[#This Row],[Lokasi]]="", "Tidak Diketahui", Table2[[#This Row],[Lokasi]])</f>
        <v>Bandung</v>
      </c>
      <c r="D64" s="8" t="str">
        <f>IF(Table2[[#This Row],[Nama_Proyek]]="", "Tidak Diketahui", Table2[[#This Row],[Nama_Proyek]])</f>
        <v>Perbaikan Jalan Raya Bandung</v>
      </c>
      <c r="E64" s="14">
        <v>44959</v>
      </c>
      <c r="F64" s="14">
        <v>45258</v>
      </c>
      <c r="G64" s="10">
        <v>888014731</v>
      </c>
      <c r="H64" s="8" t="str">
        <f>IF(Table2[[#This Row],[Kontraktor]]="", "Tidak Diketahui",Table2[[#This Row],[Kontraktor]])</f>
        <v>PT B</v>
      </c>
      <c r="I64" s="11"/>
    </row>
    <row r="65" spans="1:9" ht="14.25" customHeight="1" x14ac:dyDescent="0.35">
      <c r="A65" s="8" t="s">
        <v>105</v>
      </c>
      <c r="B65" s="8" t="str">
        <f>IF(Table2[[#This Row],[Jenis_Proyek]]="", "Tidak Diketahui", Table2[[#This Row],[Jenis_Proyek]])</f>
        <v>Jalan Raya</v>
      </c>
      <c r="C65" s="8" t="str">
        <f>IF(Table2[[#This Row],[Lokasi]]="", "Tidak Diketahui", Table2[[#This Row],[Lokasi]])</f>
        <v>Jakarta</v>
      </c>
      <c r="D65" s="8" t="str">
        <f>IF(Table2[[#This Row],[Nama_Proyek]]="", "Tidak Diketahui", Table2[[#This Row],[Nama_Proyek]])</f>
        <v>Perbaikan Jalan Raya Jakarta</v>
      </c>
      <c r="E65" s="14">
        <v>44959</v>
      </c>
      <c r="F65" s="14">
        <v>45150</v>
      </c>
      <c r="G65" s="10">
        <v>593629020</v>
      </c>
      <c r="H65" s="8" t="str">
        <f>IF(Table2[[#This Row],[Kontraktor]]="", "Tidak Diketahui",Table2[[#This Row],[Kontraktor]])</f>
        <v>PT D</v>
      </c>
      <c r="I65" s="11"/>
    </row>
    <row r="66" spans="1:9" ht="14.25" customHeight="1" x14ac:dyDescent="0.35">
      <c r="A66" s="8" t="s">
        <v>106</v>
      </c>
      <c r="B66" s="8" t="str">
        <f>IF(Table2[[#This Row],[Jenis_Proyek]]="", "Tidak Diketahui", Table2[[#This Row],[Jenis_Proyek]])</f>
        <v>Jembatan</v>
      </c>
      <c r="C66" s="8" t="str">
        <f>IF(Table2[[#This Row],[Lokasi]]="", "Tidak Diketahui", Table2[[#This Row],[Lokasi]])</f>
        <v>Makassar</v>
      </c>
      <c r="D66" s="8" t="str">
        <f>IF(Table2[[#This Row],[Nama_Proyek]]="", "Tidak Diketahui", Table2[[#This Row],[Nama_Proyek]])</f>
        <v>Pembuatan Jembatan Makassar</v>
      </c>
      <c r="E66" s="14">
        <v>44959</v>
      </c>
      <c r="F66" s="14">
        <v>45167</v>
      </c>
      <c r="G66" s="10">
        <v>5835541492</v>
      </c>
      <c r="H66" s="8" t="str">
        <f>IF(Table2[[#This Row],[Kontraktor]]="", "Tidak Diketahui",Table2[[#This Row],[Kontraktor]])</f>
        <v>Tidak Diketahui</v>
      </c>
      <c r="I66" s="11"/>
    </row>
    <row r="67" spans="1:9" ht="14.25" customHeight="1" x14ac:dyDescent="0.35">
      <c r="A67" s="8" t="s">
        <v>107</v>
      </c>
      <c r="B67" s="8" t="str">
        <f>IF(Table2[[#This Row],[Jenis_Proyek]]="", "Tidak Diketahui", Table2[[#This Row],[Jenis_Proyek]])</f>
        <v>Drainase</v>
      </c>
      <c r="C67" s="8" t="str">
        <f>IF(Table2[[#This Row],[Lokasi]]="", "Tidak Diketahui", Table2[[#This Row],[Lokasi]])</f>
        <v>Bandung</v>
      </c>
      <c r="D67" s="8" t="str">
        <f>IF(Table2[[#This Row],[Nama_Proyek]]="", "Tidak Diketahui", Table2[[#This Row],[Nama_Proyek]])</f>
        <v>Perbaikan Drainase Bandung</v>
      </c>
      <c r="E67" s="14">
        <v>44960</v>
      </c>
      <c r="F67" s="14">
        <v>45303</v>
      </c>
      <c r="G67" s="10">
        <v>213457440</v>
      </c>
      <c r="H67" s="8" t="str">
        <f>IF(Table2[[#This Row],[Kontraktor]]="", "Tidak Diketahui",Table2[[#This Row],[Kontraktor]])</f>
        <v>PT A</v>
      </c>
      <c r="I67" s="11"/>
    </row>
    <row r="68" spans="1:9" ht="14.25" customHeight="1" x14ac:dyDescent="0.35">
      <c r="A68" s="8" t="s">
        <v>108</v>
      </c>
      <c r="B68" s="8" t="str">
        <f>IF(Table2[[#This Row],[Jenis_Proyek]]="", "Tidak Diketahui", Table2[[#This Row],[Jenis_Proyek]])</f>
        <v>Drainase</v>
      </c>
      <c r="C68" s="8" t="str">
        <f>IF(Table2[[#This Row],[Lokasi]]="", "Tidak Diketahui", Table2[[#This Row],[Lokasi]])</f>
        <v>Jakarta</v>
      </c>
      <c r="D68" s="8" t="str">
        <f>IF(Table2[[#This Row],[Nama_Proyek]]="", "Tidak Diketahui", Table2[[#This Row],[Nama_Proyek]])</f>
        <v>Perbaikan Drainase Jakarta</v>
      </c>
      <c r="E68" s="14">
        <v>44961</v>
      </c>
      <c r="F68" s="14">
        <v>45065</v>
      </c>
      <c r="G68" s="10">
        <v>327569561</v>
      </c>
      <c r="H68" s="8" t="str">
        <f>IF(Table2[[#This Row],[Kontraktor]]="", "Tidak Diketahui",Table2[[#This Row],[Kontraktor]])</f>
        <v>PT A</v>
      </c>
      <c r="I68" s="11"/>
    </row>
    <row r="69" spans="1:9" ht="14.25" customHeight="1" x14ac:dyDescent="0.35">
      <c r="A69" s="8" t="s">
        <v>109</v>
      </c>
      <c r="B69" s="8" t="str">
        <f>IF(Table2[[#This Row],[Jenis_Proyek]]="", "Tidak Diketahui", Table2[[#This Row],[Jenis_Proyek]])</f>
        <v>Drainase</v>
      </c>
      <c r="C69" s="8" t="str">
        <f>IF(Table2[[#This Row],[Lokasi]]="", "Tidak Diketahui", Table2[[#This Row],[Lokasi]])</f>
        <v>Jakarta</v>
      </c>
      <c r="D69" s="8" t="str">
        <f>IF(Table2[[#This Row],[Nama_Proyek]]="", "Tidak Diketahui", Table2[[#This Row],[Nama_Proyek]])</f>
        <v>Perbaikan Drainase Jakarta</v>
      </c>
      <c r="E69" s="14">
        <v>44961</v>
      </c>
      <c r="F69" s="14">
        <v>45078</v>
      </c>
      <c r="G69" s="10">
        <v>705483967</v>
      </c>
      <c r="H69" s="8" t="str">
        <f>IF(Table2[[#This Row],[Kontraktor]]="", "Tidak Diketahui",Table2[[#This Row],[Kontraktor]])</f>
        <v>CV Sihombing</v>
      </c>
      <c r="I69" s="11"/>
    </row>
    <row r="70" spans="1:9" ht="14.25" customHeight="1" x14ac:dyDescent="0.35">
      <c r="A70" s="8" t="s">
        <v>110</v>
      </c>
      <c r="B70" s="8" t="str">
        <f>IF(Table2[[#This Row],[Jenis_Proyek]]="", "Tidak Diketahui", Table2[[#This Row],[Jenis_Proyek]])</f>
        <v>Jembatan</v>
      </c>
      <c r="C70" s="8" t="str">
        <f>IF(Table2[[#This Row],[Lokasi]]="", "Tidak Diketahui", Table2[[#This Row],[Lokasi]])</f>
        <v>Makassar</v>
      </c>
      <c r="D70" s="8" t="str">
        <f>IF(Table2[[#This Row],[Nama_Proyek]]="", "Tidak Diketahui", Table2[[#This Row],[Nama_Proyek]])</f>
        <v>Perbaikan Jembatan Makassar</v>
      </c>
      <c r="E70" s="14">
        <v>44963</v>
      </c>
      <c r="F70" s="14">
        <v>45048</v>
      </c>
      <c r="G70" s="10">
        <v>3447782131</v>
      </c>
      <c r="H70" s="8" t="str">
        <f>IF(Table2[[#This Row],[Kontraktor]]="", "Tidak Diketahui",Table2[[#This Row],[Kontraktor]])</f>
        <v>PT D</v>
      </c>
      <c r="I70" s="11"/>
    </row>
    <row r="71" spans="1:9" ht="14.25" customHeight="1" x14ac:dyDescent="0.35">
      <c r="A71" s="8" t="s">
        <v>112</v>
      </c>
      <c r="B71" s="8" t="str">
        <f>IF(Table2[[#This Row],[Jenis_Proyek]]="", "Tidak Diketahui", Table2[[#This Row],[Jenis_Proyek]])</f>
        <v>Flyover</v>
      </c>
      <c r="C71" s="8" t="str">
        <f>IF(Table2[[#This Row],[Lokasi]]="", "Tidak Diketahui", Table2[[#This Row],[Lokasi]])</f>
        <v>Depok</v>
      </c>
      <c r="D71" s="8" t="str">
        <f>IF(Table2[[#This Row],[Nama_Proyek]]="", "Tidak Diketahui", Table2[[#This Row],[Nama_Proyek]])</f>
        <v>Pembuatan Flyover Depok</v>
      </c>
      <c r="E71" s="14">
        <v>44963</v>
      </c>
      <c r="F71" s="14">
        <v>45313</v>
      </c>
      <c r="G71" s="10">
        <v>2635808219</v>
      </c>
      <c r="H71" s="8" t="str">
        <f>IF(Table2[[#This Row],[Kontraktor]]="", "Tidak Diketahui",Table2[[#This Row],[Kontraktor]])</f>
        <v>PT B</v>
      </c>
      <c r="I71" s="11"/>
    </row>
    <row r="72" spans="1:9" ht="14.25" customHeight="1" x14ac:dyDescent="0.35">
      <c r="A72" s="8" t="s">
        <v>113</v>
      </c>
      <c r="B72" s="8" t="str">
        <f>IF(Table2[[#This Row],[Jenis_Proyek]]="", "Tidak Diketahui", Table2[[#This Row],[Jenis_Proyek]])</f>
        <v>Flyover</v>
      </c>
      <c r="C72" s="8" t="str">
        <f>IF(Table2[[#This Row],[Lokasi]]="", "Tidak Diketahui", Table2[[#This Row],[Lokasi]])</f>
        <v>Surabaya</v>
      </c>
      <c r="D72" s="8" t="str">
        <f>IF(Table2[[#This Row],[Nama_Proyek]]="", "Tidak Diketahui", Table2[[#This Row],[Nama_Proyek]])</f>
        <v>Pembuatan Flyover Surabaya</v>
      </c>
      <c r="E72" s="14">
        <v>44965</v>
      </c>
      <c r="F72" s="14">
        <v>45267</v>
      </c>
      <c r="G72" s="10">
        <v>2011712412</v>
      </c>
      <c r="H72" s="8" t="str">
        <f>IF(Table2[[#This Row],[Kontraktor]]="", "Tidak Diketahui",Table2[[#This Row],[Kontraktor]])</f>
        <v>PT D</v>
      </c>
      <c r="I72" s="11"/>
    </row>
    <row r="73" spans="1:9" ht="14.25" customHeight="1" x14ac:dyDescent="0.35">
      <c r="A73" s="8" t="s">
        <v>114</v>
      </c>
      <c r="B73" s="8" t="str">
        <f>IF(Table2[[#This Row],[Jenis_Proyek]]="", "Tidak Diketahui", Table2[[#This Row],[Jenis_Proyek]])</f>
        <v>Flyover</v>
      </c>
      <c r="C73" s="8" t="str">
        <f>IF(Table2[[#This Row],[Lokasi]]="", "Tidak Diketahui", Table2[[#This Row],[Lokasi]])</f>
        <v>Jakarta</v>
      </c>
      <c r="D73" s="8" t="str">
        <f>IF(Table2[[#This Row],[Nama_Proyek]]="", "Tidak Diketahui", Table2[[#This Row],[Nama_Proyek]])</f>
        <v>Pembuatan Flyover Jakarta</v>
      </c>
      <c r="E73" s="14">
        <v>44965</v>
      </c>
      <c r="F73" s="14">
        <v>45066</v>
      </c>
      <c r="G73" s="10">
        <v>3202495526</v>
      </c>
      <c r="H73" s="8" t="str">
        <f>IF(Table2[[#This Row],[Kontraktor]]="", "Tidak Diketahui",Table2[[#This Row],[Kontraktor]])</f>
        <v>CV Sihombing</v>
      </c>
      <c r="I73" s="11"/>
    </row>
    <row r="74" spans="1:9" ht="14.25" customHeight="1" x14ac:dyDescent="0.35">
      <c r="A74" s="8" t="s">
        <v>115</v>
      </c>
      <c r="B74" s="8" t="str">
        <f>IF(Table2[[#This Row],[Jenis_Proyek]]="", "Tidak Diketahui", Table2[[#This Row],[Jenis_Proyek]])</f>
        <v>Flyover</v>
      </c>
      <c r="C74" s="8" t="str">
        <f>IF(Table2[[#This Row],[Lokasi]]="", "Tidak Diketahui", Table2[[#This Row],[Lokasi]])</f>
        <v>Surabaya</v>
      </c>
      <c r="D74" s="8" t="str">
        <f>IF(Table2[[#This Row],[Nama_Proyek]]="", "Tidak Diketahui", Table2[[#This Row],[Nama_Proyek]])</f>
        <v>Perbaikan Flyover Surabaya</v>
      </c>
      <c r="E74" s="14">
        <v>44967</v>
      </c>
      <c r="F74" s="14">
        <v>45260</v>
      </c>
      <c r="G74" s="10">
        <v>1655558865</v>
      </c>
      <c r="H74" s="8" t="str">
        <f>IF(Table2[[#This Row],[Kontraktor]]="", "Tidak Diketahui",Table2[[#This Row],[Kontraktor]])</f>
        <v>PT B</v>
      </c>
      <c r="I74" s="11"/>
    </row>
    <row r="75" spans="1:9" ht="14.25" customHeight="1" x14ac:dyDescent="0.35">
      <c r="A75" s="8" t="s">
        <v>116</v>
      </c>
      <c r="B75" s="8" t="str">
        <f>IF(Table2[[#This Row],[Jenis_Proyek]]="", "Tidak Diketahui", Table2[[#This Row],[Jenis_Proyek]])</f>
        <v>Flyover</v>
      </c>
      <c r="C75" s="8" t="str">
        <f>IF(Table2[[#This Row],[Lokasi]]="", "Tidak Diketahui", Table2[[#This Row],[Lokasi]])</f>
        <v>Bandung</v>
      </c>
      <c r="D75" s="8" t="str">
        <f>IF(Table2[[#This Row],[Nama_Proyek]]="", "Tidak Diketahui", Table2[[#This Row],[Nama_Proyek]])</f>
        <v>Pembuatan Flyover Bandung</v>
      </c>
      <c r="E75" s="14">
        <v>44967</v>
      </c>
      <c r="F75" s="14">
        <v>45099</v>
      </c>
      <c r="G75" s="10">
        <v>4806787932</v>
      </c>
      <c r="H75" s="8" t="str">
        <f>IF(Table2[[#This Row],[Kontraktor]]="", "Tidak Diketahui",Table2[[#This Row],[Kontraktor]])</f>
        <v>CV Sihombing</v>
      </c>
      <c r="I75" s="11"/>
    </row>
    <row r="76" spans="1:9" ht="14.25" customHeight="1" x14ac:dyDescent="0.35">
      <c r="A76" s="8" t="s">
        <v>117</v>
      </c>
      <c r="B76" s="8" t="str">
        <f>IF(Table2[[#This Row],[Jenis_Proyek]]="", "Tidak Diketahui", Table2[[#This Row],[Jenis_Proyek]])</f>
        <v>Jalan Raya</v>
      </c>
      <c r="C76" s="8" t="str">
        <f>IF(Table2[[#This Row],[Lokasi]]="", "Tidak Diketahui", Table2[[#This Row],[Lokasi]])</f>
        <v>Tomohon</v>
      </c>
      <c r="D76" s="8" t="str">
        <f>IF(Table2[[#This Row],[Nama_Proyek]]="", "Tidak Diketahui", Table2[[#This Row],[Nama_Proyek]])</f>
        <v>Perbaikan Jalan Raya Tomohon</v>
      </c>
      <c r="E76" s="14">
        <v>44968</v>
      </c>
      <c r="F76" s="14">
        <v>45329</v>
      </c>
      <c r="G76" s="10">
        <v>699551361</v>
      </c>
      <c r="H76" s="8" t="str">
        <f>IF(Table2[[#This Row],[Kontraktor]]="", "Tidak Diketahui",Table2[[#This Row],[Kontraktor]])</f>
        <v>PT A</v>
      </c>
      <c r="I76" s="11"/>
    </row>
    <row r="77" spans="1:9" ht="14.25" customHeight="1" x14ac:dyDescent="0.35">
      <c r="A77" s="8" t="s">
        <v>118</v>
      </c>
      <c r="B77" s="8" t="str">
        <f>IF(Table2[[#This Row],[Jenis_Proyek]]="", "Tidak Diketahui", Table2[[#This Row],[Jenis_Proyek]])</f>
        <v>Drainase</v>
      </c>
      <c r="C77" s="8" t="str">
        <f>IF(Table2[[#This Row],[Lokasi]]="", "Tidak Diketahui", Table2[[#This Row],[Lokasi]])</f>
        <v>Bau-Bau</v>
      </c>
      <c r="D77" s="8" t="str">
        <f>IF(Table2[[#This Row],[Nama_Proyek]]="", "Tidak Diketahui", Table2[[#This Row],[Nama_Proyek]])</f>
        <v>Perbaikan Drainase Bau-Bau</v>
      </c>
      <c r="E77" s="14">
        <v>44968</v>
      </c>
      <c r="F77" s="14">
        <v>45186</v>
      </c>
      <c r="G77" s="10">
        <v>363997813</v>
      </c>
      <c r="H77" s="8" t="str">
        <f>IF(Table2[[#This Row],[Kontraktor]]="", "Tidak Diketahui",Table2[[#This Row],[Kontraktor]])</f>
        <v>PT. Yuniar Hakim Tbk</v>
      </c>
      <c r="I77" s="11"/>
    </row>
    <row r="78" spans="1:9" ht="14.25" customHeight="1" x14ac:dyDescent="0.35">
      <c r="A78" s="8" t="s">
        <v>119</v>
      </c>
      <c r="B78" s="8" t="str">
        <f>IF(Table2[[#This Row],[Jenis_Proyek]]="", "Tidak Diketahui", Table2[[#This Row],[Jenis_Proyek]])</f>
        <v>Jalan Raya</v>
      </c>
      <c r="C78" s="8" t="str">
        <f>IF(Table2[[#This Row],[Lokasi]]="", "Tidak Diketahui", Table2[[#This Row],[Lokasi]])</f>
        <v>Depok</v>
      </c>
      <c r="D78" s="8" t="str">
        <f>IF(Table2[[#This Row],[Nama_Proyek]]="", "Tidak Diketahui", Table2[[#This Row],[Nama_Proyek]])</f>
        <v>Perbaikan Jalan Raya Depok</v>
      </c>
      <c r="E78" s="14">
        <v>44969</v>
      </c>
      <c r="F78" s="14">
        <v>45123</v>
      </c>
      <c r="G78" s="10">
        <v>926922328</v>
      </c>
      <c r="H78" s="8" t="str">
        <f>IF(Table2[[#This Row],[Kontraktor]]="", "Tidak Diketahui",Table2[[#This Row],[Kontraktor]])</f>
        <v>PT C</v>
      </c>
      <c r="I78" s="11"/>
    </row>
    <row r="79" spans="1:9" ht="14.25" customHeight="1" x14ac:dyDescent="0.35">
      <c r="A79" s="8" t="s">
        <v>120</v>
      </c>
      <c r="B79" s="8" t="str">
        <f>IF(Table2[[#This Row],[Jenis_Proyek]]="", "Tidak Diketahui", Table2[[#This Row],[Jenis_Proyek]])</f>
        <v>Tidak Diketahui</v>
      </c>
      <c r="C79" s="8" t="str">
        <f>IF(Table2[[#This Row],[Lokasi]]="", "Tidak Diketahui", Table2[[#This Row],[Lokasi]])</f>
        <v>Tidak Diketahui</v>
      </c>
      <c r="D79" s="8" t="str">
        <f>IF(Table2[[#This Row],[Nama_Proyek]]="", "Tidak Diketahui", Table2[[#This Row],[Nama_Proyek]])</f>
        <v>Tidak Diketahui</v>
      </c>
      <c r="E79" s="14">
        <v>44969</v>
      </c>
      <c r="F79" s="14">
        <v>45030</v>
      </c>
      <c r="G79" s="10">
        <v>314690070</v>
      </c>
      <c r="H79" s="8" t="str">
        <f>IF(Table2[[#This Row],[Kontraktor]]="", "Tidak Diketahui",Table2[[#This Row],[Kontraktor]])</f>
        <v>CV Sihombing</v>
      </c>
      <c r="I79" s="11"/>
    </row>
    <row r="80" spans="1:9" ht="14.25" customHeight="1" x14ac:dyDescent="0.35">
      <c r="A80" s="8" t="s">
        <v>122</v>
      </c>
      <c r="B80" s="8" t="str">
        <f>IF(Table2[[#This Row],[Jenis_Proyek]]="", "Tidak Diketahui", Table2[[#This Row],[Jenis_Proyek]])</f>
        <v>Drainase</v>
      </c>
      <c r="C80" s="8" t="str">
        <f>IF(Table2[[#This Row],[Lokasi]]="", "Tidak Diketahui", Table2[[#This Row],[Lokasi]])</f>
        <v>Surabaya</v>
      </c>
      <c r="D80" s="8" t="str">
        <f>IF(Table2[[#This Row],[Nama_Proyek]]="", "Tidak Diketahui", Table2[[#This Row],[Nama_Proyek]])</f>
        <v>Perbaikan Drainase Surabaya</v>
      </c>
      <c r="E80" s="14">
        <v>44971</v>
      </c>
      <c r="F80" s="14">
        <v>45232</v>
      </c>
      <c r="G80" s="10">
        <v>708312743</v>
      </c>
      <c r="H80" s="8" t="str">
        <f>IF(Table2[[#This Row],[Kontraktor]]="", "Tidak Diketahui",Table2[[#This Row],[Kontraktor]])</f>
        <v>PT D</v>
      </c>
      <c r="I80" s="11"/>
    </row>
    <row r="81" spans="1:9" ht="14.25" customHeight="1" x14ac:dyDescent="0.35">
      <c r="A81" s="8" t="s">
        <v>123</v>
      </c>
      <c r="B81" s="8" t="str">
        <f>IF(Table2[[#This Row],[Jenis_Proyek]]="", "Tidak Diketahui", Table2[[#This Row],[Jenis_Proyek]])</f>
        <v>Drainase</v>
      </c>
      <c r="C81" s="8" t="str">
        <f>IF(Table2[[#This Row],[Lokasi]]="", "Tidak Diketahui", Table2[[#This Row],[Lokasi]])</f>
        <v>Medan</v>
      </c>
      <c r="D81" s="8" t="str">
        <f>IF(Table2[[#This Row],[Nama_Proyek]]="", "Tidak Diketahui", Table2[[#This Row],[Nama_Proyek]])</f>
        <v>Perbaikan Drainase Medan</v>
      </c>
      <c r="E81" s="14">
        <v>44971</v>
      </c>
      <c r="F81" s="14">
        <v>45228</v>
      </c>
      <c r="G81" s="10">
        <v>419037113</v>
      </c>
      <c r="H81" s="8" t="str">
        <f>IF(Table2[[#This Row],[Kontraktor]]="", "Tidak Diketahui",Table2[[#This Row],[Kontraktor]])</f>
        <v>PT A</v>
      </c>
      <c r="I81" s="11"/>
    </row>
    <row r="82" spans="1:9" ht="14.25" customHeight="1" x14ac:dyDescent="0.35">
      <c r="A82" s="8" t="s">
        <v>124</v>
      </c>
      <c r="B82" s="8" t="str">
        <f>IF(Table2[[#This Row],[Jenis_Proyek]]="", "Tidak Diketahui", Table2[[#This Row],[Jenis_Proyek]])</f>
        <v>Drainase</v>
      </c>
      <c r="C82" s="8" t="str">
        <f>IF(Table2[[#This Row],[Lokasi]]="", "Tidak Diketahui", Table2[[#This Row],[Lokasi]])</f>
        <v>Jakarta</v>
      </c>
      <c r="D82" s="8" t="str">
        <f>IF(Table2[[#This Row],[Nama_Proyek]]="", "Tidak Diketahui", Table2[[#This Row],[Nama_Proyek]])</f>
        <v>Perbaikan Drainase Jakarta</v>
      </c>
      <c r="E82" s="14">
        <v>44972</v>
      </c>
      <c r="F82" s="14">
        <v>45130</v>
      </c>
      <c r="G82" s="10">
        <v>500841363</v>
      </c>
      <c r="H82" s="8" t="str">
        <f>IF(Table2[[#This Row],[Kontraktor]]="", "Tidak Diketahui",Table2[[#This Row],[Kontraktor]])</f>
        <v>PT. Yuniar Hakim Tbk</v>
      </c>
      <c r="I82" s="11"/>
    </row>
    <row r="83" spans="1:9" ht="14.25" customHeight="1" x14ac:dyDescent="0.35">
      <c r="A83" s="8" t="s">
        <v>125</v>
      </c>
      <c r="B83" s="8" t="str">
        <f>IF(Table2[[#This Row],[Jenis_Proyek]]="", "Tidak Diketahui", Table2[[#This Row],[Jenis_Proyek]])</f>
        <v>Jalan Raya</v>
      </c>
      <c r="C83" s="8" t="str">
        <f>IF(Table2[[#This Row],[Lokasi]]="", "Tidak Diketahui", Table2[[#This Row],[Lokasi]])</f>
        <v>Jakarta</v>
      </c>
      <c r="D83" s="8" t="str">
        <f>IF(Table2[[#This Row],[Nama_Proyek]]="", "Tidak Diketahui", Table2[[#This Row],[Nama_Proyek]])</f>
        <v>Perbaikan Jalan Raya Jakarta</v>
      </c>
      <c r="E83" s="14">
        <v>44973</v>
      </c>
      <c r="F83" s="14">
        <v>45289</v>
      </c>
      <c r="G83" s="10">
        <v>209304110</v>
      </c>
      <c r="H83" s="8" t="str">
        <f>IF(Table2[[#This Row],[Kontraktor]]="", "Tidak Diketahui",Table2[[#This Row],[Kontraktor]])</f>
        <v>PT. Yuniar Hakim Tbk</v>
      </c>
      <c r="I83" s="11"/>
    </row>
    <row r="84" spans="1:9" ht="14.25" customHeight="1" x14ac:dyDescent="0.35">
      <c r="A84" s="8" t="s">
        <v>126</v>
      </c>
      <c r="B84" s="8" t="str">
        <f>IF(Table2[[#This Row],[Jenis_Proyek]]="", "Tidak Diketahui", Table2[[#This Row],[Jenis_Proyek]])</f>
        <v>Jembatan</v>
      </c>
      <c r="C84" s="8" t="str">
        <f>IF(Table2[[#This Row],[Lokasi]]="", "Tidak Diketahui", Table2[[#This Row],[Lokasi]])</f>
        <v>Medan</v>
      </c>
      <c r="D84" s="8" t="str">
        <f>IF(Table2[[#This Row],[Nama_Proyek]]="", "Tidak Diketahui", Table2[[#This Row],[Nama_Proyek]])</f>
        <v>Perbaikan Jembatan Medan</v>
      </c>
      <c r="E84" s="14">
        <v>44974</v>
      </c>
      <c r="F84" s="14">
        <v>45082</v>
      </c>
      <c r="G84" s="10">
        <v>3686469051</v>
      </c>
      <c r="H84" s="8" t="str">
        <f>IF(Table2[[#This Row],[Kontraktor]]="", "Tidak Diketahui",Table2[[#This Row],[Kontraktor]])</f>
        <v>PT. Yuniar Hakim Tbk</v>
      </c>
      <c r="I84" s="11"/>
    </row>
    <row r="85" spans="1:9" ht="14.25" customHeight="1" x14ac:dyDescent="0.35">
      <c r="A85" s="8" t="s">
        <v>127</v>
      </c>
      <c r="B85" s="8" t="str">
        <f>IF(Table2[[#This Row],[Jenis_Proyek]]="", "Tidak Diketahui", Table2[[#This Row],[Jenis_Proyek]])</f>
        <v>Jalan Raya</v>
      </c>
      <c r="C85" s="8" t="str">
        <f>IF(Table2[[#This Row],[Lokasi]]="", "Tidak Diketahui", Table2[[#This Row],[Lokasi]])</f>
        <v>Bandung</v>
      </c>
      <c r="D85" s="8" t="str">
        <f>IF(Table2[[#This Row],[Nama_Proyek]]="", "Tidak Diketahui", Table2[[#This Row],[Nama_Proyek]])</f>
        <v>Perbaikan Jalan Raya Bandung</v>
      </c>
      <c r="E85" s="14">
        <v>44974</v>
      </c>
      <c r="F85" s="14">
        <v>45112</v>
      </c>
      <c r="G85" s="10">
        <v>353290709</v>
      </c>
      <c r="H85" s="8" t="str">
        <f>IF(Table2[[#This Row],[Kontraktor]]="", "Tidak Diketahui",Table2[[#This Row],[Kontraktor]])</f>
        <v>PT. Lailasari Hariyah (Persero) Tbk</v>
      </c>
      <c r="I85" s="11"/>
    </row>
    <row r="86" spans="1:9" ht="14.25" customHeight="1" x14ac:dyDescent="0.35">
      <c r="A86" s="8" t="s">
        <v>128</v>
      </c>
      <c r="B86" s="8" t="str">
        <f>IF(Table2[[#This Row],[Jenis_Proyek]]="", "Tidak Diketahui", Table2[[#This Row],[Jenis_Proyek]])</f>
        <v>Gedung</v>
      </c>
      <c r="C86" s="8" t="str">
        <f>IF(Table2[[#This Row],[Lokasi]]="", "Tidak Diketahui", Table2[[#This Row],[Lokasi]])</f>
        <v>Jakarta</v>
      </c>
      <c r="D86" s="8" t="str">
        <f>IF(Table2[[#This Row],[Nama_Proyek]]="", "Tidak Diketahui", Table2[[#This Row],[Nama_Proyek]])</f>
        <v>Perbaikan Gedung Pemerintah Jakarta</v>
      </c>
      <c r="E86" s="14">
        <v>44974</v>
      </c>
      <c r="F86" s="14">
        <v>45230</v>
      </c>
      <c r="G86" s="10">
        <v>8935017863</v>
      </c>
      <c r="H86" s="8" t="str">
        <f>IF(Table2[[#This Row],[Kontraktor]]="", "Tidak Diketahui",Table2[[#This Row],[Kontraktor]])</f>
        <v>PT A</v>
      </c>
      <c r="I86" s="11"/>
    </row>
    <row r="87" spans="1:9" ht="14.25" customHeight="1" x14ac:dyDescent="0.35">
      <c r="A87" s="8" t="s">
        <v>129</v>
      </c>
      <c r="B87" s="8" t="str">
        <f>IF(Table2[[#This Row],[Jenis_Proyek]]="", "Tidak Diketahui", Table2[[#This Row],[Jenis_Proyek]])</f>
        <v>Jembatan</v>
      </c>
      <c r="C87" s="8" t="str">
        <f>IF(Table2[[#This Row],[Lokasi]]="", "Tidak Diketahui", Table2[[#This Row],[Lokasi]])</f>
        <v>Bau-Bau</v>
      </c>
      <c r="D87" s="8" t="str">
        <f>IF(Table2[[#This Row],[Nama_Proyek]]="", "Tidak Diketahui", Table2[[#This Row],[Nama_Proyek]])</f>
        <v>Perbaikan Jembatan Bau-Bau</v>
      </c>
      <c r="E87" s="14">
        <v>44975</v>
      </c>
      <c r="F87" s="14">
        <v>45193</v>
      </c>
      <c r="G87" s="10">
        <v>5518454926</v>
      </c>
      <c r="H87" s="8" t="str">
        <f>IF(Table2[[#This Row],[Kontraktor]]="", "Tidak Diketahui",Table2[[#This Row],[Kontraktor]])</f>
        <v>PT C</v>
      </c>
      <c r="I87" s="11"/>
    </row>
    <row r="88" spans="1:9" ht="14.25" customHeight="1" x14ac:dyDescent="0.35">
      <c r="A88" s="8" t="s">
        <v>130</v>
      </c>
      <c r="B88" s="8" t="str">
        <f>IF(Table2[[#This Row],[Jenis_Proyek]]="", "Tidak Diketahui", Table2[[#This Row],[Jenis_Proyek]])</f>
        <v>Flyover</v>
      </c>
      <c r="C88" s="8" t="str">
        <f>IF(Table2[[#This Row],[Lokasi]]="", "Tidak Diketahui", Table2[[#This Row],[Lokasi]])</f>
        <v>Medan</v>
      </c>
      <c r="D88" s="8" t="str">
        <f>IF(Table2[[#This Row],[Nama_Proyek]]="", "Tidak Diketahui", Table2[[#This Row],[Nama_Proyek]])</f>
        <v>Perbaikan Flyover Medan</v>
      </c>
      <c r="E88" s="14">
        <v>44975</v>
      </c>
      <c r="F88" s="14">
        <v>45256</v>
      </c>
      <c r="G88" s="10">
        <v>3367495384</v>
      </c>
      <c r="H88" s="8" t="str">
        <f>IF(Table2[[#This Row],[Kontraktor]]="", "Tidak Diketahui",Table2[[#This Row],[Kontraktor]])</f>
        <v>Tidak Diketahui</v>
      </c>
      <c r="I88" s="11"/>
    </row>
    <row r="89" spans="1:9" ht="14.25" customHeight="1" x14ac:dyDescent="0.35">
      <c r="A89" s="8" t="s">
        <v>131</v>
      </c>
      <c r="B89" s="8" t="str">
        <f>IF(Table2[[#This Row],[Jenis_Proyek]]="", "Tidak Diketahui", Table2[[#This Row],[Jenis_Proyek]])</f>
        <v>Flyover</v>
      </c>
      <c r="C89" s="8" t="str">
        <f>IF(Table2[[#This Row],[Lokasi]]="", "Tidak Diketahui", Table2[[#This Row],[Lokasi]])</f>
        <v>Bandung</v>
      </c>
      <c r="D89" s="8" t="str">
        <f>IF(Table2[[#This Row],[Nama_Proyek]]="", "Tidak Diketahui", Table2[[#This Row],[Nama_Proyek]])</f>
        <v>Perbaikan Flyover Bandung</v>
      </c>
      <c r="E89" s="14">
        <v>44976</v>
      </c>
      <c r="F89" s="14">
        <v>45307</v>
      </c>
      <c r="G89" s="10">
        <v>2293993253</v>
      </c>
      <c r="H89" s="8" t="str">
        <f>IF(Table2[[#This Row],[Kontraktor]]="", "Tidak Diketahui",Table2[[#This Row],[Kontraktor]])</f>
        <v>PT C</v>
      </c>
      <c r="I89" s="11"/>
    </row>
    <row r="90" spans="1:9" ht="14.25" customHeight="1" x14ac:dyDescent="0.35">
      <c r="A90" s="8" t="s">
        <v>132</v>
      </c>
      <c r="B90" s="8" t="str">
        <f>IF(Table2[[#This Row],[Jenis_Proyek]]="", "Tidak Diketahui", Table2[[#This Row],[Jenis_Proyek]])</f>
        <v>Flyover</v>
      </c>
      <c r="C90" s="8" t="str">
        <f>IF(Table2[[#This Row],[Lokasi]]="", "Tidak Diketahui", Table2[[#This Row],[Lokasi]])</f>
        <v>Makassar</v>
      </c>
      <c r="D90" s="8" t="str">
        <f>IF(Table2[[#This Row],[Nama_Proyek]]="", "Tidak Diketahui", Table2[[#This Row],[Nama_Proyek]])</f>
        <v>Pembuatan Flyover Makassar</v>
      </c>
      <c r="E90" s="14">
        <v>44976</v>
      </c>
      <c r="F90" s="14">
        <v>45318</v>
      </c>
      <c r="G90" s="10">
        <v>1790927128</v>
      </c>
      <c r="H90" s="8" t="str">
        <f>IF(Table2[[#This Row],[Kontraktor]]="", "Tidak Diketahui",Table2[[#This Row],[Kontraktor]])</f>
        <v>PT D</v>
      </c>
      <c r="I90" s="11"/>
    </row>
    <row r="91" spans="1:9" ht="14.25" customHeight="1" x14ac:dyDescent="0.35">
      <c r="A91" s="8" t="s">
        <v>134</v>
      </c>
      <c r="B91" s="8" t="str">
        <f>IF(Table2[[#This Row],[Jenis_Proyek]]="", "Tidak Diketahui", Table2[[#This Row],[Jenis_Proyek]])</f>
        <v>Gedung</v>
      </c>
      <c r="C91" s="8" t="str">
        <f>IF(Table2[[#This Row],[Lokasi]]="", "Tidak Diketahui", Table2[[#This Row],[Lokasi]])</f>
        <v>Jakarta</v>
      </c>
      <c r="D91" s="8" t="str">
        <f>IF(Table2[[#This Row],[Nama_Proyek]]="", "Tidak Diketahui", Table2[[#This Row],[Nama_Proyek]])</f>
        <v>Tidak Diketahui</v>
      </c>
      <c r="E91" s="14">
        <v>44977</v>
      </c>
      <c r="F91" s="14">
        <v>45285</v>
      </c>
      <c r="G91" s="10">
        <v>7432359735</v>
      </c>
      <c r="H91" s="8" t="str">
        <f>IF(Table2[[#This Row],[Kontraktor]]="", "Tidak Diketahui",Table2[[#This Row],[Kontraktor]])</f>
        <v>Tidak Diketahui</v>
      </c>
      <c r="I91" s="11"/>
    </row>
    <row r="92" spans="1:9" ht="14.25" customHeight="1" x14ac:dyDescent="0.35">
      <c r="A92" s="8" t="s">
        <v>136</v>
      </c>
      <c r="B92" s="8" t="str">
        <f>IF(Table2[[#This Row],[Jenis_Proyek]]="", "Tidak Diketahui", Table2[[#This Row],[Jenis_Proyek]])</f>
        <v>Gedung</v>
      </c>
      <c r="C92" s="8" t="str">
        <f>IF(Table2[[#This Row],[Lokasi]]="", "Tidak Diketahui", Table2[[#This Row],[Lokasi]])</f>
        <v>Surabaya</v>
      </c>
      <c r="D92" s="8" t="str">
        <f>IF(Table2[[#This Row],[Nama_Proyek]]="", "Tidak Diketahui", Table2[[#This Row],[Nama_Proyek]])</f>
        <v>Perbaikan Gedung Pemerintah Surabaya</v>
      </c>
      <c r="E92" s="14">
        <v>44977</v>
      </c>
      <c r="F92" s="14">
        <v>45233</v>
      </c>
      <c r="G92" s="10">
        <v>7645065116</v>
      </c>
      <c r="H92" s="8" t="str">
        <f>IF(Table2[[#This Row],[Kontraktor]]="", "Tidak Diketahui",Table2[[#This Row],[Kontraktor]])</f>
        <v>Tidak Diketahui</v>
      </c>
      <c r="I92" s="11"/>
    </row>
    <row r="93" spans="1:9" ht="14.25" customHeight="1" x14ac:dyDescent="0.35">
      <c r="A93" s="8" t="s">
        <v>137</v>
      </c>
      <c r="B93" s="8" t="str">
        <f>IF(Table2[[#This Row],[Jenis_Proyek]]="", "Tidak Diketahui", Table2[[#This Row],[Jenis_Proyek]])</f>
        <v>Jembatan</v>
      </c>
      <c r="C93" s="8" t="str">
        <f>IF(Table2[[#This Row],[Lokasi]]="", "Tidak Diketahui", Table2[[#This Row],[Lokasi]])</f>
        <v>Tomohon</v>
      </c>
      <c r="D93" s="8" t="str">
        <f>IF(Table2[[#This Row],[Nama_Proyek]]="", "Tidak Diketahui", Table2[[#This Row],[Nama_Proyek]])</f>
        <v>Perbaikan Jembatan Tomohon</v>
      </c>
      <c r="E93" s="14">
        <v>44979</v>
      </c>
      <c r="F93" s="14">
        <v>45295</v>
      </c>
      <c r="G93" s="10">
        <v>5522312320</v>
      </c>
      <c r="H93" s="8" t="str">
        <f>IF(Table2[[#This Row],[Kontraktor]]="", "Tidak Diketahui",Table2[[#This Row],[Kontraktor]])</f>
        <v>PT. Yuniar Hakim Tbk</v>
      </c>
      <c r="I93" s="11"/>
    </row>
    <row r="94" spans="1:9" ht="14.25" customHeight="1" x14ac:dyDescent="0.35">
      <c r="A94" s="8" t="s">
        <v>138</v>
      </c>
      <c r="B94" s="8" t="str">
        <f>IF(Table2[[#This Row],[Jenis_Proyek]]="", "Tidak Diketahui", Table2[[#This Row],[Jenis_Proyek]])</f>
        <v>Jalan Raya</v>
      </c>
      <c r="C94" s="8" t="str">
        <f>IF(Table2[[#This Row],[Lokasi]]="", "Tidak Diketahui", Table2[[#This Row],[Lokasi]])</f>
        <v>Medan</v>
      </c>
      <c r="D94" s="8" t="str">
        <f>IF(Table2[[#This Row],[Nama_Proyek]]="", "Tidak Diketahui", Table2[[#This Row],[Nama_Proyek]])</f>
        <v>Perbaikan Jalan Raya Medan</v>
      </c>
      <c r="E94" s="14">
        <v>44979</v>
      </c>
      <c r="F94" s="14">
        <v>45074</v>
      </c>
      <c r="G94" s="10">
        <v>934325560</v>
      </c>
      <c r="H94" s="8" t="str">
        <f>IF(Table2[[#This Row],[Kontraktor]]="", "Tidak Diketahui",Table2[[#This Row],[Kontraktor]])</f>
        <v>PT D</v>
      </c>
      <c r="I94" s="11"/>
    </row>
    <row r="95" spans="1:9" ht="14.25" customHeight="1" x14ac:dyDescent="0.35">
      <c r="A95" s="8" t="s">
        <v>139</v>
      </c>
      <c r="B95" s="8" t="str">
        <f>IF(Table2[[#This Row],[Jenis_Proyek]]="", "Tidak Diketahui", Table2[[#This Row],[Jenis_Proyek]])</f>
        <v>Jalan Raya</v>
      </c>
      <c r="C95" s="8" t="str">
        <f>IF(Table2[[#This Row],[Lokasi]]="", "Tidak Diketahui", Table2[[#This Row],[Lokasi]])</f>
        <v>Makassar</v>
      </c>
      <c r="D95" s="8" t="str">
        <f>IF(Table2[[#This Row],[Nama_Proyek]]="", "Tidak Diketahui", Table2[[#This Row],[Nama_Proyek]])</f>
        <v>Perbaikan Jalan Raya Makassar</v>
      </c>
      <c r="E95" s="14">
        <v>44979</v>
      </c>
      <c r="F95" s="14">
        <v>45058</v>
      </c>
      <c r="G95" s="10">
        <v>121142623</v>
      </c>
      <c r="H95" s="8" t="str">
        <f>IF(Table2[[#This Row],[Kontraktor]]="", "Tidak Diketahui",Table2[[#This Row],[Kontraktor]])</f>
        <v>CV Sihombing</v>
      </c>
      <c r="I95" s="11"/>
    </row>
    <row r="96" spans="1:9" ht="14.25" customHeight="1" x14ac:dyDescent="0.35">
      <c r="A96" s="8" t="s">
        <v>140</v>
      </c>
      <c r="B96" s="8" t="str">
        <f>IF(Table2[[#This Row],[Jenis_Proyek]]="", "Tidak Diketahui", Table2[[#This Row],[Jenis_Proyek]])</f>
        <v>Jembatan</v>
      </c>
      <c r="C96" s="8" t="str">
        <f>IF(Table2[[#This Row],[Lokasi]]="", "Tidak Diketahui", Table2[[#This Row],[Lokasi]])</f>
        <v>Medan</v>
      </c>
      <c r="D96" s="8" t="str">
        <f>IF(Table2[[#This Row],[Nama_Proyek]]="", "Tidak Diketahui", Table2[[#This Row],[Nama_Proyek]])</f>
        <v>Pembuatan Jembatan Medan</v>
      </c>
      <c r="E96" s="14">
        <v>44982</v>
      </c>
      <c r="F96" s="14">
        <v>45181</v>
      </c>
      <c r="G96" s="10">
        <v>1493231996</v>
      </c>
      <c r="H96" s="8" t="str">
        <f>IF(Table2[[#This Row],[Kontraktor]]="", "Tidak Diketahui",Table2[[#This Row],[Kontraktor]])</f>
        <v>PT C</v>
      </c>
      <c r="I96" s="11"/>
    </row>
    <row r="97" spans="1:9" ht="14.25" customHeight="1" x14ac:dyDescent="0.35">
      <c r="A97" s="8" t="s">
        <v>141</v>
      </c>
      <c r="B97" s="8" t="str">
        <f>IF(Table2[[#This Row],[Jenis_Proyek]]="", "Tidak Diketahui", Table2[[#This Row],[Jenis_Proyek]])</f>
        <v>Jembatan</v>
      </c>
      <c r="C97" s="8" t="str">
        <f>IF(Table2[[#This Row],[Lokasi]]="", "Tidak Diketahui", Table2[[#This Row],[Lokasi]])</f>
        <v>Jakarta</v>
      </c>
      <c r="D97" s="8" t="str">
        <f>IF(Table2[[#This Row],[Nama_Proyek]]="", "Tidak Diketahui", Table2[[#This Row],[Nama_Proyek]])</f>
        <v>Pembuatan Jembatan Jakarta</v>
      </c>
      <c r="E97" s="14">
        <v>44984</v>
      </c>
      <c r="F97" s="14">
        <v>45324</v>
      </c>
      <c r="G97" s="10">
        <v>5860997586</v>
      </c>
      <c r="H97" s="8" t="str">
        <f>IF(Table2[[#This Row],[Kontraktor]]="", "Tidak Diketahui",Table2[[#This Row],[Kontraktor]])</f>
        <v>PT. Lailasari Hariyah (Persero) Tbk</v>
      </c>
      <c r="I97" s="11"/>
    </row>
    <row r="98" spans="1:9" ht="14.25" customHeight="1" x14ac:dyDescent="0.35">
      <c r="A98" s="8" t="s">
        <v>142</v>
      </c>
      <c r="B98" s="8" t="str">
        <f>IF(Table2[[#This Row],[Jenis_Proyek]]="", "Tidak Diketahui", Table2[[#This Row],[Jenis_Proyek]])</f>
        <v>Drainase</v>
      </c>
      <c r="C98" s="8" t="str">
        <f>IF(Table2[[#This Row],[Lokasi]]="", "Tidak Diketahui", Table2[[#This Row],[Lokasi]])</f>
        <v>Jakarta</v>
      </c>
      <c r="D98" s="8" t="str">
        <f>IF(Table2[[#This Row],[Nama_Proyek]]="", "Tidak Diketahui", Table2[[#This Row],[Nama_Proyek]])</f>
        <v>Perbaikan Drainase Jakarta</v>
      </c>
      <c r="E98" s="14">
        <v>44984</v>
      </c>
      <c r="F98" s="14">
        <v>45149</v>
      </c>
      <c r="G98" s="10">
        <v>551513519</v>
      </c>
      <c r="H98" s="8" t="str">
        <f>IF(Table2[[#This Row],[Kontraktor]]="", "Tidak Diketahui",Table2[[#This Row],[Kontraktor]])</f>
        <v>CV Sihombing</v>
      </c>
      <c r="I98" s="11"/>
    </row>
    <row r="99" spans="1:9" ht="14.25" customHeight="1" x14ac:dyDescent="0.35">
      <c r="A99" s="8" t="s">
        <v>144</v>
      </c>
      <c r="B99" s="8" t="str">
        <f>IF(Table2[[#This Row],[Jenis_Proyek]]="", "Tidak Diketahui", Table2[[#This Row],[Jenis_Proyek]])</f>
        <v>Jalan Raya</v>
      </c>
      <c r="C99" s="8" t="str">
        <f>IF(Table2[[#This Row],[Lokasi]]="", "Tidak Diketahui", Table2[[#This Row],[Lokasi]])</f>
        <v>Surabaya</v>
      </c>
      <c r="D99" s="8" t="str">
        <f>IF(Table2[[#This Row],[Nama_Proyek]]="", "Tidak Diketahui", Table2[[#This Row],[Nama_Proyek]])</f>
        <v>Perbaikan Jalan Raya Surabaya</v>
      </c>
      <c r="E99" s="14">
        <v>44985</v>
      </c>
      <c r="F99" s="14">
        <v>45186</v>
      </c>
      <c r="G99" s="10">
        <v>359783228</v>
      </c>
      <c r="H99" s="8" t="str">
        <f>IF(Table2[[#This Row],[Kontraktor]]="", "Tidak Diketahui",Table2[[#This Row],[Kontraktor]])</f>
        <v>CV Sihombing</v>
      </c>
      <c r="I99" s="11"/>
    </row>
    <row r="100" spans="1:9" ht="14.25" customHeight="1" x14ac:dyDescent="0.35">
      <c r="A100" s="8" t="s">
        <v>146</v>
      </c>
      <c r="B100" s="8" t="str">
        <f>IF(Table2[[#This Row],[Jenis_Proyek]]="", "Tidak Diketahui", Table2[[#This Row],[Jenis_Proyek]])</f>
        <v>Flyover</v>
      </c>
      <c r="C100" s="8" t="str">
        <f>IF(Table2[[#This Row],[Lokasi]]="", "Tidak Diketahui", Table2[[#This Row],[Lokasi]])</f>
        <v>Surabaya</v>
      </c>
      <c r="D100" s="8" t="str">
        <f>IF(Table2[[#This Row],[Nama_Proyek]]="", "Tidak Diketahui", Table2[[#This Row],[Nama_Proyek]])</f>
        <v>Perbaikan Flyover Surabaya</v>
      </c>
      <c r="E100" s="14">
        <v>44986</v>
      </c>
      <c r="F100" s="14">
        <v>45105</v>
      </c>
      <c r="G100" s="10">
        <v>4429242773</v>
      </c>
      <c r="H100" s="8" t="str">
        <f>IF(Table2[[#This Row],[Kontraktor]]="", "Tidak Diketahui",Table2[[#This Row],[Kontraktor]])</f>
        <v>PT D</v>
      </c>
      <c r="I100" s="11"/>
    </row>
    <row r="101" spans="1:9" ht="14.25" customHeight="1" x14ac:dyDescent="0.35">
      <c r="A101" s="8" t="s">
        <v>147</v>
      </c>
      <c r="B101" s="8" t="str">
        <f>IF(Table2[[#This Row],[Jenis_Proyek]]="", "Tidak Diketahui", Table2[[#This Row],[Jenis_Proyek]])</f>
        <v>Gedung</v>
      </c>
      <c r="C101" s="8" t="str">
        <f>IF(Table2[[#This Row],[Lokasi]]="", "Tidak Diketahui", Table2[[#This Row],[Lokasi]])</f>
        <v>Tomohon</v>
      </c>
      <c r="D101" s="8" t="str">
        <f>IF(Table2[[#This Row],[Nama_Proyek]]="", "Tidak Diketahui", Table2[[#This Row],[Nama_Proyek]])</f>
        <v>Perbaikan Gedung Pemerintah Tomohon</v>
      </c>
      <c r="E101" s="14">
        <v>44987</v>
      </c>
      <c r="F101" s="14">
        <v>45234</v>
      </c>
      <c r="G101" s="10">
        <v>2034415367</v>
      </c>
      <c r="H101" s="8" t="str">
        <f>IF(Table2[[#This Row],[Kontraktor]]="", "Tidak Diketahui",Table2[[#This Row],[Kontraktor]])</f>
        <v>PT B</v>
      </c>
      <c r="I101" s="11"/>
    </row>
    <row r="102" spans="1:9" ht="14.25" customHeight="1" x14ac:dyDescent="0.35">
      <c r="A102" s="8" t="s">
        <v>148</v>
      </c>
      <c r="B102" s="8" t="str">
        <f>IF(Table2[[#This Row],[Jenis_Proyek]]="", "Tidak Diketahui", Table2[[#This Row],[Jenis_Proyek]])</f>
        <v>Jembatan</v>
      </c>
      <c r="C102" s="8" t="str">
        <f>IF(Table2[[#This Row],[Lokasi]]="", "Tidak Diketahui", Table2[[#This Row],[Lokasi]])</f>
        <v>Medan</v>
      </c>
      <c r="D102" s="8" t="str">
        <f>IF(Table2[[#This Row],[Nama_Proyek]]="", "Tidak Diketahui", Table2[[#This Row],[Nama_Proyek]])</f>
        <v>Perbaikan Jembatan Medan</v>
      </c>
      <c r="E102" s="14">
        <v>44989</v>
      </c>
      <c r="F102" s="14">
        <v>45301</v>
      </c>
      <c r="G102" s="10">
        <v>1597122511</v>
      </c>
      <c r="H102" s="8" t="str">
        <f>IF(Table2[[#This Row],[Kontraktor]]="", "Tidak Diketahui",Table2[[#This Row],[Kontraktor]])</f>
        <v>CV Sihombing</v>
      </c>
      <c r="I102" s="11"/>
    </row>
    <row r="103" spans="1:9" ht="14.25" customHeight="1" x14ac:dyDescent="0.35">
      <c r="A103" s="8" t="s">
        <v>149</v>
      </c>
      <c r="B103" s="8" t="str">
        <f>IF(Table2[[#This Row],[Jenis_Proyek]]="", "Tidak Diketahui", Table2[[#This Row],[Jenis_Proyek]])</f>
        <v>Jalan Raya</v>
      </c>
      <c r="C103" s="8" t="str">
        <f>IF(Table2[[#This Row],[Lokasi]]="", "Tidak Diketahui", Table2[[#This Row],[Lokasi]])</f>
        <v>Medan</v>
      </c>
      <c r="D103" s="8" t="str">
        <f>IF(Table2[[#This Row],[Nama_Proyek]]="", "Tidak Diketahui", Table2[[#This Row],[Nama_Proyek]])</f>
        <v>Perbaikan Jalan Raya Medan</v>
      </c>
      <c r="E103" s="14">
        <v>44989</v>
      </c>
      <c r="F103" s="14">
        <v>45120</v>
      </c>
      <c r="G103" s="10">
        <v>966519099</v>
      </c>
      <c r="H103" s="8" t="str">
        <f>IF(Table2[[#This Row],[Kontraktor]]="", "Tidak Diketahui",Table2[[#This Row],[Kontraktor]])</f>
        <v>PT C</v>
      </c>
      <c r="I103" s="11"/>
    </row>
    <row r="104" spans="1:9" ht="14.25" customHeight="1" x14ac:dyDescent="0.35">
      <c r="A104" s="8" t="s">
        <v>150</v>
      </c>
      <c r="B104" s="8" t="str">
        <f>IF(Table2[[#This Row],[Jenis_Proyek]]="", "Tidak Diketahui", Table2[[#This Row],[Jenis_Proyek]])</f>
        <v>Jalan Raya</v>
      </c>
      <c r="C104" s="8" t="str">
        <f>IF(Table2[[#This Row],[Lokasi]]="", "Tidak Diketahui", Table2[[#This Row],[Lokasi]])</f>
        <v>Tomohon</v>
      </c>
      <c r="D104" s="8" t="str">
        <f>IF(Table2[[#This Row],[Nama_Proyek]]="", "Tidak Diketahui", Table2[[#This Row],[Nama_Proyek]])</f>
        <v>Perbaikan Jalan Raya Tomohon</v>
      </c>
      <c r="E104" s="14">
        <v>44990</v>
      </c>
      <c r="F104" s="14">
        <v>45158</v>
      </c>
      <c r="G104" s="10">
        <v>881938572</v>
      </c>
      <c r="H104" s="8" t="str">
        <f>IF(Table2[[#This Row],[Kontraktor]]="", "Tidak Diketahui",Table2[[#This Row],[Kontraktor]])</f>
        <v>PT. Yuniar Hakim Tbk</v>
      </c>
      <c r="I104" s="11"/>
    </row>
    <row r="105" spans="1:9" ht="14.25" customHeight="1" x14ac:dyDescent="0.35">
      <c r="A105" s="8" t="s">
        <v>151</v>
      </c>
      <c r="B105" s="8" t="str">
        <f>IF(Table2[[#This Row],[Jenis_Proyek]]="", "Tidak Diketahui", Table2[[#This Row],[Jenis_Proyek]])</f>
        <v>Flyover</v>
      </c>
      <c r="C105" s="8" t="str">
        <f>IF(Table2[[#This Row],[Lokasi]]="", "Tidak Diketahui", Table2[[#This Row],[Lokasi]])</f>
        <v>Jakarta</v>
      </c>
      <c r="D105" s="8" t="str">
        <f>IF(Table2[[#This Row],[Nama_Proyek]]="", "Tidak Diketahui", Table2[[#This Row],[Nama_Proyek]])</f>
        <v>Pembuatan Flyover Jakarta</v>
      </c>
      <c r="E105" s="14">
        <v>44990</v>
      </c>
      <c r="F105" s="14">
        <v>45020</v>
      </c>
      <c r="G105" s="10">
        <v>4508122990</v>
      </c>
      <c r="H105" s="8" t="str">
        <f>IF(Table2[[#This Row],[Kontraktor]]="", "Tidak Diketahui",Table2[[#This Row],[Kontraktor]])</f>
        <v>PT D</v>
      </c>
      <c r="I105" s="11"/>
    </row>
    <row r="106" spans="1:9" ht="14.25" customHeight="1" x14ac:dyDescent="0.35">
      <c r="A106" s="8" t="s">
        <v>152</v>
      </c>
      <c r="B106" s="8" t="str">
        <f>IF(Table2[[#This Row],[Jenis_Proyek]]="", "Tidak Diketahui", Table2[[#This Row],[Jenis_Proyek]])</f>
        <v>Flyover</v>
      </c>
      <c r="C106" s="8" t="str">
        <f>IF(Table2[[#This Row],[Lokasi]]="", "Tidak Diketahui", Table2[[#This Row],[Lokasi]])</f>
        <v>Medan</v>
      </c>
      <c r="D106" s="8" t="str">
        <f>IF(Table2[[#This Row],[Nama_Proyek]]="", "Tidak Diketahui", Table2[[#This Row],[Nama_Proyek]])</f>
        <v>Pembuatan Flyover Medan</v>
      </c>
      <c r="E106" s="14">
        <v>44990</v>
      </c>
      <c r="F106" s="14">
        <v>45311</v>
      </c>
      <c r="G106" s="10">
        <v>1863372939</v>
      </c>
      <c r="H106" s="8" t="str">
        <f>IF(Table2[[#This Row],[Kontraktor]]="", "Tidak Diketahui",Table2[[#This Row],[Kontraktor]])</f>
        <v>CV Sihombing</v>
      </c>
      <c r="I106" s="11"/>
    </row>
    <row r="107" spans="1:9" ht="14.25" customHeight="1" x14ac:dyDescent="0.35">
      <c r="A107" s="8" t="s">
        <v>153</v>
      </c>
      <c r="B107" s="8" t="str">
        <f>IF(Table2[[#This Row],[Jenis_Proyek]]="", "Tidak Diketahui", Table2[[#This Row],[Jenis_Proyek]])</f>
        <v>Drainase</v>
      </c>
      <c r="C107" s="8" t="str">
        <f>IF(Table2[[#This Row],[Lokasi]]="", "Tidak Diketahui", Table2[[#This Row],[Lokasi]])</f>
        <v>Tomohon</v>
      </c>
      <c r="D107" s="8" t="str">
        <f>IF(Table2[[#This Row],[Nama_Proyek]]="", "Tidak Diketahui", Table2[[#This Row],[Nama_Proyek]])</f>
        <v>Perbaikan Drainase Tomohon</v>
      </c>
      <c r="E107" s="14">
        <v>44991</v>
      </c>
      <c r="F107" s="14">
        <v>45062</v>
      </c>
      <c r="G107" s="10">
        <v>512883235</v>
      </c>
      <c r="H107" s="8" t="str">
        <f>IF(Table2[[#This Row],[Kontraktor]]="", "Tidak Diketahui",Table2[[#This Row],[Kontraktor]])</f>
        <v>PT. Lailasari Hariyah (Persero) Tbk</v>
      </c>
      <c r="I107" s="11"/>
    </row>
    <row r="108" spans="1:9" ht="14.25" customHeight="1" x14ac:dyDescent="0.35">
      <c r="A108" s="8" t="s">
        <v>155</v>
      </c>
      <c r="B108" s="8" t="str">
        <f>IF(Table2[[#This Row],[Jenis_Proyek]]="", "Tidak Diketahui", Table2[[#This Row],[Jenis_Proyek]])</f>
        <v>Gedung</v>
      </c>
      <c r="C108" s="8" t="str">
        <f>IF(Table2[[#This Row],[Lokasi]]="", "Tidak Diketahui", Table2[[#This Row],[Lokasi]])</f>
        <v>Medan</v>
      </c>
      <c r="D108" s="8" t="str">
        <f>IF(Table2[[#This Row],[Nama_Proyek]]="", "Tidak Diketahui", Table2[[#This Row],[Nama_Proyek]])</f>
        <v>Perbaikan Gedung Pemerintah Medan</v>
      </c>
      <c r="E108" s="14">
        <v>44991</v>
      </c>
      <c r="F108" s="14">
        <v>45338</v>
      </c>
      <c r="G108" s="10">
        <v>4679669631</v>
      </c>
      <c r="H108" s="8" t="str">
        <f>IF(Table2[[#This Row],[Kontraktor]]="", "Tidak Diketahui",Table2[[#This Row],[Kontraktor]])</f>
        <v>CV Sihombing</v>
      </c>
      <c r="I108" s="11"/>
    </row>
    <row r="109" spans="1:9" ht="14.25" customHeight="1" x14ac:dyDescent="0.35">
      <c r="A109" s="8" t="s">
        <v>156</v>
      </c>
      <c r="B109" s="8" t="str">
        <f>IF(Table2[[#This Row],[Jenis_Proyek]]="", "Tidak Diketahui", Table2[[#This Row],[Jenis_Proyek]])</f>
        <v>Jembatan</v>
      </c>
      <c r="C109" s="8" t="str">
        <f>IF(Table2[[#This Row],[Lokasi]]="", "Tidak Diketahui", Table2[[#This Row],[Lokasi]])</f>
        <v>Bau-Bau</v>
      </c>
      <c r="D109" s="8" t="str">
        <f>IF(Table2[[#This Row],[Nama_Proyek]]="", "Tidak Diketahui", Table2[[#This Row],[Nama_Proyek]])</f>
        <v>Pembuatan Jembatan Bau-Bau</v>
      </c>
      <c r="E109" s="14">
        <v>44991</v>
      </c>
      <c r="F109" s="14">
        <v>45269</v>
      </c>
      <c r="G109" s="10">
        <v>4513453864</v>
      </c>
      <c r="H109" s="8" t="str">
        <f>IF(Table2[[#This Row],[Kontraktor]]="", "Tidak Diketahui",Table2[[#This Row],[Kontraktor]])</f>
        <v>PT. Lailasari Hariyah (Persero) Tbk</v>
      </c>
      <c r="I109" s="11"/>
    </row>
    <row r="110" spans="1:9" ht="14.25" customHeight="1" x14ac:dyDescent="0.35">
      <c r="A110" s="8" t="s">
        <v>157</v>
      </c>
      <c r="B110" s="8" t="str">
        <f>IF(Table2[[#This Row],[Jenis_Proyek]]="", "Tidak Diketahui", Table2[[#This Row],[Jenis_Proyek]])</f>
        <v>Jembatan</v>
      </c>
      <c r="C110" s="8" t="str">
        <f>IF(Table2[[#This Row],[Lokasi]]="", "Tidak Diketahui", Table2[[#This Row],[Lokasi]])</f>
        <v>Bandung</v>
      </c>
      <c r="D110" s="8" t="str">
        <f>IF(Table2[[#This Row],[Nama_Proyek]]="", "Tidak Diketahui", Table2[[#This Row],[Nama_Proyek]])</f>
        <v>Perbaikan Jembatan Bandung</v>
      </c>
      <c r="E110" s="14">
        <v>44992</v>
      </c>
      <c r="F110" s="14">
        <v>45322</v>
      </c>
      <c r="G110" s="10">
        <v>7126604362</v>
      </c>
      <c r="H110" s="8" t="str">
        <f>IF(Table2[[#This Row],[Kontraktor]]="", "Tidak Diketahui",Table2[[#This Row],[Kontraktor]])</f>
        <v>PT D</v>
      </c>
      <c r="I110" s="11"/>
    </row>
    <row r="111" spans="1:9" ht="14.25" customHeight="1" x14ac:dyDescent="0.35">
      <c r="A111" s="8" t="s">
        <v>158</v>
      </c>
      <c r="B111" s="8" t="str">
        <f>IF(Table2[[#This Row],[Jenis_Proyek]]="", "Tidak Diketahui", Table2[[#This Row],[Jenis_Proyek]])</f>
        <v>Jembatan</v>
      </c>
      <c r="C111" s="8" t="str">
        <f>IF(Table2[[#This Row],[Lokasi]]="", "Tidak Diketahui", Table2[[#This Row],[Lokasi]])</f>
        <v>Medan</v>
      </c>
      <c r="D111" s="8" t="str">
        <f>IF(Table2[[#This Row],[Nama_Proyek]]="", "Tidak Diketahui", Table2[[#This Row],[Nama_Proyek]])</f>
        <v>Perbaikan Jembatan Medan</v>
      </c>
      <c r="E111" s="14">
        <v>44994</v>
      </c>
      <c r="F111" s="14">
        <v>45241</v>
      </c>
      <c r="G111" s="10">
        <v>4952427692</v>
      </c>
      <c r="H111" s="8" t="str">
        <f>IF(Table2[[#This Row],[Kontraktor]]="", "Tidak Diketahui",Table2[[#This Row],[Kontraktor]])</f>
        <v>PT. Lailasari Hariyah (Persero) Tbk</v>
      </c>
      <c r="I111" s="11"/>
    </row>
    <row r="112" spans="1:9" ht="14.25" customHeight="1" x14ac:dyDescent="0.35">
      <c r="A112" s="8" t="s">
        <v>159</v>
      </c>
      <c r="B112" s="8" t="str">
        <f>IF(Table2[[#This Row],[Jenis_Proyek]]="", "Tidak Diketahui", Table2[[#This Row],[Jenis_Proyek]])</f>
        <v>Drainase</v>
      </c>
      <c r="C112" s="8" t="str">
        <f>IF(Table2[[#This Row],[Lokasi]]="", "Tidak Diketahui", Table2[[#This Row],[Lokasi]])</f>
        <v>Bau-Bau</v>
      </c>
      <c r="D112" s="8" t="str">
        <f>IF(Table2[[#This Row],[Nama_Proyek]]="", "Tidak Diketahui", Table2[[#This Row],[Nama_Proyek]])</f>
        <v>Perbaikan Drainase Bau-Bau</v>
      </c>
      <c r="E112" s="14">
        <v>44994</v>
      </c>
      <c r="F112" s="14">
        <v>45231</v>
      </c>
      <c r="G112" s="10">
        <v>542759810</v>
      </c>
      <c r="H112" s="8" t="str">
        <f>IF(Table2[[#This Row],[Kontraktor]]="", "Tidak Diketahui",Table2[[#This Row],[Kontraktor]])</f>
        <v>CV Sihombing</v>
      </c>
      <c r="I112" s="11"/>
    </row>
    <row r="113" spans="1:9" ht="14.25" customHeight="1" x14ac:dyDescent="0.35">
      <c r="A113" s="8" t="s">
        <v>161</v>
      </c>
      <c r="B113" s="8" t="str">
        <f>IF(Table2[[#This Row],[Jenis_Proyek]]="", "Tidak Diketahui", Table2[[#This Row],[Jenis_Proyek]])</f>
        <v>Gedung</v>
      </c>
      <c r="C113" s="8" t="str">
        <f>IF(Table2[[#This Row],[Lokasi]]="", "Tidak Diketahui", Table2[[#This Row],[Lokasi]])</f>
        <v>Surabaya</v>
      </c>
      <c r="D113" s="8" t="str">
        <f>IF(Table2[[#This Row],[Nama_Proyek]]="", "Tidak Diketahui", Table2[[#This Row],[Nama_Proyek]])</f>
        <v>Perbaikan Gedung Pemerintah Surabaya</v>
      </c>
      <c r="E113" s="14">
        <v>44994</v>
      </c>
      <c r="F113" s="14">
        <v>45074</v>
      </c>
      <c r="G113" s="10">
        <v>5059161734</v>
      </c>
      <c r="H113" s="8" t="str">
        <f>IF(Table2[[#This Row],[Kontraktor]]="", "Tidak Diketahui",Table2[[#This Row],[Kontraktor]])</f>
        <v>PT D</v>
      </c>
      <c r="I113" s="11"/>
    </row>
    <row r="114" spans="1:9" ht="14.25" customHeight="1" x14ac:dyDescent="0.35">
      <c r="A114" s="8" t="s">
        <v>162</v>
      </c>
      <c r="B114" s="8" t="str">
        <f>IF(Table2[[#This Row],[Jenis_Proyek]]="", "Tidak Diketahui", Table2[[#This Row],[Jenis_Proyek]])</f>
        <v>Jembatan</v>
      </c>
      <c r="C114" s="8" t="str">
        <f>IF(Table2[[#This Row],[Lokasi]]="", "Tidak Diketahui", Table2[[#This Row],[Lokasi]])</f>
        <v>Bau-Bau</v>
      </c>
      <c r="D114" s="8" t="str">
        <f>IF(Table2[[#This Row],[Nama_Proyek]]="", "Tidak Diketahui", Table2[[#This Row],[Nama_Proyek]])</f>
        <v>Perbaikan Jembatan Bau-Bau</v>
      </c>
      <c r="E114" s="14">
        <v>44996</v>
      </c>
      <c r="F114" s="14">
        <v>45203</v>
      </c>
      <c r="G114" s="10">
        <v>5462259142</v>
      </c>
      <c r="H114" s="8" t="str">
        <f>IF(Table2[[#This Row],[Kontraktor]]="", "Tidak Diketahui",Table2[[#This Row],[Kontraktor]])</f>
        <v>PT A</v>
      </c>
      <c r="I114" s="11"/>
    </row>
    <row r="115" spans="1:9" ht="14.25" customHeight="1" x14ac:dyDescent="0.35">
      <c r="A115" s="8" t="s">
        <v>163</v>
      </c>
      <c r="B115" s="8" t="str">
        <f>IF(Table2[[#This Row],[Jenis_Proyek]]="", "Tidak Diketahui", Table2[[#This Row],[Jenis_Proyek]])</f>
        <v>Flyover</v>
      </c>
      <c r="C115" s="8" t="str">
        <f>IF(Table2[[#This Row],[Lokasi]]="", "Tidak Diketahui", Table2[[#This Row],[Lokasi]])</f>
        <v>Tomohon</v>
      </c>
      <c r="D115" s="8" t="str">
        <f>IF(Table2[[#This Row],[Nama_Proyek]]="", "Tidak Diketahui", Table2[[#This Row],[Nama_Proyek]])</f>
        <v>Perbaikan Flyover Tomohon</v>
      </c>
      <c r="E115" s="14">
        <v>44996</v>
      </c>
      <c r="F115" s="14">
        <v>45181</v>
      </c>
      <c r="G115" s="10">
        <v>3922070251</v>
      </c>
      <c r="H115" s="8" t="str">
        <f>IF(Table2[[#This Row],[Kontraktor]]="", "Tidak Diketahui",Table2[[#This Row],[Kontraktor]])</f>
        <v>PT D</v>
      </c>
      <c r="I115" s="11"/>
    </row>
    <row r="116" spans="1:9" ht="14.25" customHeight="1" x14ac:dyDescent="0.35">
      <c r="A116" s="8" t="s">
        <v>164</v>
      </c>
      <c r="B116" s="8" t="str">
        <f>IF(Table2[[#This Row],[Jenis_Proyek]]="", "Tidak Diketahui", Table2[[#This Row],[Jenis_Proyek]])</f>
        <v>Gedung</v>
      </c>
      <c r="C116" s="8" t="str">
        <f>IF(Table2[[#This Row],[Lokasi]]="", "Tidak Diketahui", Table2[[#This Row],[Lokasi]])</f>
        <v>Makassar</v>
      </c>
      <c r="D116" s="8" t="str">
        <f>IF(Table2[[#This Row],[Nama_Proyek]]="", "Tidak Diketahui", Table2[[#This Row],[Nama_Proyek]])</f>
        <v>Perbaikan Gedung Pemerintah Makassar</v>
      </c>
      <c r="E116" s="14">
        <v>44998</v>
      </c>
      <c r="F116" s="14">
        <v>45341</v>
      </c>
      <c r="G116" s="10">
        <v>9404668499</v>
      </c>
      <c r="H116" s="8" t="str">
        <f>IF(Table2[[#This Row],[Kontraktor]]="", "Tidak Diketahui",Table2[[#This Row],[Kontraktor]])</f>
        <v>Tidak Diketahui</v>
      </c>
      <c r="I116" s="11"/>
    </row>
    <row r="117" spans="1:9" ht="14.25" customHeight="1" x14ac:dyDescent="0.35">
      <c r="A117" s="8" t="s">
        <v>165</v>
      </c>
      <c r="B117" s="8" t="str">
        <f>IF(Table2[[#This Row],[Jenis_Proyek]]="", "Tidak Diketahui", Table2[[#This Row],[Jenis_Proyek]])</f>
        <v>Gedung</v>
      </c>
      <c r="C117" s="8" t="str">
        <f>IF(Table2[[#This Row],[Lokasi]]="", "Tidak Diketahui", Table2[[#This Row],[Lokasi]])</f>
        <v>Tomohon</v>
      </c>
      <c r="D117" s="8" t="str">
        <f>IF(Table2[[#This Row],[Nama_Proyek]]="", "Tidak Diketahui", Table2[[#This Row],[Nama_Proyek]])</f>
        <v>Perbaikan Gedung Pemerintah Tomohon</v>
      </c>
      <c r="E117" s="14">
        <v>45000</v>
      </c>
      <c r="F117" s="14">
        <v>45038</v>
      </c>
      <c r="G117" s="10">
        <v>6049021945</v>
      </c>
      <c r="H117" s="8" t="str">
        <f>IF(Table2[[#This Row],[Kontraktor]]="", "Tidak Diketahui",Table2[[#This Row],[Kontraktor]])</f>
        <v>CV Sihombing</v>
      </c>
      <c r="I117" s="11"/>
    </row>
    <row r="118" spans="1:9" ht="14.25" customHeight="1" x14ac:dyDescent="0.35">
      <c r="A118" s="8" t="s">
        <v>166</v>
      </c>
      <c r="B118" s="8" t="str">
        <f>IF(Table2[[#This Row],[Jenis_Proyek]]="", "Tidak Diketahui", Table2[[#This Row],[Jenis_Proyek]])</f>
        <v>Jalan Raya</v>
      </c>
      <c r="C118" s="8" t="str">
        <f>IF(Table2[[#This Row],[Lokasi]]="", "Tidak Diketahui", Table2[[#This Row],[Lokasi]])</f>
        <v>Tomohon</v>
      </c>
      <c r="D118" s="8" t="str">
        <f>IF(Table2[[#This Row],[Nama_Proyek]]="", "Tidak Diketahui", Table2[[#This Row],[Nama_Proyek]])</f>
        <v>Perbaikan Jalan Raya Tomohon</v>
      </c>
      <c r="E118" s="14">
        <v>45001</v>
      </c>
      <c r="F118" s="14">
        <v>45325</v>
      </c>
      <c r="G118" s="10">
        <v>989197622</v>
      </c>
      <c r="H118" s="8" t="str">
        <f>IF(Table2[[#This Row],[Kontraktor]]="", "Tidak Diketahui",Table2[[#This Row],[Kontraktor]])</f>
        <v>CV Sihombing</v>
      </c>
      <c r="I118" s="11"/>
    </row>
    <row r="119" spans="1:9" ht="14.25" customHeight="1" x14ac:dyDescent="0.35">
      <c r="A119" s="8" t="s">
        <v>167</v>
      </c>
      <c r="B119" s="8" t="str">
        <f>IF(Table2[[#This Row],[Jenis_Proyek]]="", "Tidak Diketahui", Table2[[#This Row],[Jenis_Proyek]])</f>
        <v>Jalan Raya</v>
      </c>
      <c r="C119" s="8" t="str">
        <f>IF(Table2[[#This Row],[Lokasi]]="", "Tidak Diketahui", Table2[[#This Row],[Lokasi]])</f>
        <v>Bandung</v>
      </c>
      <c r="D119" s="8" t="str">
        <f>IF(Table2[[#This Row],[Nama_Proyek]]="", "Tidak Diketahui", Table2[[#This Row],[Nama_Proyek]])</f>
        <v>Perbaikan Jalan Raya Bandung</v>
      </c>
      <c r="E119" s="14">
        <v>45001</v>
      </c>
      <c r="F119" s="14">
        <v>45268</v>
      </c>
      <c r="G119" s="10">
        <v>923609376</v>
      </c>
      <c r="H119" s="8" t="str">
        <f>IF(Table2[[#This Row],[Kontraktor]]="", "Tidak Diketahui",Table2[[#This Row],[Kontraktor]])</f>
        <v>PT C</v>
      </c>
      <c r="I119" s="11"/>
    </row>
    <row r="120" spans="1:9" ht="14.25" customHeight="1" x14ac:dyDescent="0.35">
      <c r="A120" s="8" t="s">
        <v>168</v>
      </c>
      <c r="B120" s="8" t="str">
        <f>IF(Table2[[#This Row],[Jenis_Proyek]]="", "Tidak Diketahui", Table2[[#This Row],[Jenis_Proyek]])</f>
        <v>Gedung</v>
      </c>
      <c r="C120" s="8" t="str">
        <f>IF(Table2[[#This Row],[Lokasi]]="", "Tidak Diketahui", Table2[[#This Row],[Lokasi]])</f>
        <v>Bandung</v>
      </c>
      <c r="D120" s="8" t="str">
        <f>IF(Table2[[#This Row],[Nama_Proyek]]="", "Tidak Diketahui", Table2[[#This Row],[Nama_Proyek]])</f>
        <v>Perbaikan Gedung Pemerintah Bandung</v>
      </c>
      <c r="E120" s="14">
        <v>45001</v>
      </c>
      <c r="F120" s="14">
        <v>45173</v>
      </c>
      <c r="G120" s="10">
        <v>7000822070</v>
      </c>
      <c r="H120" s="8" t="str">
        <f>IF(Table2[[#This Row],[Kontraktor]]="", "Tidak Diketahui",Table2[[#This Row],[Kontraktor]])</f>
        <v>PT D</v>
      </c>
      <c r="I120" s="11"/>
    </row>
    <row r="121" spans="1:9" ht="14.25" customHeight="1" x14ac:dyDescent="0.35">
      <c r="A121" s="8" t="s">
        <v>169</v>
      </c>
      <c r="B121" s="8" t="str">
        <f>IF(Table2[[#This Row],[Jenis_Proyek]]="", "Tidak Diketahui", Table2[[#This Row],[Jenis_Proyek]])</f>
        <v>Gedung</v>
      </c>
      <c r="C121" s="8" t="str">
        <f>IF(Table2[[#This Row],[Lokasi]]="", "Tidak Diketahui", Table2[[#This Row],[Lokasi]])</f>
        <v>Jakarta</v>
      </c>
      <c r="D121" s="8" t="str">
        <f>IF(Table2[[#This Row],[Nama_Proyek]]="", "Tidak Diketahui", Table2[[#This Row],[Nama_Proyek]])</f>
        <v>Perbaikan Gedung Pemerintah Jakarta</v>
      </c>
      <c r="E121" s="14">
        <v>45003</v>
      </c>
      <c r="F121" s="14">
        <v>45165</v>
      </c>
      <c r="G121" s="10">
        <v>4006400142</v>
      </c>
      <c r="H121" s="8" t="str">
        <f>IF(Table2[[#This Row],[Kontraktor]]="", "Tidak Diketahui",Table2[[#This Row],[Kontraktor]])</f>
        <v>PT. Lailasari Hariyah (Persero) Tbk</v>
      </c>
      <c r="I121" s="11"/>
    </row>
    <row r="122" spans="1:9" ht="14.25" customHeight="1" x14ac:dyDescent="0.35">
      <c r="A122" s="8" t="s">
        <v>170</v>
      </c>
      <c r="B122" s="8" t="str">
        <f>IF(Table2[[#This Row],[Jenis_Proyek]]="", "Tidak Diketahui", Table2[[#This Row],[Jenis_Proyek]])</f>
        <v>Gedung</v>
      </c>
      <c r="C122" s="8" t="str">
        <f>IF(Table2[[#This Row],[Lokasi]]="", "Tidak Diketahui", Table2[[#This Row],[Lokasi]])</f>
        <v>Depok</v>
      </c>
      <c r="D122" s="8" t="str">
        <f>IF(Table2[[#This Row],[Nama_Proyek]]="", "Tidak Diketahui", Table2[[#This Row],[Nama_Proyek]])</f>
        <v>Perbaikan Gedung Pemerintah Depok</v>
      </c>
      <c r="E122" s="14">
        <v>45004</v>
      </c>
      <c r="F122" s="14">
        <v>45314</v>
      </c>
      <c r="G122" s="10">
        <v>7054924571</v>
      </c>
      <c r="H122" s="8" t="str">
        <f>IF(Table2[[#This Row],[Kontraktor]]="", "Tidak Diketahui",Table2[[#This Row],[Kontraktor]])</f>
        <v>PT. Yuniar Hakim Tbk</v>
      </c>
      <c r="I122" s="11"/>
    </row>
    <row r="123" spans="1:9" ht="14.25" customHeight="1" x14ac:dyDescent="0.35">
      <c r="A123" s="8" t="s">
        <v>172</v>
      </c>
      <c r="B123" s="8" t="str">
        <f>IF(Table2[[#This Row],[Jenis_Proyek]]="", "Tidak Diketahui", Table2[[#This Row],[Jenis_Proyek]])</f>
        <v>Jembatan</v>
      </c>
      <c r="C123" s="8" t="str">
        <f>IF(Table2[[#This Row],[Lokasi]]="", "Tidak Diketahui", Table2[[#This Row],[Lokasi]])</f>
        <v>Medan</v>
      </c>
      <c r="D123" s="8" t="str">
        <f>IF(Table2[[#This Row],[Nama_Proyek]]="", "Tidak Diketahui", Table2[[#This Row],[Nama_Proyek]])</f>
        <v>Perbaikan Jembatan Medan</v>
      </c>
      <c r="E123" s="14">
        <v>45006</v>
      </c>
      <c r="F123" s="14">
        <v>45234</v>
      </c>
      <c r="G123" s="10">
        <v>7494641055</v>
      </c>
      <c r="H123" s="8" t="str">
        <f>IF(Table2[[#This Row],[Kontraktor]]="", "Tidak Diketahui",Table2[[#This Row],[Kontraktor]])</f>
        <v>Tidak Diketahui</v>
      </c>
      <c r="I123" s="11"/>
    </row>
    <row r="124" spans="1:9" ht="14.25" customHeight="1" x14ac:dyDescent="0.35">
      <c r="A124" s="8" t="s">
        <v>173</v>
      </c>
      <c r="B124" s="8" t="str">
        <f>IF(Table2[[#This Row],[Jenis_Proyek]]="", "Tidak Diketahui", Table2[[#This Row],[Jenis_Proyek]])</f>
        <v>Gedung</v>
      </c>
      <c r="C124" s="8" t="str">
        <f>IF(Table2[[#This Row],[Lokasi]]="", "Tidak Diketahui", Table2[[#This Row],[Lokasi]])</f>
        <v>Medan</v>
      </c>
      <c r="D124" s="8" t="str">
        <f>IF(Table2[[#This Row],[Nama_Proyek]]="", "Tidak Diketahui", Table2[[#This Row],[Nama_Proyek]])</f>
        <v>Perbaikan Gedung Pemerintah Medan</v>
      </c>
      <c r="E124" s="14">
        <v>45008</v>
      </c>
      <c r="F124" s="14">
        <v>45268</v>
      </c>
      <c r="G124" s="10">
        <v>7221183664</v>
      </c>
      <c r="H124" s="8" t="str">
        <f>IF(Table2[[#This Row],[Kontraktor]]="", "Tidak Diketahui",Table2[[#This Row],[Kontraktor]])</f>
        <v>PT C</v>
      </c>
      <c r="I124" s="11"/>
    </row>
    <row r="125" spans="1:9" ht="14.25" customHeight="1" x14ac:dyDescent="0.35">
      <c r="A125" s="8" t="s">
        <v>174</v>
      </c>
      <c r="B125" s="8" t="str">
        <f>IF(Table2[[#This Row],[Jenis_Proyek]]="", "Tidak Diketahui", Table2[[#This Row],[Jenis_Proyek]])</f>
        <v>Jalan Raya</v>
      </c>
      <c r="C125" s="8" t="str">
        <f>IF(Table2[[#This Row],[Lokasi]]="", "Tidak Diketahui", Table2[[#This Row],[Lokasi]])</f>
        <v>Bandung</v>
      </c>
      <c r="D125" s="8" t="str">
        <f>IF(Table2[[#This Row],[Nama_Proyek]]="", "Tidak Diketahui", Table2[[#This Row],[Nama_Proyek]])</f>
        <v>Perbaikan Jalan Raya Bandung</v>
      </c>
      <c r="E125" s="14">
        <v>45008</v>
      </c>
      <c r="F125" s="14">
        <v>45121</v>
      </c>
      <c r="G125" s="10">
        <v>870876750</v>
      </c>
      <c r="H125" s="8" t="str">
        <f>IF(Table2[[#This Row],[Kontraktor]]="", "Tidak Diketahui",Table2[[#This Row],[Kontraktor]])</f>
        <v>PT. Lailasari Hariyah (Persero) Tbk</v>
      </c>
      <c r="I125" s="11"/>
    </row>
    <row r="126" spans="1:9" ht="14.25" customHeight="1" x14ac:dyDescent="0.35">
      <c r="A126" s="8" t="s">
        <v>175</v>
      </c>
      <c r="B126" s="8" t="str">
        <f>IF(Table2[[#This Row],[Jenis_Proyek]]="", "Tidak Diketahui", Table2[[#This Row],[Jenis_Proyek]])</f>
        <v>Flyover</v>
      </c>
      <c r="C126" s="8" t="str">
        <f>IF(Table2[[#This Row],[Lokasi]]="", "Tidak Diketahui", Table2[[#This Row],[Lokasi]])</f>
        <v>Makassar</v>
      </c>
      <c r="D126" s="8" t="str">
        <f>IF(Table2[[#This Row],[Nama_Proyek]]="", "Tidak Diketahui", Table2[[#This Row],[Nama_Proyek]])</f>
        <v>Perbaikan Flyover Makassar</v>
      </c>
      <c r="E126" s="14">
        <v>45009</v>
      </c>
      <c r="F126" s="14">
        <v>45316</v>
      </c>
      <c r="G126" s="10">
        <v>2164051592</v>
      </c>
      <c r="H126" s="8" t="str">
        <f>IF(Table2[[#This Row],[Kontraktor]]="", "Tidak Diketahui",Table2[[#This Row],[Kontraktor]])</f>
        <v>PT C</v>
      </c>
      <c r="I126" s="11"/>
    </row>
    <row r="127" spans="1:9" ht="14.25" customHeight="1" x14ac:dyDescent="0.35">
      <c r="A127" s="8" t="s">
        <v>176</v>
      </c>
      <c r="B127" s="8" t="str">
        <f>IF(Table2[[#This Row],[Jenis_Proyek]]="", "Tidak Diketahui", Table2[[#This Row],[Jenis_Proyek]])</f>
        <v>Flyover</v>
      </c>
      <c r="C127" s="8" t="str">
        <f>IF(Table2[[#This Row],[Lokasi]]="", "Tidak Diketahui", Table2[[#This Row],[Lokasi]])</f>
        <v>Bandung</v>
      </c>
      <c r="D127" s="8" t="str">
        <f>IF(Table2[[#This Row],[Nama_Proyek]]="", "Tidak Diketahui", Table2[[#This Row],[Nama_Proyek]])</f>
        <v>Pembuatan Flyover Bandung</v>
      </c>
      <c r="E127" s="14">
        <v>45009</v>
      </c>
      <c r="F127" s="14">
        <v>45280</v>
      </c>
      <c r="G127" s="10">
        <v>3746270294</v>
      </c>
      <c r="H127" s="8" t="str">
        <f>IF(Table2[[#This Row],[Kontraktor]]="", "Tidak Diketahui",Table2[[#This Row],[Kontraktor]])</f>
        <v>PT C</v>
      </c>
      <c r="I127" s="11"/>
    </row>
    <row r="128" spans="1:9" ht="14.25" customHeight="1" x14ac:dyDescent="0.35">
      <c r="A128" s="8" t="s">
        <v>177</v>
      </c>
      <c r="B128" s="8" t="str">
        <f>IF(Table2[[#This Row],[Jenis_Proyek]]="", "Tidak Diketahui", Table2[[#This Row],[Jenis_Proyek]])</f>
        <v>Gedung</v>
      </c>
      <c r="C128" s="8" t="str">
        <f>IF(Table2[[#This Row],[Lokasi]]="", "Tidak Diketahui", Table2[[#This Row],[Lokasi]])</f>
        <v>Bau-Bau</v>
      </c>
      <c r="D128" s="8" t="str">
        <f>IF(Table2[[#This Row],[Nama_Proyek]]="", "Tidak Diketahui", Table2[[#This Row],[Nama_Proyek]])</f>
        <v>Perbaikan Gedung Pemerintah Bau-Bau</v>
      </c>
      <c r="E128" s="14">
        <v>45010</v>
      </c>
      <c r="F128" s="14">
        <v>45049</v>
      </c>
      <c r="G128" s="10">
        <v>3094147448</v>
      </c>
      <c r="H128" s="8" t="str">
        <f>IF(Table2[[#This Row],[Kontraktor]]="", "Tidak Diketahui",Table2[[#This Row],[Kontraktor]])</f>
        <v>PT. Yuniar Hakim Tbk</v>
      </c>
      <c r="I128" s="11"/>
    </row>
    <row r="129" spans="1:9" ht="14.25" customHeight="1" x14ac:dyDescent="0.35">
      <c r="A129" s="8" t="s">
        <v>178</v>
      </c>
      <c r="B129" s="8" t="str">
        <f>IF(Table2[[#This Row],[Jenis_Proyek]]="", "Tidak Diketahui", Table2[[#This Row],[Jenis_Proyek]])</f>
        <v>Tidak Diketahui</v>
      </c>
      <c r="C129" s="8" t="str">
        <f>IF(Table2[[#This Row],[Lokasi]]="", "Tidak Diketahui", Table2[[#This Row],[Lokasi]])</f>
        <v>Bandung</v>
      </c>
      <c r="D129" s="8" t="str">
        <f>IF(Table2[[#This Row],[Nama_Proyek]]="", "Tidak Diketahui", Table2[[#This Row],[Nama_Proyek]])</f>
        <v>Tidak Diketahui</v>
      </c>
      <c r="E129" s="14">
        <v>45010</v>
      </c>
      <c r="F129" s="14">
        <v>45091</v>
      </c>
      <c r="G129" s="10">
        <v>2960912774</v>
      </c>
      <c r="H129" s="8" t="str">
        <f>IF(Table2[[#This Row],[Kontraktor]]="", "Tidak Diketahui",Table2[[#This Row],[Kontraktor]])</f>
        <v>Tidak Diketahui</v>
      </c>
      <c r="I129" s="11"/>
    </row>
    <row r="130" spans="1:9" ht="14.25" customHeight="1" x14ac:dyDescent="0.35">
      <c r="A130" s="8" t="s">
        <v>179</v>
      </c>
      <c r="B130" s="8" t="str">
        <f>IF(Table2[[#This Row],[Jenis_Proyek]]="", "Tidak Diketahui", Table2[[#This Row],[Jenis_Proyek]])</f>
        <v>Drainase</v>
      </c>
      <c r="C130" s="8" t="str">
        <f>IF(Table2[[#This Row],[Lokasi]]="", "Tidak Diketahui", Table2[[#This Row],[Lokasi]])</f>
        <v>Makassar</v>
      </c>
      <c r="D130" s="8" t="str">
        <f>IF(Table2[[#This Row],[Nama_Proyek]]="", "Tidak Diketahui", Table2[[#This Row],[Nama_Proyek]])</f>
        <v>Perbaikan Drainase Makassar</v>
      </c>
      <c r="E130" s="14">
        <v>45011</v>
      </c>
      <c r="F130" s="14">
        <v>45235</v>
      </c>
      <c r="G130" s="10">
        <v>421859230</v>
      </c>
      <c r="H130" s="8" t="str">
        <f>IF(Table2[[#This Row],[Kontraktor]]="", "Tidak Diketahui",Table2[[#This Row],[Kontraktor]])</f>
        <v>Tidak Diketahui</v>
      </c>
      <c r="I130" s="11"/>
    </row>
    <row r="131" spans="1:9" ht="14.25" customHeight="1" x14ac:dyDescent="0.35">
      <c r="A131" s="8" t="s">
        <v>180</v>
      </c>
      <c r="B131" s="8" t="str">
        <f>IF(Table2[[#This Row],[Jenis_Proyek]]="", "Tidak Diketahui", Table2[[#This Row],[Jenis_Proyek]])</f>
        <v>Jalan Raya</v>
      </c>
      <c r="C131" s="8" t="str">
        <f>IF(Table2[[#This Row],[Lokasi]]="", "Tidak Diketahui", Table2[[#This Row],[Lokasi]])</f>
        <v>Medan</v>
      </c>
      <c r="D131" s="8" t="str">
        <f>IF(Table2[[#This Row],[Nama_Proyek]]="", "Tidak Diketahui", Table2[[#This Row],[Nama_Proyek]])</f>
        <v>Perbaikan Jalan Raya Medan</v>
      </c>
      <c r="E131" s="14">
        <v>45013</v>
      </c>
      <c r="F131" s="14">
        <v>45161</v>
      </c>
      <c r="G131" s="10">
        <v>776411814</v>
      </c>
      <c r="H131" s="8" t="str">
        <f>IF(Table2[[#This Row],[Kontraktor]]="", "Tidak Diketahui",Table2[[#This Row],[Kontraktor]])</f>
        <v>CV Sihombing</v>
      </c>
      <c r="I131" s="11"/>
    </row>
    <row r="132" spans="1:9" ht="14.25" customHeight="1" x14ac:dyDescent="0.35">
      <c r="A132" s="8" t="s">
        <v>181</v>
      </c>
      <c r="B132" s="8" t="str">
        <f>IF(Table2[[#This Row],[Jenis_Proyek]]="", "Tidak Diketahui", Table2[[#This Row],[Jenis_Proyek]])</f>
        <v>Gedung</v>
      </c>
      <c r="C132" s="8" t="str">
        <f>IF(Table2[[#This Row],[Lokasi]]="", "Tidak Diketahui", Table2[[#This Row],[Lokasi]])</f>
        <v>Bandung</v>
      </c>
      <c r="D132" s="8" t="str">
        <f>IF(Table2[[#This Row],[Nama_Proyek]]="", "Tidak Diketahui", Table2[[#This Row],[Nama_Proyek]])</f>
        <v>Perbaikan Gedung Pemerintah Bandung</v>
      </c>
      <c r="E132" s="14">
        <v>45013</v>
      </c>
      <c r="F132" s="14">
        <v>45095</v>
      </c>
      <c r="G132" s="10">
        <v>5326254824</v>
      </c>
      <c r="H132" s="8" t="str">
        <f>IF(Table2[[#This Row],[Kontraktor]]="", "Tidak Diketahui",Table2[[#This Row],[Kontraktor]])</f>
        <v>PT. Yuniar Hakim Tbk</v>
      </c>
      <c r="I132" s="11"/>
    </row>
    <row r="133" spans="1:9" ht="14.25" customHeight="1" x14ac:dyDescent="0.35">
      <c r="A133" s="8" t="s">
        <v>183</v>
      </c>
      <c r="B133" s="8" t="str">
        <f>IF(Table2[[#This Row],[Jenis_Proyek]]="", "Tidak Diketahui", Table2[[#This Row],[Jenis_Proyek]])</f>
        <v>Drainase</v>
      </c>
      <c r="C133" s="8" t="str">
        <f>IF(Table2[[#This Row],[Lokasi]]="", "Tidak Diketahui", Table2[[#This Row],[Lokasi]])</f>
        <v>Bandung</v>
      </c>
      <c r="D133" s="8" t="str">
        <f>IF(Table2[[#This Row],[Nama_Proyek]]="", "Tidak Diketahui", Table2[[#This Row],[Nama_Proyek]])</f>
        <v>Perbaikan Drainase Bandung</v>
      </c>
      <c r="E133" s="14">
        <v>45015</v>
      </c>
      <c r="F133" s="14">
        <v>45074</v>
      </c>
      <c r="G133" s="10">
        <v>737874671</v>
      </c>
      <c r="H133" s="8" t="str">
        <f>IF(Table2[[#This Row],[Kontraktor]]="", "Tidak Diketahui",Table2[[#This Row],[Kontraktor]])</f>
        <v>PT A</v>
      </c>
      <c r="I133" s="11"/>
    </row>
    <row r="134" spans="1:9" ht="14.25" customHeight="1" x14ac:dyDescent="0.35">
      <c r="A134" s="8" t="s">
        <v>184</v>
      </c>
      <c r="B134" s="8" t="str">
        <f>IF(Table2[[#This Row],[Jenis_Proyek]]="", "Tidak Diketahui", Table2[[#This Row],[Jenis_Proyek]])</f>
        <v>Gedung</v>
      </c>
      <c r="C134" s="8" t="str">
        <f>IF(Table2[[#This Row],[Lokasi]]="", "Tidak Diketahui", Table2[[#This Row],[Lokasi]])</f>
        <v>Medan</v>
      </c>
      <c r="D134" s="8" t="str">
        <f>IF(Table2[[#This Row],[Nama_Proyek]]="", "Tidak Diketahui", Table2[[#This Row],[Nama_Proyek]])</f>
        <v>Perbaikan Gedung Pemerintah Medan</v>
      </c>
      <c r="E134" s="14">
        <v>45016</v>
      </c>
      <c r="F134" s="14">
        <v>45248</v>
      </c>
      <c r="G134" s="10">
        <v>6410731228</v>
      </c>
      <c r="H134" s="8" t="str">
        <f>IF(Table2[[#This Row],[Kontraktor]]="", "Tidak Diketahui",Table2[[#This Row],[Kontraktor]])</f>
        <v>PT B</v>
      </c>
      <c r="I134" s="11"/>
    </row>
    <row r="135" spans="1:9" ht="14.25" customHeight="1" x14ac:dyDescent="0.35">
      <c r="A135" s="8" t="s">
        <v>186</v>
      </c>
      <c r="B135" s="8" t="str">
        <f>IF(Table2[[#This Row],[Jenis_Proyek]]="", "Tidak Diketahui", Table2[[#This Row],[Jenis_Proyek]])</f>
        <v>Jalan Raya</v>
      </c>
      <c r="C135" s="8" t="str">
        <f>IF(Table2[[#This Row],[Lokasi]]="", "Tidak Diketahui", Table2[[#This Row],[Lokasi]])</f>
        <v>Depok</v>
      </c>
      <c r="D135" s="8" t="str">
        <f>IF(Table2[[#This Row],[Nama_Proyek]]="", "Tidak Diketahui", Table2[[#This Row],[Nama_Proyek]])</f>
        <v>Perbaikan Jalan Raya Depok</v>
      </c>
      <c r="E135" s="14">
        <v>45017</v>
      </c>
      <c r="F135" s="14">
        <v>45162</v>
      </c>
      <c r="G135" s="10">
        <v>584530717</v>
      </c>
      <c r="H135" s="8" t="str">
        <f>IF(Table2[[#This Row],[Kontraktor]]="", "Tidak Diketahui",Table2[[#This Row],[Kontraktor]])</f>
        <v>PT. Yuniar Hakim Tbk</v>
      </c>
      <c r="I135" s="11"/>
    </row>
    <row r="136" spans="1:9" ht="14.25" customHeight="1" x14ac:dyDescent="0.35">
      <c r="A136" s="8" t="s">
        <v>187</v>
      </c>
      <c r="B136" s="8" t="str">
        <f>IF(Table2[[#This Row],[Jenis_Proyek]]="", "Tidak Diketahui", Table2[[#This Row],[Jenis_Proyek]])</f>
        <v>Gedung</v>
      </c>
      <c r="C136" s="8" t="str">
        <f>IF(Table2[[#This Row],[Lokasi]]="", "Tidak Diketahui", Table2[[#This Row],[Lokasi]])</f>
        <v>Surabaya</v>
      </c>
      <c r="D136" s="8" t="str">
        <f>IF(Table2[[#This Row],[Nama_Proyek]]="", "Tidak Diketahui", Table2[[#This Row],[Nama_Proyek]])</f>
        <v>Perbaikan Gedung Pemerintah Surabaya</v>
      </c>
      <c r="E136" s="14">
        <v>45017</v>
      </c>
      <c r="F136" s="14">
        <v>45209</v>
      </c>
      <c r="G136" s="10">
        <v>5399904068</v>
      </c>
      <c r="H136" s="8" t="str">
        <f>IF(Table2[[#This Row],[Kontraktor]]="", "Tidak Diketahui",Table2[[#This Row],[Kontraktor]])</f>
        <v>PT C</v>
      </c>
      <c r="I136" s="11"/>
    </row>
    <row r="137" spans="1:9" ht="14.25" customHeight="1" x14ac:dyDescent="0.35">
      <c r="A137" s="8" t="s">
        <v>188</v>
      </c>
      <c r="B137" s="8" t="str">
        <f>IF(Table2[[#This Row],[Jenis_Proyek]]="", "Tidak Diketahui", Table2[[#This Row],[Jenis_Proyek]])</f>
        <v>Drainase</v>
      </c>
      <c r="C137" s="8" t="str">
        <f>IF(Table2[[#This Row],[Lokasi]]="", "Tidak Diketahui", Table2[[#This Row],[Lokasi]])</f>
        <v>Depok</v>
      </c>
      <c r="D137" s="8" t="str">
        <f>IF(Table2[[#This Row],[Nama_Proyek]]="", "Tidak Diketahui", Table2[[#This Row],[Nama_Proyek]])</f>
        <v>Perbaikan Drainase Depok</v>
      </c>
      <c r="E137" s="14">
        <v>45017</v>
      </c>
      <c r="F137" s="14">
        <v>45267</v>
      </c>
      <c r="G137" s="10">
        <v>620525430</v>
      </c>
      <c r="H137" s="8" t="str">
        <f>IF(Table2[[#This Row],[Kontraktor]]="", "Tidak Diketahui",Table2[[#This Row],[Kontraktor]])</f>
        <v>PT D</v>
      </c>
      <c r="I137" s="11"/>
    </row>
    <row r="138" spans="1:9" ht="14.25" customHeight="1" x14ac:dyDescent="0.35">
      <c r="A138" s="8" t="s">
        <v>189</v>
      </c>
      <c r="B138" s="8" t="str">
        <f>IF(Table2[[#This Row],[Jenis_Proyek]]="", "Tidak Diketahui", Table2[[#This Row],[Jenis_Proyek]])</f>
        <v>Flyover</v>
      </c>
      <c r="C138" s="8" t="str">
        <f>IF(Table2[[#This Row],[Lokasi]]="", "Tidak Diketahui", Table2[[#This Row],[Lokasi]])</f>
        <v>Jakarta</v>
      </c>
      <c r="D138" s="8" t="str">
        <f>IF(Table2[[#This Row],[Nama_Proyek]]="", "Tidak Diketahui", Table2[[#This Row],[Nama_Proyek]])</f>
        <v>Pembuatan Flyover Jakarta</v>
      </c>
      <c r="E138" s="14">
        <v>45017</v>
      </c>
      <c r="F138" s="14">
        <v>45372</v>
      </c>
      <c r="G138" s="10">
        <v>2278233533</v>
      </c>
      <c r="H138" s="8" t="str">
        <f>IF(Table2[[#This Row],[Kontraktor]]="", "Tidak Diketahui",Table2[[#This Row],[Kontraktor]])</f>
        <v>PT. Yuniar Hakim Tbk</v>
      </c>
      <c r="I138" s="11"/>
    </row>
    <row r="139" spans="1:9" ht="14.25" customHeight="1" x14ac:dyDescent="0.35">
      <c r="A139" s="8" t="s">
        <v>190</v>
      </c>
      <c r="B139" s="8" t="str">
        <f>IF(Table2[[#This Row],[Jenis_Proyek]]="", "Tidak Diketahui", Table2[[#This Row],[Jenis_Proyek]])</f>
        <v>Gedung</v>
      </c>
      <c r="C139" s="8" t="str">
        <f>IF(Table2[[#This Row],[Lokasi]]="", "Tidak Diketahui", Table2[[#This Row],[Lokasi]])</f>
        <v>Jakarta</v>
      </c>
      <c r="D139" s="8" t="str">
        <f>IF(Table2[[#This Row],[Nama_Proyek]]="", "Tidak Diketahui", Table2[[#This Row],[Nama_Proyek]])</f>
        <v>Perbaikan Gedung Pemerintah Jakarta</v>
      </c>
      <c r="E139" s="14">
        <v>45017</v>
      </c>
      <c r="F139" s="14">
        <v>45369</v>
      </c>
      <c r="G139" s="10">
        <v>2425304687</v>
      </c>
      <c r="H139" s="8" t="str">
        <f>IF(Table2[[#This Row],[Kontraktor]]="", "Tidak Diketahui",Table2[[#This Row],[Kontraktor]])</f>
        <v>PT C</v>
      </c>
      <c r="I139" s="11"/>
    </row>
    <row r="140" spans="1:9" ht="14.25" customHeight="1" x14ac:dyDescent="0.35">
      <c r="A140" s="8" t="s">
        <v>191</v>
      </c>
      <c r="B140" s="8" t="str">
        <f>IF(Table2[[#This Row],[Jenis_Proyek]]="", "Tidak Diketahui", Table2[[#This Row],[Jenis_Proyek]])</f>
        <v>Gedung</v>
      </c>
      <c r="C140" s="8" t="str">
        <f>IF(Table2[[#This Row],[Lokasi]]="", "Tidak Diketahui", Table2[[#This Row],[Lokasi]])</f>
        <v>Depok</v>
      </c>
      <c r="D140" s="8" t="str">
        <f>IF(Table2[[#This Row],[Nama_Proyek]]="", "Tidak Diketahui", Table2[[#This Row],[Nama_Proyek]])</f>
        <v>Perbaikan Gedung Pemerintah Depok</v>
      </c>
      <c r="E140" s="14">
        <v>45017</v>
      </c>
      <c r="F140" s="14">
        <v>45053</v>
      </c>
      <c r="G140" s="10">
        <v>3263728734</v>
      </c>
      <c r="H140" s="8" t="str">
        <f>IF(Table2[[#This Row],[Kontraktor]]="", "Tidak Diketahui",Table2[[#This Row],[Kontraktor]])</f>
        <v>CV Sihombing</v>
      </c>
      <c r="I140" s="11"/>
    </row>
    <row r="141" spans="1:9" ht="14.25" customHeight="1" x14ac:dyDescent="0.35">
      <c r="A141" s="8" t="s">
        <v>192</v>
      </c>
      <c r="B141" s="8" t="str">
        <f>IF(Table2[[#This Row],[Jenis_Proyek]]="", "Tidak Diketahui", Table2[[#This Row],[Jenis_Proyek]])</f>
        <v>Gedung</v>
      </c>
      <c r="C141" s="8" t="str">
        <f>IF(Table2[[#This Row],[Lokasi]]="", "Tidak Diketahui", Table2[[#This Row],[Lokasi]])</f>
        <v>Makassar</v>
      </c>
      <c r="D141" s="8" t="str">
        <f>IF(Table2[[#This Row],[Nama_Proyek]]="", "Tidak Diketahui", Table2[[#This Row],[Nama_Proyek]])</f>
        <v>Perbaikan Gedung Pemerintah Makassar</v>
      </c>
      <c r="E141" s="14">
        <v>45018</v>
      </c>
      <c r="F141" s="14">
        <v>45255</v>
      </c>
      <c r="G141" s="10">
        <v>7299558365</v>
      </c>
      <c r="H141" s="8" t="str">
        <f>IF(Table2[[#This Row],[Kontraktor]]="", "Tidak Diketahui",Table2[[#This Row],[Kontraktor]])</f>
        <v>PT. Yuniar Hakim Tbk</v>
      </c>
      <c r="I141" s="11"/>
    </row>
    <row r="142" spans="1:9" ht="14.25" customHeight="1" x14ac:dyDescent="0.35">
      <c r="A142" s="8" t="s">
        <v>193</v>
      </c>
      <c r="B142" s="8" t="str">
        <f>IF(Table2[[#This Row],[Jenis_Proyek]]="", "Tidak Diketahui", Table2[[#This Row],[Jenis_Proyek]])</f>
        <v>Jalan Raya</v>
      </c>
      <c r="C142" s="8" t="str">
        <f>IF(Table2[[#This Row],[Lokasi]]="", "Tidak Diketahui", Table2[[#This Row],[Lokasi]])</f>
        <v>Medan</v>
      </c>
      <c r="D142" s="8" t="str">
        <f>IF(Table2[[#This Row],[Nama_Proyek]]="", "Tidak Diketahui", Table2[[#This Row],[Nama_Proyek]])</f>
        <v>Perbaikan Jalan Raya Medan</v>
      </c>
      <c r="E142" s="14">
        <v>45018</v>
      </c>
      <c r="F142" s="14">
        <v>45084</v>
      </c>
      <c r="G142" s="10">
        <v>304540977</v>
      </c>
      <c r="H142" s="8" t="str">
        <f>IF(Table2[[#This Row],[Kontraktor]]="", "Tidak Diketahui",Table2[[#This Row],[Kontraktor]])</f>
        <v>CV Sihombing</v>
      </c>
      <c r="I142" s="11"/>
    </row>
    <row r="143" spans="1:9" ht="14.25" customHeight="1" x14ac:dyDescent="0.35">
      <c r="A143" s="8" t="s">
        <v>194</v>
      </c>
      <c r="B143" s="8" t="str">
        <f>IF(Table2[[#This Row],[Jenis_Proyek]]="", "Tidak Diketahui", Table2[[#This Row],[Jenis_Proyek]])</f>
        <v>Jembatan</v>
      </c>
      <c r="C143" s="8" t="str">
        <f>IF(Table2[[#This Row],[Lokasi]]="", "Tidak Diketahui", Table2[[#This Row],[Lokasi]])</f>
        <v>Depok</v>
      </c>
      <c r="D143" s="8" t="str">
        <f>IF(Table2[[#This Row],[Nama_Proyek]]="", "Tidak Diketahui", Table2[[#This Row],[Nama_Proyek]])</f>
        <v>Perbaikan Jembatan Depok</v>
      </c>
      <c r="E143" s="14">
        <v>45018</v>
      </c>
      <c r="F143" s="14">
        <v>45371</v>
      </c>
      <c r="G143" s="10">
        <v>5043663492</v>
      </c>
      <c r="H143" s="8" t="str">
        <f>IF(Table2[[#This Row],[Kontraktor]]="", "Tidak Diketahui",Table2[[#This Row],[Kontraktor]])</f>
        <v>PT. Yuniar Hakim Tbk</v>
      </c>
      <c r="I143" s="11"/>
    </row>
    <row r="144" spans="1:9" ht="14.25" customHeight="1" x14ac:dyDescent="0.35">
      <c r="A144" s="8" t="s">
        <v>195</v>
      </c>
      <c r="B144" s="8" t="str">
        <f>IF(Table2[[#This Row],[Jenis_Proyek]]="", "Tidak Diketahui", Table2[[#This Row],[Jenis_Proyek]])</f>
        <v>Flyover</v>
      </c>
      <c r="C144" s="8" t="str">
        <f>IF(Table2[[#This Row],[Lokasi]]="", "Tidak Diketahui", Table2[[#This Row],[Lokasi]])</f>
        <v>Makassar</v>
      </c>
      <c r="D144" s="8" t="str">
        <f>IF(Table2[[#This Row],[Nama_Proyek]]="", "Tidak Diketahui", Table2[[#This Row],[Nama_Proyek]])</f>
        <v>Perbaikan Flyover Makassar</v>
      </c>
      <c r="E144" s="14">
        <v>45020</v>
      </c>
      <c r="F144" s="14">
        <v>45200</v>
      </c>
      <c r="G144" s="10">
        <v>3438414318</v>
      </c>
      <c r="H144" s="8" t="str">
        <f>IF(Table2[[#This Row],[Kontraktor]]="", "Tidak Diketahui",Table2[[#This Row],[Kontraktor]])</f>
        <v>PT. Lailasari Hariyah (Persero) Tbk</v>
      </c>
      <c r="I144" s="11"/>
    </row>
    <row r="145" spans="1:9" ht="14.25" customHeight="1" x14ac:dyDescent="0.35">
      <c r="A145" s="8" t="s">
        <v>196</v>
      </c>
      <c r="B145" s="8" t="str">
        <f>IF(Table2[[#This Row],[Jenis_Proyek]]="", "Tidak Diketahui", Table2[[#This Row],[Jenis_Proyek]])</f>
        <v>Jalan Raya</v>
      </c>
      <c r="C145" s="8" t="str">
        <f>IF(Table2[[#This Row],[Lokasi]]="", "Tidak Diketahui", Table2[[#This Row],[Lokasi]])</f>
        <v>Makassar</v>
      </c>
      <c r="D145" s="8" t="str">
        <f>IF(Table2[[#This Row],[Nama_Proyek]]="", "Tidak Diketahui", Table2[[#This Row],[Nama_Proyek]])</f>
        <v>Perbaikan Jalan Raya Makassar</v>
      </c>
      <c r="E145" s="14">
        <v>45020</v>
      </c>
      <c r="F145" s="14">
        <v>45381</v>
      </c>
      <c r="G145" s="10">
        <v>538173778</v>
      </c>
      <c r="H145" s="8" t="str">
        <f>IF(Table2[[#This Row],[Kontraktor]]="", "Tidak Diketahui",Table2[[#This Row],[Kontraktor]])</f>
        <v>PT. Yuniar Hakim Tbk</v>
      </c>
      <c r="I145" s="11"/>
    </row>
    <row r="146" spans="1:9" ht="14.25" customHeight="1" x14ac:dyDescent="0.35">
      <c r="A146" s="8" t="s">
        <v>197</v>
      </c>
      <c r="B146" s="8" t="str">
        <f>IF(Table2[[#This Row],[Jenis_Proyek]]="", "Tidak Diketahui", Table2[[#This Row],[Jenis_Proyek]])</f>
        <v>Gedung</v>
      </c>
      <c r="C146" s="8" t="str">
        <f>IF(Table2[[#This Row],[Lokasi]]="", "Tidak Diketahui", Table2[[#This Row],[Lokasi]])</f>
        <v>Jakarta</v>
      </c>
      <c r="D146" s="8" t="str">
        <f>IF(Table2[[#This Row],[Nama_Proyek]]="", "Tidak Diketahui", Table2[[#This Row],[Nama_Proyek]])</f>
        <v>Perbaikan Gedung Pemerintah Jakarta</v>
      </c>
      <c r="E146" s="14">
        <v>45022</v>
      </c>
      <c r="F146" s="14">
        <v>45248</v>
      </c>
      <c r="G146" s="10">
        <v>4142478037</v>
      </c>
      <c r="H146" s="8" t="str">
        <f>IF(Table2[[#This Row],[Kontraktor]]="", "Tidak Diketahui",Table2[[#This Row],[Kontraktor]])</f>
        <v>PT B</v>
      </c>
      <c r="I146" s="11"/>
    </row>
    <row r="147" spans="1:9" ht="14.25" customHeight="1" x14ac:dyDescent="0.35">
      <c r="A147" s="8" t="s">
        <v>198</v>
      </c>
      <c r="B147" s="8" t="str">
        <f>IF(Table2[[#This Row],[Jenis_Proyek]]="", "Tidak Diketahui", Table2[[#This Row],[Jenis_Proyek]])</f>
        <v>Jembatan</v>
      </c>
      <c r="C147" s="8" t="str">
        <f>IF(Table2[[#This Row],[Lokasi]]="", "Tidak Diketahui", Table2[[#This Row],[Lokasi]])</f>
        <v>Surabaya</v>
      </c>
      <c r="D147" s="8" t="str">
        <f>IF(Table2[[#This Row],[Nama_Proyek]]="", "Tidak Diketahui", Table2[[#This Row],[Nama_Proyek]])</f>
        <v>Pembuatan Jembatan Surabaya</v>
      </c>
      <c r="E147" s="14">
        <v>45023</v>
      </c>
      <c r="F147" s="14">
        <v>45075</v>
      </c>
      <c r="G147" s="10">
        <v>4552866676</v>
      </c>
      <c r="H147" s="8" t="str">
        <f>IF(Table2[[#This Row],[Kontraktor]]="", "Tidak Diketahui",Table2[[#This Row],[Kontraktor]])</f>
        <v>PT A</v>
      </c>
      <c r="I147" s="11"/>
    </row>
    <row r="148" spans="1:9" ht="14.25" customHeight="1" x14ac:dyDescent="0.35">
      <c r="A148" s="8" t="s">
        <v>199</v>
      </c>
      <c r="B148" s="8" t="str">
        <f>IF(Table2[[#This Row],[Jenis_Proyek]]="", "Tidak Diketahui", Table2[[#This Row],[Jenis_Proyek]])</f>
        <v>Jalan Raya</v>
      </c>
      <c r="C148" s="8" t="str">
        <f>IF(Table2[[#This Row],[Lokasi]]="", "Tidak Diketahui", Table2[[#This Row],[Lokasi]])</f>
        <v>Tomohon</v>
      </c>
      <c r="D148" s="8" t="str">
        <f>IF(Table2[[#This Row],[Nama_Proyek]]="", "Tidak Diketahui", Table2[[#This Row],[Nama_Proyek]])</f>
        <v>Perbaikan Jalan Raya Tomohon</v>
      </c>
      <c r="E148" s="14">
        <v>45024</v>
      </c>
      <c r="F148" s="14">
        <v>45121</v>
      </c>
      <c r="G148" s="10">
        <v>902216985</v>
      </c>
      <c r="H148" s="8" t="str">
        <f>IF(Table2[[#This Row],[Kontraktor]]="", "Tidak Diketahui",Table2[[#This Row],[Kontraktor]])</f>
        <v>PT D</v>
      </c>
      <c r="I148" s="11"/>
    </row>
    <row r="149" spans="1:9" ht="14.25" customHeight="1" x14ac:dyDescent="0.35">
      <c r="A149" s="8" t="s">
        <v>200</v>
      </c>
      <c r="B149" s="8" t="str">
        <f>IF(Table2[[#This Row],[Jenis_Proyek]]="", "Tidak Diketahui", Table2[[#This Row],[Jenis_Proyek]])</f>
        <v>Jembatan</v>
      </c>
      <c r="C149" s="8" t="str">
        <f>IF(Table2[[#This Row],[Lokasi]]="", "Tidak Diketahui", Table2[[#This Row],[Lokasi]])</f>
        <v>Bandung</v>
      </c>
      <c r="D149" s="8" t="str">
        <f>IF(Table2[[#This Row],[Nama_Proyek]]="", "Tidak Diketahui", Table2[[#This Row],[Nama_Proyek]])</f>
        <v>Perbaikan Jembatan Bandung</v>
      </c>
      <c r="E149" s="14">
        <v>45024</v>
      </c>
      <c r="F149" s="14">
        <v>45253</v>
      </c>
      <c r="G149" s="10">
        <v>6582376288</v>
      </c>
      <c r="H149" s="8" t="str">
        <f>IF(Table2[[#This Row],[Kontraktor]]="", "Tidak Diketahui",Table2[[#This Row],[Kontraktor]])</f>
        <v>PT C</v>
      </c>
      <c r="I149" s="11"/>
    </row>
    <row r="150" spans="1:9" ht="14.25" customHeight="1" x14ac:dyDescent="0.35">
      <c r="A150" s="8" t="s">
        <v>201</v>
      </c>
      <c r="B150" s="8" t="str">
        <f>IF(Table2[[#This Row],[Jenis_Proyek]]="", "Tidak Diketahui", Table2[[#This Row],[Jenis_Proyek]])</f>
        <v>Drainase</v>
      </c>
      <c r="C150" s="8" t="str">
        <f>IF(Table2[[#This Row],[Lokasi]]="", "Tidak Diketahui", Table2[[#This Row],[Lokasi]])</f>
        <v>Surabaya</v>
      </c>
      <c r="D150" s="8" t="str">
        <f>IF(Table2[[#This Row],[Nama_Proyek]]="", "Tidak Diketahui", Table2[[#This Row],[Nama_Proyek]])</f>
        <v>Perbaikan Drainase Surabaya</v>
      </c>
      <c r="E150" s="14">
        <v>45026</v>
      </c>
      <c r="F150" s="14">
        <v>45305</v>
      </c>
      <c r="G150" s="10">
        <v>204769884</v>
      </c>
      <c r="H150" s="8" t="str">
        <f>IF(Table2[[#This Row],[Kontraktor]]="", "Tidak Diketahui",Table2[[#This Row],[Kontraktor]])</f>
        <v>PT. Lailasari Hariyah (Persero) Tbk</v>
      </c>
      <c r="I150" s="11"/>
    </row>
    <row r="151" spans="1:9" ht="14.25" customHeight="1" x14ac:dyDescent="0.35">
      <c r="A151" s="8" t="s">
        <v>202</v>
      </c>
      <c r="B151" s="8" t="str">
        <f>IF(Table2[[#This Row],[Jenis_Proyek]]="", "Tidak Diketahui", Table2[[#This Row],[Jenis_Proyek]])</f>
        <v>Jalan Raya</v>
      </c>
      <c r="C151" s="8" t="str">
        <f>IF(Table2[[#This Row],[Lokasi]]="", "Tidak Diketahui", Table2[[#This Row],[Lokasi]])</f>
        <v>Bandung</v>
      </c>
      <c r="D151" s="8" t="str">
        <f>IF(Table2[[#This Row],[Nama_Proyek]]="", "Tidak Diketahui", Table2[[#This Row],[Nama_Proyek]])</f>
        <v>Perbaikan Jalan Raya Bandung</v>
      </c>
      <c r="E151" s="14">
        <v>45026</v>
      </c>
      <c r="F151" s="14">
        <v>45320</v>
      </c>
      <c r="G151" s="10">
        <v>100103542</v>
      </c>
      <c r="H151" s="8" t="str">
        <f>IF(Table2[[#This Row],[Kontraktor]]="", "Tidak Diketahui",Table2[[#This Row],[Kontraktor]])</f>
        <v>PT B</v>
      </c>
      <c r="I151" s="11"/>
    </row>
    <row r="152" spans="1:9" ht="14.25" customHeight="1" x14ac:dyDescent="0.35">
      <c r="A152" s="8" t="s">
        <v>203</v>
      </c>
      <c r="B152" s="8" t="str">
        <f>IF(Table2[[#This Row],[Jenis_Proyek]]="", "Tidak Diketahui", Table2[[#This Row],[Jenis_Proyek]])</f>
        <v>Jembatan</v>
      </c>
      <c r="C152" s="8" t="str">
        <f>IF(Table2[[#This Row],[Lokasi]]="", "Tidak Diketahui", Table2[[#This Row],[Lokasi]])</f>
        <v>Jakarta</v>
      </c>
      <c r="D152" s="8" t="str">
        <f>IF(Table2[[#This Row],[Nama_Proyek]]="", "Tidak Diketahui", Table2[[#This Row],[Nama_Proyek]])</f>
        <v>Pembuatan Jembatan Jakarta</v>
      </c>
      <c r="E152" s="14">
        <v>45028</v>
      </c>
      <c r="F152" s="14">
        <v>45097</v>
      </c>
      <c r="G152" s="10">
        <v>567827038</v>
      </c>
      <c r="H152" s="8" t="str">
        <f>IF(Table2[[#This Row],[Kontraktor]]="", "Tidak Diketahui",Table2[[#This Row],[Kontraktor]])</f>
        <v>PT. Yuniar Hakim Tbk</v>
      </c>
      <c r="I152" s="11"/>
    </row>
    <row r="153" spans="1:9" ht="14.25" customHeight="1" x14ac:dyDescent="0.35">
      <c r="A153" s="8" t="s">
        <v>204</v>
      </c>
      <c r="B153" s="8" t="str">
        <f>IF(Table2[[#This Row],[Jenis_Proyek]]="", "Tidak Diketahui", Table2[[#This Row],[Jenis_Proyek]])</f>
        <v>Gedung</v>
      </c>
      <c r="C153" s="8" t="str">
        <f>IF(Table2[[#This Row],[Lokasi]]="", "Tidak Diketahui", Table2[[#This Row],[Lokasi]])</f>
        <v>Surabaya</v>
      </c>
      <c r="D153" s="8" t="str">
        <f>IF(Table2[[#This Row],[Nama_Proyek]]="", "Tidak Diketahui", Table2[[#This Row],[Nama_Proyek]])</f>
        <v>Perbaikan Gedung Pemerintah Surabaya</v>
      </c>
      <c r="E153" s="14">
        <v>45031</v>
      </c>
      <c r="F153" s="14">
        <v>45211</v>
      </c>
      <c r="G153" s="10">
        <v>7382613940</v>
      </c>
      <c r="H153" s="8" t="str">
        <f>IF(Table2[[#This Row],[Kontraktor]]="", "Tidak Diketahui",Table2[[#This Row],[Kontraktor]])</f>
        <v>PT A</v>
      </c>
      <c r="I153" s="11"/>
    </row>
    <row r="154" spans="1:9" ht="14.25" customHeight="1" x14ac:dyDescent="0.35">
      <c r="A154" s="8" t="s">
        <v>205</v>
      </c>
      <c r="B154" s="8" t="str">
        <f>IF(Table2[[#This Row],[Jenis_Proyek]]="", "Tidak Diketahui", Table2[[#This Row],[Jenis_Proyek]])</f>
        <v>Gedung</v>
      </c>
      <c r="C154" s="8" t="str">
        <f>IF(Table2[[#This Row],[Lokasi]]="", "Tidak Diketahui", Table2[[#This Row],[Lokasi]])</f>
        <v>Jakarta</v>
      </c>
      <c r="D154" s="8" t="str">
        <f>IF(Table2[[#This Row],[Nama_Proyek]]="", "Tidak Diketahui", Table2[[#This Row],[Nama_Proyek]])</f>
        <v>Perbaikan Gedung Pemerintah Jakarta</v>
      </c>
      <c r="E154" s="14">
        <v>45031</v>
      </c>
      <c r="F154" s="14">
        <v>45123</v>
      </c>
      <c r="G154" s="10">
        <v>3840273247</v>
      </c>
      <c r="H154" s="8" t="str">
        <f>IF(Table2[[#This Row],[Kontraktor]]="", "Tidak Diketahui",Table2[[#This Row],[Kontraktor]])</f>
        <v>PT C</v>
      </c>
      <c r="I154" s="11"/>
    </row>
    <row r="155" spans="1:9" ht="14.25" customHeight="1" x14ac:dyDescent="0.35">
      <c r="A155" s="8" t="s">
        <v>206</v>
      </c>
      <c r="B155" s="8" t="str">
        <f>IF(Table2[[#This Row],[Jenis_Proyek]]="", "Tidak Diketahui", Table2[[#This Row],[Jenis_Proyek]])</f>
        <v>Jalan Raya</v>
      </c>
      <c r="C155" s="8" t="str">
        <f>IF(Table2[[#This Row],[Lokasi]]="", "Tidak Diketahui", Table2[[#This Row],[Lokasi]])</f>
        <v>Bau-Bau</v>
      </c>
      <c r="D155" s="8" t="str">
        <f>IF(Table2[[#This Row],[Nama_Proyek]]="", "Tidak Diketahui", Table2[[#This Row],[Nama_Proyek]])</f>
        <v>Perbaikan Jalan Raya Bau-Bau</v>
      </c>
      <c r="E155" s="14">
        <v>45033</v>
      </c>
      <c r="F155" s="14">
        <v>45370</v>
      </c>
      <c r="G155" s="10">
        <v>510276507</v>
      </c>
      <c r="H155" s="8" t="str">
        <f>IF(Table2[[#This Row],[Kontraktor]]="", "Tidak Diketahui",Table2[[#This Row],[Kontraktor]])</f>
        <v>CV Sihombing</v>
      </c>
      <c r="I155" s="11"/>
    </row>
    <row r="156" spans="1:9" ht="14.25" customHeight="1" x14ac:dyDescent="0.35">
      <c r="A156" s="8" t="s">
        <v>207</v>
      </c>
      <c r="B156" s="8" t="str">
        <f>IF(Table2[[#This Row],[Jenis_Proyek]]="", "Tidak Diketahui", Table2[[#This Row],[Jenis_Proyek]])</f>
        <v>Jalan Raya</v>
      </c>
      <c r="C156" s="8" t="str">
        <f>IF(Table2[[#This Row],[Lokasi]]="", "Tidak Diketahui", Table2[[#This Row],[Lokasi]])</f>
        <v>Bandung</v>
      </c>
      <c r="D156" s="8" t="str">
        <f>IF(Table2[[#This Row],[Nama_Proyek]]="", "Tidak Diketahui", Table2[[#This Row],[Nama_Proyek]])</f>
        <v>Perbaikan Jalan Raya Bandung</v>
      </c>
      <c r="E156" s="14">
        <v>45033</v>
      </c>
      <c r="F156" s="14">
        <v>45291</v>
      </c>
      <c r="G156" s="10">
        <v>806848236</v>
      </c>
      <c r="H156" s="8" t="str">
        <f>IF(Table2[[#This Row],[Kontraktor]]="", "Tidak Diketahui",Table2[[#This Row],[Kontraktor]])</f>
        <v>PT B</v>
      </c>
      <c r="I156" s="11"/>
    </row>
    <row r="157" spans="1:9" ht="14.25" customHeight="1" x14ac:dyDescent="0.35">
      <c r="A157" s="8" t="s">
        <v>208</v>
      </c>
      <c r="B157" s="8" t="str">
        <f>IF(Table2[[#This Row],[Jenis_Proyek]]="", "Tidak Diketahui", Table2[[#This Row],[Jenis_Proyek]])</f>
        <v>Flyover</v>
      </c>
      <c r="C157" s="8" t="str">
        <f>IF(Table2[[#This Row],[Lokasi]]="", "Tidak Diketahui", Table2[[#This Row],[Lokasi]])</f>
        <v>Surabaya</v>
      </c>
      <c r="D157" s="8" t="str">
        <f>IF(Table2[[#This Row],[Nama_Proyek]]="", "Tidak Diketahui", Table2[[#This Row],[Nama_Proyek]])</f>
        <v>Perbaikan Flyover Surabaya</v>
      </c>
      <c r="E157" s="14">
        <v>45034</v>
      </c>
      <c r="F157" s="14">
        <v>45257</v>
      </c>
      <c r="G157" s="10">
        <v>3687967195</v>
      </c>
      <c r="H157" s="8" t="str">
        <f>IF(Table2[[#This Row],[Kontraktor]]="", "Tidak Diketahui",Table2[[#This Row],[Kontraktor]])</f>
        <v>PT C</v>
      </c>
      <c r="I157" s="11"/>
    </row>
    <row r="158" spans="1:9" ht="14.25" customHeight="1" x14ac:dyDescent="0.35">
      <c r="A158" s="8" t="s">
        <v>209</v>
      </c>
      <c r="B158" s="8" t="str">
        <f>IF(Table2[[#This Row],[Jenis_Proyek]]="", "Tidak Diketahui", Table2[[#This Row],[Jenis_Proyek]])</f>
        <v>Jembatan</v>
      </c>
      <c r="C158" s="8" t="str">
        <f>IF(Table2[[#This Row],[Lokasi]]="", "Tidak Diketahui", Table2[[#This Row],[Lokasi]])</f>
        <v>Jakarta</v>
      </c>
      <c r="D158" s="8" t="str">
        <f>IF(Table2[[#This Row],[Nama_Proyek]]="", "Tidak Diketahui", Table2[[#This Row],[Nama_Proyek]])</f>
        <v>Perbaikan Jembatan Jakarta</v>
      </c>
      <c r="E158" s="14">
        <v>45035</v>
      </c>
      <c r="F158" s="14">
        <v>45339</v>
      </c>
      <c r="G158" s="10">
        <v>4409857336</v>
      </c>
      <c r="H158" s="8" t="str">
        <f>IF(Table2[[#This Row],[Kontraktor]]="", "Tidak Diketahui",Table2[[#This Row],[Kontraktor]])</f>
        <v>Tidak Diketahui</v>
      </c>
      <c r="I158" s="11"/>
    </row>
    <row r="159" spans="1:9" ht="14.25" customHeight="1" x14ac:dyDescent="0.35">
      <c r="A159" s="8" t="s">
        <v>210</v>
      </c>
      <c r="B159" s="8" t="str">
        <f>IF(Table2[[#This Row],[Jenis_Proyek]]="", "Tidak Diketahui", Table2[[#This Row],[Jenis_Proyek]])</f>
        <v>Drainase</v>
      </c>
      <c r="C159" s="8" t="str">
        <f>IF(Table2[[#This Row],[Lokasi]]="", "Tidak Diketahui", Table2[[#This Row],[Lokasi]])</f>
        <v>Tomohon</v>
      </c>
      <c r="D159" s="8" t="str">
        <f>IF(Table2[[#This Row],[Nama_Proyek]]="", "Tidak Diketahui", Table2[[#This Row],[Nama_Proyek]])</f>
        <v>Perbaikan Drainase Tomohon</v>
      </c>
      <c r="E159" s="14">
        <v>45035</v>
      </c>
      <c r="F159" s="14">
        <v>45297</v>
      </c>
      <c r="G159" s="10">
        <v>603531905</v>
      </c>
      <c r="H159" s="8" t="str">
        <f>IF(Table2[[#This Row],[Kontraktor]]="", "Tidak Diketahui",Table2[[#This Row],[Kontraktor]])</f>
        <v>PT. Lailasari Hariyah (Persero) Tbk</v>
      </c>
      <c r="I159" s="11"/>
    </row>
    <row r="160" spans="1:9" ht="14.25" customHeight="1" x14ac:dyDescent="0.35">
      <c r="A160" s="8" t="s">
        <v>211</v>
      </c>
      <c r="B160" s="8" t="str">
        <f>IF(Table2[[#This Row],[Jenis_Proyek]]="", "Tidak Diketahui", Table2[[#This Row],[Jenis_Proyek]])</f>
        <v>Drainase</v>
      </c>
      <c r="C160" s="8" t="str">
        <f>IF(Table2[[#This Row],[Lokasi]]="", "Tidak Diketahui", Table2[[#This Row],[Lokasi]])</f>
        <v>Surabaya</v>
      </c>
      <c r="D160" s="8" t="str">
        <f>IF(Table2[[#This Row],[Nama_Proyek]]="", "Tidak Diketahui", Table2[[#This Row],[Nama_Proyek]])</f>
        <v>Perbaikan Drainase Surabaya</v>
      </c>
      <c r="E160" s="14">
        <v>45035</v>
      </c>
      <c r="F160" s="14">
        <v>45269</v>
      </c>
      <c r="G160" s="10">
        <v>648732190</v>
      </c>
      <c r="H160" s="8" t="str">
        <f>IF(Table2[[#This Row],[Kontraktor]]="", "Tidak Diketahui",Table2[[#This Row],[Kontraktor]])</f>
        <v>PT. Yuniar Hakim Tbk</v>
      </c>
      <c r="I160" s="11"/>
    </row>
    <row r="161" spans="1:9" ht="14.25" customHeight="1" x14ac:dyDescent="0.35">
      <c r="A161" s="8" t="s">
        <v>212</v>
      </c>
      <c r="B161" s="8" t="str">
        <f>IF(Table2[[#This Row],[Jenis_Proyek]]="", "Tidak Diketahui", Table2[[#This Row],[Jenis_Proyek]])</f>
        <v>Jalan Raya</v>
      </c>
      <c r="C161" s="8" t="str">
        <f>IF(Table2[[#This Row],[Lokasi]]="", "Tidak Diketahui", Table2[[#This Row],[Lokasi]])</f>
        <v>Surabaya</v>
      </c>
      <c r="D161" s="8" t="str">
        <f>IF(Table2[[#This Row],[Nama_Proyek]]="", "Tidak Diketahui", Table2[[#This Row],[Nama_Proyek]])</f>
        <v>Perbaikan Jalan Raya Surabaya</v>
      </c>
      <c r="E161" s="14">
        <v>45035</v>
      </c>
      <c r="F161" s="14">
        <v>45179</v>
      </c>
      <c r="G161" s="10">
        <v>872561312</v>
      </c>
      <c r="H161" s="8" t="str">
        <f>IF(Table2[[#This Row],[Kontraktor]]="", "Tidak Diketahui",Table2[[#This Row],[Kontraktor]])</f>
        <v>PT C</v>
      </c>
      <c r="I161" s="11"/>
    </row>
    <row r="162" spans="1:9" ht="14.25" customHeight="1" x14ac:dyDescent="0.35">
      <c r="A162" s="8" t="s">
        <v>213</v>
      </c>
      <c r="B162" s="8" t="str">
        <f>IF(Table2[[#This Row],[Jenis_Proyek]]="", "Tidak Diketahui", Table2[[#This Row],[Jenis_Proyek]])</f>
        <v>Drainase</v>
      </c>
      <c r="C162" s="8" t="str">
        <f>IF(Table2[[#This Row],[Lokasi]]="", "Tidak Diketahui", Table2[[#This Row],[Lokasi]])</f>
        <v>Surabaya</v>
      </c>
      <c r="D162" s="8" t="str">
        <f>IF(Table2[[#This Row],[Nama_Proyek]]="", "Tidak Diketahui", Table2[[#This Row],[Nama_Proyek]])</f>
        <v>Perbaikan Drainase Surabaya</v>
      </c>
      <c r="E162" s="14">
        <v>45036</v>
      </c>
      <c r="F162" s="14">
        <v>45119</v>
      </c>
      <c r="G162" s="10">
        <v>461667131</v>
      </c>
      <c r="H162" s="8" t="str">
        <f>IF(Table2[[#This Row],[Kontraktor]]="", "Tidak Diketahui",Table2[[#This Row],[Kontraktor]])</f>
        <v>PT D</v>
      </c>
      <c r="I162" s="11"/>
    </row>
    <row r="163" spans="1:9" ht="14.25" customHeight="1" x14ac:dyDescent="0.35">
      <c r="A163" s="8" t="s">
        <v>214</v>
      </c>
      <c r="B163" s="8" t="str">
        <f>IF(Table2[[#This Row],[Jenis_Proyek]]="", "Tidak Diketahui", Table2[[#This Row],[Jenis_Proyek]])</f>
        <v>Drainase</v>
      </c>
      <c r="C163" s="8" t="str">
        <f>IF(Table2[[#This Row],[Lokasi]]="", "Tidak Diketahui", Table2[[#This Row],[Lokasi]])</f>
        <v>Bandung</v>
      </c>
      <c r="D163" s="8" t="str">
        <f>IF(Table2[[#This Row],[Nama_Proyek]]="", "Tidak Diketahui", Table2[[#This Row],[Nama_Proyek]])</f>
        <v>Perbaikan Drainase Bandung</v>
      </c>
      <c r="E163" s="14">
        <v>45036</v>
      </c>
      <c r="F163" s="14">
        <v>45313</v>
      </c>
      <c r="G163" s="10">
        <v>265879074</v>
      </c>
      <c r="H163" s="8" t="str">
        <f>IF(Table2[[#This Row],[Kontraktor]]="", "Tidak Diketahui",Table2[[#This Row],[Kontraktor]])</f>
        <v>Tidak Diketahui</v>
      </c>
      <c r="I163" s="11"/>
    </row>
    <row r="164" spans="1:9" ht="14.25" customHeight="1" x14ac:dyDescent="0.35">
      <c r="A164" s="8" t="s">
        <v>215</v>
      </c>
      <c r="B164" s="8" t="str">
        <f>IF(Table2[[#This Row],[Jenis_Proyek]]="", "Tidak Diketahui", Table2[[#This Row],[Jenis_Proyek]])</f>
        <v>Jalan Raya</v>
      </c>
      <c r="C164" s="8" t="str">
        <f>IF(Table2[[#This Row],[Lokasi]]="", "Tidak Diketahui", Table2[[#This Row],[Lokasi]])</f>
        <v>Jakarta</v>
      </c>
      <c r="D164" s="8" t="str">
        <f>IF(Table2[[#This Row],[Nama_Proyek]]="", "Tidak Diketahui", Table2[[#This Row],[Nama_Proyek]])</f>
        <v>Perbaikan Jalan Raya Jakarta</v>
      </c>
      <c r="E164" s="14">
        <v>45037</v>
      </c>
      <c r="F164" s="14">
        <v>45384</v>
      </c>
      <c r="G164" s="10">
        <v>339042702</v>
      </c>
      <c r="H164" s="8" t="str">
        <f>IF(Table2[[#This Row],[Kontraktor]]="", "Tidak Diketahui",Table2[[#This Row],[Kontraktor]])</f>
        <v>PT B</v>
      </c>
      <c r="I164" s="11"/>
    </row>
    <row r="165" spans="1:9" ht="14.25" customHeight="1" x14ac:dyDescent="0.35">
      <c r="A165" s="8" t="s">
        <v>216</v>
      </c>
      <c r="B165" s="8" t="str">
        <f>IF(Table2[[#This Row],[Jenis_Proyek]]="", "Tidak Diketahui", Table2[[#This Row],[Jenis_Proyek]])</f>
        <v>Gedung</v>
      </c>
      <c r="C165" s="8" t="str">
        <f>IF(Table2[[#This Row],[Lokasi]]="", "Tidak Diketahui", Table2[[#This Row],[Lokasi]])</f>
        <v>Medan</v>
      </c>
      <c r="D165" s="8" t="str">
        <f>IF(Table2[[#This Row],[Nama_Proyek]]="", "Tidak Diketahui", Table2[[#This Row],[Nama_Proyek]])</f>
        <v>Perbaikan Gedung Pemerintah Medan</v>
      </c>
      <c r="E165" s="14">
        <v>45038</v>
      </c>
      <c r="F165" s="14">
        <v>45308</v>
      </c>
      <c r="G165" s="10">
        <v>9295259236</v>
      </c>
      <c r="H165" s="8" t="str">
        <f>IF(Table2[[#This Row],[Kontraktor]]="", "Tidak Diketahui",Table2[[#This Row],[Kontraktor]])</f>
        <v>PT A</v>
      </c>
      <c r="I165" s="11"/>
    </row>
    <row r="166" spans="1:9" ht="14.25" customHeight="1" x14ac:dyDescent="0.35">
      <c r="A166" s="8" t="s">
        <v>217</v>
      </c>
      <c r="B166" s="8" t="str">
        <f>IF(Table2[[#This Row],[Jenis_Proyek]]="", "Tidak Diketahui", Table2[[#This Row],[Jenis_Proyek]])</f>
        <v>Gedung</v>
      </c>
      <c r="C166" s="8" t="str">
        <f>IF(Table2[[#This Row],[Lokasi]]="", "Tidak Diketahui", Table2[[#This Row],[Lokasi]])</f>
        <v>Bau-Bau</v>
      </c>
      <c r="D166" s="8" t="str">
        <f>IF(Table2[[#This Row],[Nama_Proyek]]="", "Tidak Diketahui", Table2[[#This Row],[Nama_Proyek]])</f>
        <v>Perbaikan Gedung Pemerintah Bau-Bau</v>
      </c>
      <c r="E166" s="14">
        <v>45038</v>
      </c>
      <c r="F166" s="14">
        <v>45333</v>
      </c>
      <c r="G166" s="10">
        <v>7601913991</v>
      </c>
      <c r="H166" s="8" t="str">
        <f>IF(Table2[[#This Row],[Kontraktor]]="", "Tidak Diketahui",Table2[[#This Row],[Kontraktor]])</f>
        <v>CV Sihombing</v>
      </c>
      <c r="I166" s="11"/>
    </row>
    <row r="167" spans="1:9" ht="14.25" customHeight="1" x14ac:dyDescent="0.35">
      <c r="A167" s="8" t="s">
        <v>218</v>
      </c>
      <c r="B167" s="8" t="str">
        <f>IF(Table2[[#This Row],[Jenis_Proyek]]="", "Tidak Diketahui", Table2[[#This Row],[Jenis_Proyek]])</f>
        <v>Jalan Raya</v>
      </c>
      <c r="C167" s="8" t="str">
        <f>IF(Table2[[#This Row],[Lokasi]]="", "Tidak Diketahui", Table2[[#This Row],[Lokasi]])</f>
        <v>Bau-Bau</v>
      </c>
      <c r="D167" s="8" t="str">
        <f>IF(Table2[[#This Row],[Nama_Proyek]]="", "Tidak Diketahui", Table2[[#This Row],[Nama_Proyek]])</f>
        <v>Perbaikan Jalan Raya Bau-Bau</v>
      </c>
      <c r="E167" s="14">
        <v>45039</v>
      </c>
      <c r="F167" s="14">
        <v>45306</v>
      </c>
      <c r="G167" s="10">
        <v>307072675</v>
      </c>
      <c r="H167" s="8" t="str">
        <f>IF(Table2[[#This Row],[Kontraktor]]="", "Tidak Diketahui",Table2[[#This Row],[Kontraktor]])</f>
        <v>CV Sihombing</v>
      </c>
      <c r="I167" s="11"/>
    </row>
    <row r="168" spans="1:9" ht="14.25" customHeight="1" x14ac:dyDescent="0.35">
      <c r="A168" s="8" t="s">
        <v>219</v>
      </c>
      <c r="B168" s="8" t="str">
        <f>IF(Table2[[#This Row],[Jenis_Proyek]]="", "Tidak Diketahui", Table2[[#This Row],[Jenis_Proyek]])</f>
        <v>Jembatan</v>
      </c>
      <c r="C168" s="8" t="str">
        <f>IF(Table2[[#This Row],[Lokasi]]="", "Tidak Diketahui", Table2[[#This Row],[Lokasi]])</f>
        <v>Bandung</v>
      </c>
      <c r="D168" s="8" t="str">
        <f>IF(Table2[[#This Row],[Nama_Proyek]]="", "Tidak Diketahui", Table2[[#This Row],[Nama_Proyek]])</f>
        <v>Pembuatan Jembatan Bandung</v>
      </c>
      <c r="E168" s="14">
        <v>45039</v>
      </c>
      <c r="F168" s="14">
        <v>45274</v>
      </c>
      <c r="G168" s="10">
        <v>3190510162</v>
      </c>
      <c r="H168" s="8" t="str">
        <f>IF(Table2[[#This Row],[Kontraktor]]="", "Tidak Diketahui",Table2[[#This Row],[Kontraktor]])</f>
        <v>PT B</v>
      </c>
      <c r="I168" s="11"/>
    </row>
    <row r="169" spans="1:9" ht="14.25" customHeight="1" x14ac:dyDescent="0.35">
      <c r="A169" s="8" t="s">
        <v>220</v>
      </c>
      <c r="B169" s="8" t="str">
        <f>IF(Table2[[#This Row],[Jenis_Proyek]]="", "Tidak Diketahui", Table2[[#This Row],[Jenis_Proyek]])</f>
        <v>Drainase</v>
      </c>
      <c r="C169" s="8" t="str">
        <f>IF(Table2[[#This Row],[Lokasi]]="", "Tidak Diketahui", Table2[[#This Row],[Lokasi]])</f>
        <v>Medan</v>
      </c>
      <c r="D169" s="8" t="str">
        <f>IF(Table2[[#This Row],[Nama_Proyek]]="", "Tidak Diketahui", Table2[[#This Row],[Nama_Proyek]])</f>
        <v>Perbaikan Drainase Medan</v>
      </c>
      <c r="E169" s="14">
        <v>45041</v>
      </c>
      <c r="F169" s="14">
        <v>45102</v>
      </c>
      <c r="G169" s="10">
        <v>724043833</v>
      </c>
      <c r="H169" s="8" t="str">
        <f>IF(Table2[[#This Row],[Kontraktor]]="", "Tidak Diketahui",Table2[[#This Row],[Kontraktor]])</f>
        <v>PT B</v>
      </c>
      <c r="I169" s="11"/>
    </row>
    <row r="170" spans="1:9" ht="14.25" customHeight="1" x14ac:dyDescent="0.35">
      <c r="A170" s="8" t="s">
        <v>221</v>
      </c>
      <c r="B170" s="8" t="str">
        <f>IF(Table2[[#This Row],[Jenis_Proyek]]="", "Tidak Diketahui", Table2[[#This Row],[Jenis_Proyek]])</f>
        <v>Flyover</v>
      </c>
      <c r="C170" s="8" t="str">
        <f>IF(Table2[[#This Row],[Lokasi]]="", "Tidak Diketahui", Table2[[#This Row],[Lokasi]])</f>
        <v>Depok</v>
      </c>
      <c r="D170" s="8" t="str">
        <f>IF(Table2[[#This Row],[Nama_Proyek]]="", "Tidak Diketahui", Table2[[#This Row],[Nama_Proyek]])</f>
        <v>Perbaikan Flyover Depok</v>
      </c>
      <c r="E170" s="14">
        <v>45041</v>
      </c>
      <c r="F170" s="14">
        <v>45359</v>
      </c>
      <c r="G170" s="10">
        <v>3094852115</v>
      </c>
      <c r="H170" s="8" t="str">
        <f>IF(Table2[[#This Row],[Kontraktor]]="", "Tidak Diketahui",Table2[[#This Row],[Kontraktor]])</f>
        <v>PT D</v>
      </c>
      <c r="I170" s="11"/>
    </row>
    <row r="171" spans="1:9" ht="14.25" customHeight="1" x14ac:dyDescent="0.35">
      <c r="A171" s="8" t="s">
        <v>222</v>
      </c>
      <c r="B171" s="8" t="str">
        <f>IF(Table2[[#This Row],[Jenis_Proyek]]="", "Tidak Diketahui", Table2[[#This Row],[Jenis_Proyek]])</f>
        <v>Drainase</v>
      </c>
      <c r="C171" s="8" t="str">
        <f>IF(Table2[[#This Row],[Lokasi]]="", "Tidak Diketahui", Table2[[#This Row],[Lokasi]])</f>
        <v>Tomohon</v>
      </c>
      <c r="D171" s="8" t="str">
        <f>IF(Table2[[#This Row],[Nama_Proyek]]="", "Tidak Diketahui", Table2[[#This Row],[Nama_Proyek]])</f>
        <v>Perbaikan Drainase Tomohon</v>
      </c>
      <c r="E171" s="14">
        <v>45042</v>
      </c>
      <c r="F171" s="14">
        <v>45364</v>
      </c>
      <c r="G171" s="10">
        <v>433880373</v>
      </c>
      <c r="H171" s="8" t="str">
        <f>IF(Table2[[#This Row],[Kontraktor]]="", "Tidak Diketahui",Table2[[#This Row],[Kontraktor]])</f>
        <v>Tidak Diketahui</v>
      </c>
      <c r="I171" s="11"/>
    </row>
    <row r="172" spans="1:9" ht="14.25" customHeight="1" x14ac:dyDescent="0.35">
      <c r="A172" s="8" t="s">
        <v>223</v>
      </c>
      <c r="B172" s="8" t="str">
        <f>IF(Table2[[#This Row],[Jenis_Proyek]]="", "Tidak Diketahui", Table2[[#This Row],[Jenis_Proyek]])</f>
        <v>Jembatan</v>
      </c>
      <c r="C172" s="8" t="str">
        <f>IF(Table2[[#This Row],[Lokasi]]="", "Tidak Diketahui", Table2[[#This Row],[Lokasi]])</f>
        <v>Surabaya</v>
      </c>
      <c r="D172" s="8" t="str">
        <f>IF(Table2[[#This Row],[Nama_Proyek]]="", "Tidak Diketahui", Table2[[#This Row],[Nama_Proyek]])</f>
        <v>Pembuatan Jembatan Surabaya</v>
      </c>
      <c r="E172" s="14">
        <v>45045</v>
      </c>
      <c r="F172" s="14">
        <v>45394</v>
      </c>
      <c r="G172" s="10">
        <v>5094791554</v>
      </c>
      <c r="H172" s="8" t="str">
        <f>IF(Table2[[#This Row],[Kontraktor]]="", "Tidak Diketahui",Table2[[#This Row],[Kontraktor]])</f>
        <v>CV Sihombing</v>
      </c>
      <c r="I172" s="11"/>
    </row>
    <row r="173" spans="1:9" ht="14.25" customHeight="1" x14ac:dyDescent="0.35">
      <c r="A173" s="8" t="s">
        <v>224</v>
      </c>
      <c r="B173" s="8" t="str">
        <f>IF(Table2[[#This Row],[Jenis_Proyek]]="", "Tidak Diketahui", Table2[[#This Row],[Jenis_Proyek]])</f>
        <v>Jalan Raya</v>
      </c>
      <c r="C173" s="8" t="str">
        <f>IF(Table2[[#This Row],[Lokasi]]="", "Tidak Diketahui", Table2[[#This Row],[Lokasi]])</f>
        <v>Surabaya</v>
      </c>
      <c r="D173" s="8" t="str">
        <f>IF(Table2[[#This Row],[Nama_Proyek]]="", "Tidak Diketahui", Table2[[#This Row],[Nama_Proyek]])</f>
        <v>Perbaikan Jalan Raya Surabaya</v>
      </c>
      <c r="E173" s="14">
        <v>45045</v>
      </c>
      <c r="F173" s="14">
        <v>45324</v>
      </c>
      <c r="G173" s="10">
        <v>407950829</v>
      </c>
      <c r="H173" s="8" t="str">
        <f>IF(Table2[[#This Row],[Kontraktor]]="", "Tidak Diketahui",Table2[[#This Row],[Kontraktor]])</f>
        <v>Tidak Diketahui</v>
      </c>
      <c r="I173" s="11"/>
    </row>
    <row r="174" spans="1:9" ht="14.25" customHeight="1" x14ac:dyDescent="0.35">
      <c r="A174" s="8" t="s">
        <v>225</v>
      </c>
      <c r="B174" s="8" t="str">
        <f>IF(Table2[[#This Row],[Jenis_Proyek]]="", "Tidak Diketahui", Table2[[#This Row],[Jenis_Proyek]])</f>
        <v>Gedung</v>
      </c>
      <c r="C174" s="8" t="str">
        <f>IF(Table2[[#This Row],[Lokasi]]="", "Tidak Diketahui", Table2[[#This Row],[Lokasi]])</f>
        <v>Tomohon</v>
      </c>
      <c r="D174" s="8" t="str">
        <f>IF(Table2[[#This Row],[Nama_Proyek]]="", "Tidak Diketahui", Table2[[#This Row],[Nama_Proyek]])</f>
        <v>Perbaikan Gedung Pemerintah Tomohon</v>
      </c>
      <c r="E174" s="14">
        <v>45045</v>
      </c>
      <c r="F174" s="14">
        <v>45376</v>
      </c>
      <c r="G174" s="10">
        <v>1692019622</v>
      </c>
      <c r="H174" s="8" t="str">
        <f>IF(Table2[[#This Row],[Kontraktor]]="", "Tidak Diketahui",Table2[[#This Row],[Kontraktor]])</f>
        <v>PT A</v>
      </c>
      <c r="I174" s="11"/>
    </row>
    <row r="175" spans="1:9" ht="14.25" customHeight="1" x14ac:dyDescent="0.35">
      <c r="A175" s="8" t="s">
        <v>226</v>
      </c>
      <c r="B175" s="8" t="str">
        <f>IF(Table2[[#This Row],[Jenis_Proyek]]="", "Tidak Diketahui", Table2[[#This Row],[Jenis_Proyek]])</f>
        <v>Flyover</v>
      </c>
      <c r="C175" s="8" t="str">
        <f>IF(Table2[[#This Row],[Lokasi]]="", "Tidak Diketahui", Table2[[#This Row],[Lokasi]])</f>
        <v>Depok</v>
      </c>
      <c r="D175" s="8" t="str">
        <f>IF(Table2[[#This Row],[Nama_Proyek]]="", "Tidak Diketahui", Table2[[#This Row],[Nama_Proyek]])</f>
        <v>Perbaikan Flyover Depok</v>
      </c>
      <c r="E175" s="14">
        <v>45045</v>
      </c>
      <c r="F175" s="14">
        <v>45404</v>
      </c>
      <c r="G175" s="10">
        <v>4909765412</v>
      </c>
      <c r="H175" s="8" t="str">
        <f>IF(Table2[[#This Row],[Kontraktor]]="", "Tidak Diketahui",Table2[[#This Row],[Kontraktor]])</f>
        <v>PT. Yuniar Hakim Tbk</v>
      </c>
      <c r="I175" s="11"/>
    </row>
    <row r="176" spans="1:9" ht="14.25" customHeight="1" x14ac:dyDescent="0.35">
      <c r="A176" s="8" t="s">
        <v>227</v>
      </c>
      <c r="B176" s="8" t="str">
        <f>IF(Table2[[#This Row],[Jenis_Proyek]]="", "Tidak Diketahui", Table2[[#This Row],[Jenis_Proyek]])</f>
        <v>Flyover</v>
      </c>
      <c r="C176" s="8" t="str">
        <f>IF(Table2[[#This Row],[Lokasi]]="", "Tidak Diketahui", Table2[[#This Row],[Lokasi]])</f>
        <v>Depok</v>
      </c>
      <c r="D176" s="8" t="str">
        <f>IF(Table2[[#This Row],[Nama_Proyek]]="", "Tidak Diketahui", Table2[[#This Row],[Nama_Proyek]])</f>
        <v>Perbaikan Flyover Depok</v>
      </c>
      <c r="E176" s="14">
        <v>45045</v>
      </c>
      <c r="F176" s="14">
        <v>45150</v>
      </c>
      <c r="G176" s="10">
        <v>3396315626</v>
      </c>
      <c r="H176" s="8" t="str">
        <f>IF(Table2[[#This Row],[Kontraktor]]="", "Tidak Diketahui",Table2[[#This Row],[Kontraktor]])</f>
        <v>PT C</v>
      </c>
      <c r="I176" s="11"/>
    </row>
    <row r="177" spans="1:9" ht="14.25" customHeight="1" x14ac:dyDescent="0.35">
      <c r="A177" s="8" t="s">
        <v>228</v>
      </c>
      <c r="B177" s="8" t="str">
        <f>IF(Table2[[#This Row],[Jenis_Proyek]]="", "Tidak Diketahui", Table2[[#This Row],[Jenis_Proyek]])</f>
        <v>Flyover</v>
      </c>
      <c r="C177" s="8" t="str">
        <f>IF(Table2[[#This Row],[Lokasi]]="", "Tidak Diketahui", Table2[[#This Row],[Lokasi]])</f>
        <v>Bau-Bau</v>
      </c>
      <c r="D177" s="8" t="str">
        <f>IF(Table2[[#This Row],[Nama_Proyek]]="", "Tidak Diketahui", Table2[[#This Row],[Nama_Proyek]])</f>
        <v>Pembuatan Flyover Bau-Bau</v>
      </c>
      <c r="E177" s="14">
        <v>45048</v>
      </c>
      <c r="F177" s="14">
        <v>45358</v>
      </c>
      <c r="G177" s="10">
        <v>2665194797</v>
      </c>
      <c r="H177" s="8" t="str">
        <f>IF(Table2[[#This Row],[Kontraktor]]="", "Tidak Diketahui",Table2[[#This Row],[Kontraktor]])</f>
        <v>Tidak Diketahui</v>
      </c>
      <c r="I177" s="11"/>
    </row>
    <row r="178" spans="1:9" ht="14.25" customHeight="1" x14ac:dyDescent="0.35">
      <c r="A178" s="8" t="s">
        <v>229</v>
      </c>
      <c r="B178" s="8" t="str">
        <f>IF(Table2[[#This Row],[Jenis_Proyek]]="", "Tidak Diketahui", Table2[[#This Row],[Jenis_Proyek]])</f>
        <v>Jembatan</v>
      </c>
      <c r="C178" s="8" t="str">
        <f>IF(Table2[[#This Row],[Lokasi]]="", "Tidak Diketahui", Table2[[#This Row],[Lokasi]])</f>
        <v>Bau-Bau</v>
      </c>
      <c r="D178" s="8" t="str">
        <f>IF(Table2[[#This Row],[Nama_Proyek]]="", "Tidak Diketahui", Table2[[#This Row],[Nama_Proyek]])</f>
        <v>Perbaikan Jembatan Bau-Bau</v>
      </c>
      <c r="E178" s="14">
        <v>45049</v>
      </c>
      <c r="F178" s="14">
        <v>45401</v>
      </c>
      <c r="G178" s="10">
        <v>2586947699</v>
      </c>
      <c r="H178" s="8" t="str">
        <f>IF(Table2[[#This Row],[Kontraktor]]="", "Tidak Diketahui",Table2[[#This Row],[Kontraktor]])</f>
        <v>Tidak Diketahui</v>
      </c>
      <c r="I178" s="11"/>
    </row>
    <row r="179" spans="1:9" ht="14.25" customHeight="1" x14ac:dyDescent="0.35">
      <c r="A179" s="8" t="s">
        <v>230</v>
      </c>
      <c r="B179" s="8" t="str">
        <f>IF(Table2[[#This Row],[Jenis_Proyek]]="", "Tidak Diketahui", Table2[[#This Row],[Jenis_Proyek]])</f>
        <v>Jalan Raya</v>
      </c>
      <c r="C179" s="8" t="str">
        <f>IF(Table2[[#This Row],[Lokasi]]="", "Tidak Diketahui", Table2[[#This Row],[Lokasi]])</f>
        <v>Bandung</v>
      </c>
      <c r="D179" s="8" t="str">
        <f>IF(Table2[[#This Row],[Nama_Proyek]]="", "Tidak Diketahui", Table2[[#This Row],[Nama_Proyek]])</f>
        <v>Perbaikan Jalan Raya Bandung</v>
      </c>
      <c r="E179" s="14">
        <v>45052</v>
      </c>
      <c r="F179" s="14">
        <v>45087</v>
      </c>
      <c r="G179" s="10">
        <v>189032296</v>
      </c>
      <c r="H179" s="8" t="str">
        <f>IF(Table2[[#This Row],[Kontraktor]]="", "Tidak Diketahui",Table2[[#This Row],[Kontraktor]])</f>
        <v>Tidak Diketahui</v>
      </c>
      <c r="I179" s="11"/>
    </row>
    <row r="180" spans="1:9" ht="14.25" customHeight="1" x14ac:dyDescent="0.35">
      <c r="A180" s="8" t="s">
        <v>231</v>
      </c>
      <c r="B180" s="8" t="str">
        <f>IF(Table2[[#This Row],[Jenis_Proyek]]="", "Tidak Diketahui", Table2[[#This Row],[Jenis_Proyek]])</f>
        <v>Jalan Raya</v>
      </c>
      <c r="C180" s="8" t="str">
        <f>IF(Table2[[#This Row],[Lokasi]]="", "Tidak Diketahui", Table2[[#This Row],[Lokasi]])</f>
        <v>Jakarta</v>
      </c>
      <c r="D180" s="8" t="str">
        <f>IF(Table2[[#This Row],[Nama_Proyek]]="", "Tidak Diketahui", Table2[[#This Row],[Nama_Proyek]])</f>
        <v>Perbaikan Jalan Raya Jakarta</v>
      </c>
      <c r="E180" s="14">
        <v>45052</v>
      </c>
      <c r="F180" s="14">
        <v>45253</v>
      </c>
      <c r="G180" s="10">
        <v>484231869</v>
      </c>
      <c r="H180" s="8" t="str">
        <f>IF(Table2[[#This Row],[Kontraktor]]="", "Tidak Diketahui",Table2[[#This Row],[Kontraktor]])</f>
        <v>CV Sihombing</v>
      </c>
      <c r="I180" s="11"/>
    </row>
    <row r="181" spans="1:9" ht="14.25" customHeight="1" x14ac:dyDescent="0.35">
      <c r="A181" s="8" t="s">
        <v>232</v>
      </c>
      <c r="B181" s="8" t="str">
        <f>IF(Table2[[#This Row],[Jenis_Proyek]]="", "Tidak Diketahui", Table2[[#This Row],[Jenis_Proyek]])</f>
        <v>Flyover</v>
      </c>
      <c r="C181" s="8" t="str">
        <f>IF(Table2[[#This Row],[Lokasi]]="", "Tidak Diketahui", Table2[[#This Row],[Lokasi]])</f>
        <v>Bandung</v>
      </c>
      <c r="D181" s="8" t="str">
        <f>IF(Table2[[#This Row],[Nama_Proyek]]="", "Tidak Diketahui", Table2[[#This Row],[Nama_Proyek]])</f>
        <v>Pembuatan Flyover Bandung</v>
      </c>
      <c r="E181" s="14">
        <v>45053</v>
      </c>
      <c r="F181" s="14">
        <v>45321</v>
      </c>
      <c r="G181" s="10">
        <v>1552182554</v>
      </c>
      <c r="H181" s="8" t="str">
        <f>IF(Table2[[#This Row],[Kontraktor]]="", "Tidak Diketahui",Table2[[#This Row],[Kontraktor]])</f>
        <v>PT B</v>
      </c>
      <c r="I181" s="11"/>
    </row>
    <row r="182" spans="1:9" ht="14.25" customHeight="1" x14ac:dyDescent="0.35">
      <c r="A182" s="8" t="s">
        <v>233</v>
      </c>
      <c r="B182" s="8" t="str">
        <f>IF(Table2[[#This Row],[Jenis_Proyek]]="", "Tidak Diketahui", Table2[[#This Row],[Jenis_Proyek]])</f>
        <v>Drainase</v>
      </c>
      <c r="C182" s="8" t="str">
        <f>IF(Table2[[#This Row],[Lokasi]]="", "Tidak Diketahui", Table2[[#This Row],[Lokasi]])</f>
        <v>Bau-Bau</v>
      </c>
      <c r="D182" s="8" t="str">
        <f>IF(Table2[[#This Row],[Nama_Proyek]]="", "Tidak Diketahui", Table2[[#This Row],[Nama_Proyek]])</f>
        <v>Perbaikan Drainase Bau-Bau</v>
      </c>
      <c r="E182" s="14">
        <v>45053</v>
      </c>
      <c r="F182" s="14">
        <v>45410</v>
      </c>
      <c r="G182" s="10">
        <v>212901636</v>
      </c>
      <c r="H182" s="8" t="str">
        <f>IF(Table2[[#This Row],[Kontraktor]]="", "Tidak Diketahui",Table2[[#This Row],[Kontraktor]])</f>
        <v>PT C</v>
      </c>
      <c r="I182" s="11"/>
    </row>
    <row r="183" spans="1:9" ht="14.25" customHeight="1" x14ac:dyDescent="0.35">
      <c r="A183" s="8" t="s">
        <v>234</v>
      </c>
      <c r="B183" s="8" t="str">
        <f>IF(Table2[[#This Row],[Jenis_Proyek]]="", "Tidak Diketahui", Table2[[#This Row],[Jenis_Proyek]])</f>
        <v>Jalan Raya</v>
      </c>
      <c r="C183" s="8" t="str">
        <f>IF(Table2[[#This Row],[Lokasi]]="", "Tidak Diketahui", Table2[[#This Row],[Lokasi]])</f>
        <v>Bau-Bau</v>
      </c>
      <c r="D183" s="8" t="str">
        <f>IF(Table2[[#This Row],[Nama_Proyek]]="", "Tidak Diketahui", Table2[[#This Row],[Nama_Proyek]])</f>
        <v>Perbaikan Jalan Raya Bau-Bau</v>
      </c>
      <c r="E183" s="14">
        <v>45055</v>
      </c>
      <c r="F183" s="14">
        <v>45315</v>
      </c>
      <c r="G183" s="10">
        <v>862295964</v>
      </c>
      <c r="H183" s="8" t="str">
        <f>IF(Table2[[#This Row],[Kontraktor]]="", "Tidak Diketahui",Table2[[#This Row],[Kontraktor]])</f>
        <v>PT B</v>
      </c>
      <c r="I183" s="11"/>
    </row>
    <row r="184" spans="1:9" ht="14.25" customHeight="1" x14ac:dyDescent="0.35">
      <c r="A184" s="8" t="s">
        <v>235</v>
      </c>
      <c r="B184" s="8" t="str">
        <f>IF(Table2[[#This Row],[Jenis_Proyek]]="", "Tidak Diketahui", Table2[[#This Row],[Jenis_Proyek]])</f>
        <v>Drainase</v>
      </c>
      <c r="C184" s="8" t="str">
        <f>IF(Table2[[#This Row],[Lokasi]]="", "Tidak Diketahui", Table2[[#This Row],[Lokasi]])</f>
        <v>Bandung</v>
      </c>
      <c r="D184" s="8" t="str">
        <f>IF(Table2[[#This Row],[Nama_Proyek]]="", "Tidak Diketahui", Table2[[#This Row],[Nama_Proyek]])</f>
        <v>Perbaikan Drainase Bandung</v>
      </c>
      <c r="E184" s="14">
        <v>45055</v>
      </c>
      <c r="F184" s="14">
        <v>45273</v>
      </c>
      <c r="G184" s="10">
        <v>636437813</v>
      </c>
      <c r="H184" s="8" t="str">
        <f>IF(Table2[[#This Row],[Kontraktor]]="", "Tidak Diketahui",Table2[[#This Row],[Kontraktor]])</f>
        <v>PT. Yuniar Hakim Tbk</v>
      </c>
      <c r="I184" s="11"/>
    </row>
    <row r="185" spans="1:9" ht="14.25" customHeight="1" x14ac:dyDescent="0.35">
      <c r="A185" s="8" t="s">
        <v>236</v>
      </c>
      <c r="B185" s="8" t="str">
        <f>IF(Table2[[#This Row],[Jenis_Proyek]]="", "Tidak Diketahui", Table2[[#This Row],[Jenis_Proyek]])</f>
        <v>Gedung</v>
      </c>
      <c r="C185" s="8" t="str">
        <f>IF(Table2[[#This Row],[Lokasi]]="", "Tidak Diketahui", Table2[[#This Row],[Lokasi]])</f>
        <v>Makassar</v>
      </c>
      <c r="D185" s="8" t="str">
        <f>IF(Table2[[#This Row],[Nama_Proyek]]="", "Tidak Diketahui", Table2[[#This Row],[Nama_Proyek]])</f>
        <v>Perbaikan Gedung Pemerintah Makassar</v>
      </c>
      <c r="E185" s="14">
        <v>45056</v>
      </c>
      <c r="F185" s="14">
        <v>45210</v>
      </c>
      <c r="G185" s="10">
        <v>22993543140</v>
      </c>
      <c r="H185" s="8" t="str">
        <f>IF(Table2[[#This Row],[Kontraktor]]="", "Tidak Diketahui",Table2[[#This Row],[Kontraktor]])</f>
        <v>PT A</v>
      </c>
      <c r="I185" s="11"/>
    </row>
    <row r="186" spans="1:9" ht="14.25" customHeight="1" x14ac:dyDescent="0.35">
      <c r="A186" s="8" t="s">
        <v>237</v>
      </c>
      <c r="B186" s="8" t="str">
        <f>IF(Table2[[#This Row],[Jenis_Proyek]]="", "Tidak Diketahui", Table2[[#This Row],[Jenis_Proyek]])</f>
        <v>Jembatan</v>
      </c>
      <c r="C186" s="8" t="str">
        <f>IF(Table2[[#This Row],[Lokasi]]="", "Tidak Diketahui", Table2[[#This Row],[Lokasi]])</f>
        <v>Bau-Bau</v>
      </c>
      <c r="D186" s="8" t="str">
        <f>IF(Table2[[#This Row],[Nama_Proyek]]="", "Tidak Diketahui", Table2[[#This Row],[Nama_Proyek]])</f>
        <v>Pembuatan Jembatan Bau-Bau</v>
      </c>
      <c r="E186" s="14">
        <v>45056</v>
      </c>
      <c r="F186" s="14">
        <v>45364</v>
      </c>
      <c r="G186" s="10">
        <v>5097478222</v>
      </c>
      <c r="H186" s="8" t="str">
        <f>IF(Table2[[#This Row],[Kontraktor]]="", "Tidak Diketahui",Table2[[#This Row],[Kontraktor]])</f>
        <v>CV Sihombing</v>
      </c>
      <c r="I186" s="11"/>
    </row>
    <row r="187" spans="1:9" ht="14.25" customHeight="1" x14ac:dyDescent="0.35">
      <c r="A187" s="8" t="s">
        <v>238</v>
      </c>
      <c r="B187" s="8" t="str">
        <f>IF(Table2[[#This Row],[Jenis_Proyek]]="", "Tidak Diketahui", Table2[[#This Row],[Jenis_Proyek]])</f>
        <v>Jembatan</v>
      </c>
      <c r="C187" s="8" t="str">
        <f>IF(Table2[[#This Row],[Lokasi]]="", "Tidak Diketahui", Table2[[#This Row],[Lokasi]])</f>
        <v>Depok</v>
      </c>
      <c r="D187" s="8" t="str">
        <f>IF(Table2[[#This Row],[Nama_Proyek]]="", "Tidak Diketahui", Table2[[#This Row],[Nama_Proyek]])</f>
        <v>Pembuatan Jembatan Depok</v>
      </c>
      <c r="E187" s="14">
        <v>45056</v>
      </c>
      <c r="F187" s="14">
        <v>45387</v>
      </c>
      <c r="G187" s="10">
        <v>6825404228</v>
      </c>
      <c r="H187" s="8" t="str">
        <f>IF(Table2[[#This Row],[Kontraktor]]="", "Tidak Diketahui",Table2[[#This Row],[Kontraktor]])</f>
        <v>PT. Yuniar Hakim Tbk</v>
      </c>
      <c r="I187" s="11"/>
    </row>
    <row r="188" spans="1:9" ht="14.25" customHeight="1" x14ac:dyDescent="0.35">
      <c r="A188" s="8" t="s">
        <v>239</v>
      </c>
      <c r="B188" s="8" t="str">
        <f>IF(Table2[[#This Row],[Jenis_Proyek]]="", "Tidak Diketahui", Table2[[#This Row],[Jenis_Proyek]])</f>
        <v>Drainase</v>
      </c>
      <c r="C188" s="8" t="str">
        <f>IF(Table2[[#This Row],[Lokasi]]="", "Tidak Diketahui", Table2[[#This Row],[Lokasi]])</f>
        <v>Depok</v>
      </c>
      <c r="D188" s="8" t="str">
        <f>IF(Table2[[#This Row],[Nama_Proyek]]="", "Tidak Diketahui", Table2[[#This Row],[Nama_Proyek]])</f>
        <v>Perbaikan Drainase Depok</v>
      </c>
      <c r="E188" s="14">
        <v>45057</v>
      </c>
      <c r="F188" s="14">
        <v>45337</v>
      </c>
      <c r="G188" s="10">
        <v>711908536</v>
      </c>
      <c r="H188" s="8" t="str">
        <f>IF(Table2[[#This Row],[Kontraktor]]="", "Tidak Diketahui",Table2[[#This Row],[Kontraktor]])</f>
        <v>PT. Lailasari Hariyah (Persero) Tbk</v>
      </c>
      <c r="I188" s="11"/>
    </row>
    <row r="189" spans="1:9" ht="14.25" customHeight="1" x14ac:dyDescent="0.35">
      <c r="A189" s="8" t="s">
        <v>240</v>
      </c>
      <c r="B189" s="8" t="str">
        <f>IF(Table2[[#This Row],[Jenis_Proyek]]="", "Tidak Diketahui", Table2[[#This Row],[Jenis_Proyek]])</f>
        <v>Flyover</v>
      </c>
      <c r="C189" s="8" t="str">
        <f>IF(Table2[[#This Row],[Lokasi]]="", "Tidak Diketahui", Table2[[#This Row],[Lokasi]])</f>
        <v>Bandung</v>
      </c>
      <c r="D189" s="8" t="str">
        <f>IF(Table2[[#This Row],[Nama_Proyek]]="", "Tidak Diketahui", Table2[[#This Row],[Nama_Proyek]])</f>
        <v>Pembuatan Flyover Bandung</v>
      </c>
      <c r="E189" s="14">
        <v>45057</v>
      </c>
      <c r="F189" s="14">
        <v>45261</v>
      </c>
      <c r="G189" s="10">
        <v>4488626883</v>
      </c>
      <c r="H189" s="8" t="str">
        <f>IF(Table2[[#This Row],[Kontraktor]]="", "Tidak Diketahui",Table2[[#This Row],[Kontraktor]])</f>
        <v>PT A</v>
      </c>
      <c r="I189" s="11"/>
    </row>
    <row r="190" spans="1:9" ht="14.25" customHeight="1" x14ac:dyDescent="0.35">
      <c r="A190" s="8" t="s">
        <v>241</v>
      </c>
      <c r="B190" s="8" t="str">
        <f>IF(Table2[[#This Row],[Jenis_Proyek]]="", "Tidak Diketahui", Table2[[#This Row],[Jenis_Proyek]])</f>
        <v>Jalan Raya</v>
      </c>
      <c r="C190" s="8" t="str">
        <f>IF(Table2[[#This Row],[Lokasi]]="", "Tidak Diketahui", Table2[[#This Row],[Lokasi]])</f>
        <v>Bau-Bau</v>
      </c>
      <c r="D190" s="8" t="str">
        <f>IF(Table2[[#This Row],[Nama_Proyek]]="", "Tidak Diketahui", Table2[[#This Row],[Nama_Proyek]])</f>
        <v>Perbaikan Jalan Raya Bau-Bau</v>
      </c>
      <c r="E190" s="14">
        <v>45058</v>
      </c>
      <c r="F190" s="14">
        <v>45145</v>
      </c>
      <c r="G190" s="10">
        <v>833760455</v>
      </c>
      <c r="H190" s="8" t="str">
        <f>IF(Table2[[#This Row],[Kontraktor]]="", "Tidak Diketahui",Table2[[#This Row],[Kontraktor]])</f>
        <v>PT D</v>
      </c>
      <c r="I190" s="11"/>
    </row>
    <row r="191" spans="1:9" ht="14.25" customHeight="1" x14ac:dyDescent="0.35">
      <c r="A191" s="8" t="s">
        <v>242</v>
      </c>
      <c r="B191" s="8" t="str">
        <f>IF(Table2[[#This Row],[Jenis_Proyek]]="", "Tidak Diketahui", Table2[[#This Row],[Jenis_Proyek]])</f>
        <v>Jalan Raya</v>
      </c>
      <c r="C191" s="8" t="str">
        <f>IF(Table2[[#This Row],[Lokasi]]="", "Tidak Diketahui", Table2[[#This Row],[Lokasi]])</f>
        <v>Makassar</v>
      </c>
      <c r="D191" s="8" t="str">
        <f>IF(Table2[[#This Row],[Nama_Proyek]]="", "Tidak Diketahui", Table2[[#This Row],[Nama_Proyek]])</f>
        <v>Perbaikan Jalan Raya Makassar</v>
      </c>
      <c r="E191" s="14">
        <v>45059</v>
      </c>
      <c r="F191" s="14">
        <v>45390</v>
      </c>
      <c r="G191" s="10">
        <v>796873116</v>
      </c>
      <c r="H191" s="8" t="str">
        <f>IF(Table2[[#This Row],[Kontraktor]]="", "Tidak Diketahui",Table2[[#This Row],[Kontraktor]])</f>
        <v>PT C</v>
      </c>
      <c r="I191" s="11"/>
    </row>
    <row r="192" spans="1:9" ht="14.25" customHeight="1" x14ac:dyDescent="0.35">
      <c r="A192" s="8" t="s">
        <v>243</v>
      </c>
      <c r="B192" s="8" t="str">
        <f>IF(Table2[[#This Row],[Jenis_Proyek]]="", "Tidak Diketahui", Table2[[#This Row],[Jenis_Proyek]])</f>
        <v>Jalan Raya</v>
      </c>
      <c r="C192" s="8" t="str">
        <f>IF(Table2[[#This Row],[Lokasi]]="", "Tidak Diketahui", Table2[[#This Row],[Lokasi]])</f>
        <v>Surabaya</v>
      </c>
      <c r="D192" s="8" t="str">
        <f>IF(Table2[[#This Row],[Nama_Proyek]]="", "Tidak Diketahui", Table2[[#This Row],[Nama_Proyek]])</f>
        <v>Perbaikan Jalan Raya Surabaya</v>
      </c>
      <c r="E192" s="14">
        <v>45060</v>
      </c>
      <c r="F192" s="14">
        <v>45231</v>
      </c>
      <c r="G192" s="10">
        <v>265841157</v>
      </c>
      <c r="H192" s="8" t="str">
        <f>IF(Table2[[#This Row],[Kontraktor]]="", "Tidak Diketahui",Table2[[#This Row],[Kontraktor]])</f>
        <v>PT B</v>
      </c>
      <c r="I192" s="11"/>
    </row>
    <row r="193" spans="1:9" ht="14.25" customHeight="1" x14ac:dyDescent="0.35">
      <c r="A193" s="8" t="s">
        <v>244</v>
      </c>
      <c r="B193" s="8" t="str">
        <f>IF(Table2[[#This Row],[Jenis_Proyek]]="", "Tidak Diketahui", Table2[[#This Row],[Jenis_Proyek]])</f>
        <v>Jembatan</v>
      </c>
      <c r="C193" s="8" t="str">
        <f>IF(Table2[[#This Row],[Lokasi]]="", "Tidak Diketahui", Table2[[#This Row],[Lokasi]])</f>
        <v>Medan</v>
      </c>
      <c r="D193" s="8" t="str">
        <f>IF(Table2[[#This Row],[Nama_Proyek]]="", "Tidak Diketahui", Table2[[#This Row],[Nama_Proyek]])</f>
        <v>Pembuatan Jembatan Medan</v>
      </c>
      <c r="E193" s="14">
        <v>45061</v>
      </c>
      <c r="F193" s="14">
        <v>45294</v>
      </c>
      <c r="G193" s="10">
        <v>2403144972</v>
      </c>
      <c r="H193" s="8" t="str">
        <f>IF(Table2[[#This Row],[Kontraktor]]="", "Tidak Diketahui",Table2[[#This Row],[Kontraktor]])</f>
        <v>PT B</v>
      </c>
      <c r="I193" s="11"/>
    </row>
    <row r="194" spans="1:9" ht="14.25" customHeight="1" x14ac:dyDescent="0.35">
      <c r="A194" s="8" t="s">
        <v>245</v>
      </c>
      <c r="B194" s="8" t="str">
        <f>IF(Table2[[#This Row],[Jenis_Proyek]]="", "Tidak Diketahui", Table2[[#This Row],[Jenis_Proyek]])</f>
        <v>Jembatan</v>
      </c>
      <c r="C194" s="8" t="str">
        <f>IF(Table2[[#This Row],[Lokasi]]="", "Tidak Diketahui", Table2[[#This Row],[Lokasi]])</f>
        <v>Medan</v>
      </c>
      <c r="D194" s="8" t="str">
        <f>IF(Table2[[#This Row],[Nama_Proyek]]="", "Tidak Diketahui", Table2[[#This Row],[Nama_Proyek]])</f>
        <v>Pembuatan Jembatan Medan</v>
      </c>
      <c r="E194" s="14">
        <v>45062</v>
      </c>
      <c r="F194" s="14">
        <v>45418</v>
      </c>
      <c r="G194" s="10">
        <v>2353183969</v>
      </c>
      <c r="H194" s="8" t="str">
        <f>IF(Table2[[#This Row],[Kontraktor]]="", "Tidak Diketahui",Table2[[#This Row],[Kontraktor]])</f>
        <v>PT C</v>
      </c>
      <c r="I194" s="11"/>
    </row>
    <row r="195" spans="1:9" ht="14.25" customHeight="1" x14ac:dyDescent="0.35">
      <c r="A195" s="8" t="s">
        <v>246</v>
      </c>
      <c r="B195" s="8" t="str">
        <f>IF(Table2[[#This Row],[Jenis_Proyek]]="", "Tidak Diketahui", Table2[[#This Row],[Jenis_Proyek]])</f>
        <v>Jembatan</v>
      </c>
      <c r="C195" s="8" t="str">
        <f>IF(Table2[[#This Row],[Lokasi]]="", "Tidak Diketahui", Table2[[#This Row],[Lokasi]])</f>
        <v>Bau-Bau</v>
      </c>
      <c r="D195" s="8" t="str">
        <f>IF(Table2[[#This Row],[Nama_Proyek]]="", "Tidak Diketahui", Table2[[#This Row],[Nama_Proyek]])</f>
        <v>Perbaikan Jembatan Bau-Bau</v>
      </c>
      <c r="E195" s="14">
        <v>45063</v>
      </c>
      <c r="F195" s="14">
        <v>45233</v>
      </c>
      <c r="G195" s="10">
        <v>3010188959</v>
      </c>
      <c r="H195" s="8" t="str">
        <f>IF(Table2[[#This Row],[Kontraktor]]="", "Tidak Diketahui",Table2[[#This Row],[Kontraktor]])</f>
        <v>PT C</v>
      </c>
      <c r="I195" s="11"/>
    </row>
    <row r="196" spans="1:9" ht="14.25" customHeight="1" x14ac:dyDescent="0.35">
      <c r="A196" s="8" t="s">
        <v>247</v>
      </c>
      <c r="B196" s="8" t="str">
        <f>IF(Table2[[#This Row],[Jenis_Proyek]]="", "Tidak Diketahui", Table2[[#This Row],[Jenis_Proyek]])</f>
        <v>Jembatan</v>
      </c>
      <c r="C196" s="8" t="str">
        <f>IF(Table2[[#This Row],[Lokasi]]="", "Tidak Diketahui", Table2[[#This Row],[Lokasi]])</f>
        <v>Bau-Bau</v>
      </c>
      <c r="D196" s="8" t="str">
        <f>IF(Table2[[#This Row],[Nama_Proyek]]="", "Tidak Diketahui", Table2[[#This Row],[Nama_Proyek]])</f>
        <v>Perbaikan Jembatan Bau-Bau</v>
      </c>
      <c r="E196" s="14">
        <v>45063</v>
      </c>
      <c r="F196" s="14">
        <v>45274</v>
      </c>
      <c r="G196" s="10">
        <v>3270056272</v>
      </c>
      <c r="H196" s="8" t="str">
        <f>IF(Table2[[#This Row],[Kontraktor]]="", "Tidak Diketahui",Table2[[#This Row],[Kontraktor]])</f>
        <v>PT. Yuniar Hakim Tbk</v>
      </c>
      <c r="I196" s="11"/>
    </row>
    <row r="197" spans="1:9" ht="14.25" customHeight="1" x14ac:dyDescent="0.35">
      <c r="A197" s="8" t="s">
        <v>248</v>
      </c>
      <c r="B197" s="8" t="str">
        <f>IF(Table2[[#This Row],[Jenis_Proyek]]="", "Tidak Diketahui", Table2[[#This Row],[Jenis_Proyek]])</f>
        <v>Flyover</v>
      </c>
      <c r="C197" s="8" t="str">
        <f>IF(Table2[[#This Row],[Lokasi]]="", "Tidak Diketahui", Table2[[#This Row],[Lokasi]])</f>
        <v>Surabaya</v>
      </c>
      <c r="D197" s="8" t="str">
        <f>IF(Table2[[#This Row],[Nama_Proyek]]="", "Tidak Diketahui", Table2[[#This Row],[Nama_Proyek]])</f>
        <v>Pembuatan Flyover Surabaya</v>
      </c>
      <c r="E197" s="14">
        <v>45063</v>
      </c>
      <c r="F197" s="14">
        <v>45376</v>
      </c>
      <c r="G197" s="10">
        <v>2737545275</v>
      </c>
      <c r="H197" s="8" t="str">
        <f>IF(Table2[[#This Row],[Kontraktor]]="", "Tidak Diketahui",Table2[[#This Row],[Kontraktor]])</f>
        <v>PT A</v>
      </c>
      <c r="I197" s="11"/>
    </row>
    <row r="198" spans="1:9" ht="14.25" customHeight="1" x14ac:dyDescent="0.35">
      <c r="A198" s="8" t="s">
        <v>249</v>
      </c>
      <c r="B198" s="8" t="str">
        <f>IF(Table2[[#This Row],[Jenis_Proyek]]="", "Tidak Diketahui", Table2[[#This Row],[Jenis_Proyek]])</f>
        <v>Drainase</v>
      </c>
      <c r="C198" s="8" t="str">
        <f>IF(Table2[[#This Row],[Lokasi]]="", "Tidak Diketahui", Table2[[#This Row],[Lokasi]])</f>
        <v>Jakarta</v>
      </c>
      <c r="D198" s="8" t="str">
        <f>IF(Table2[[#This Row],[Nama_Proyek]]="", "Tidak Diketahui", Table2[[#This Row],[Nama_Proyek]])</f>
        <v>Perbaikan Drainase Jakarta</v>
      </c>
      <c r="E198" s="14">
        <v>45063</v>
      </c>
      <c r="F198" s="14">
        <v>45215</v>
      </c>
      <c r="G198" s="10">
        <v>435396392</v>
      </c>
      <c r="H198" s="8" t="str">
        <f>IF(Table2[[#This Row],[Kontraktor]]="", "Tidak Diketahui",Table2[[#This Row],[Kontraktor]])</f>
        <v>PT A</v>
      </c>
      <c r="I198" s="11"/>
    </row>
    <row r="199" spans="1:9" ht="14.25" customHeight="1" x14ac:dyDescent="0.35">
      <c r="A199" s="8" t="s">
        <v>250</v>
      </c>
      <c r="B199" s="8" t="str">
        <f>IF(Table2[[#This Row],[Jenis_Proyek]]="", "Tidak Diketahui", Table2[[#This Row],[Jenis_Proyek]])</f>
        <v>Jalan Raya</v>
      </c>
      <c r="C199" s="8" t="str">
        <f>IF(Table2[[#This Row],[Lokasi]]="", "Tidak Diketahui", Table2[[#This Row],[Lokasi]])</f>
        <v>Tomohon</v>
      </c>
      <c r="D199" s="8" t="str">
        <f>IF(Table2[[#This Row],[Nama_Proyek]]="", "Tidak Diketahui", Table2[[#This Row],[Nama_Proyek]])</f>
        <v>Perbaikan Jalan Raya Tomohon</v>
      </c>
      <c r="E199" s="14">
        <v>45064</v>
      </c>
      <c r="F199" s="14">
        <v>45199</v>
      </c>
      <c r="G199" s="10">
        <v>862972191</v>
      </c>
      <c r="H199" s="8" t="str">
        <f>IF(Table2[[#This Row],[Kontraktor]]="", "Tidak Diketahui",Table2[[#This Row],[Kontraktor]])</f>
        <v>PT. Lailasari Hariyah (Persero) Tbk</v>
      </c>
      <c r="I199" s="11"/>
    </row>
    <row r="200" spans="1:9" ht="14.25" customHeight="1" x14ac:dyDescent="0.35">
      <c r="A200" s="8" t="s">
        <v>251</v>
      </c>
      <c r="B200" s="8" t="str">
        <f>IF(Table2[[#This Row],[Jenis_Proyek]]="", "Tidak Diketahui", Table2[[#This Row],[Jenis_Proyek]])</f>
        <v>Drainase</v>
      </c>
      <c r="C200" s="8" t="str">
        <f>IF(Table2[[#This Row],[Lokasi]]="", "Tidak Diketahui", Table2[[#This Row],[Lokasi]])</f>
        <v>Jakarta</v>
      </c>
      <c r="D200" s="8" t="str">
        <f>IF(Table2[[#This Row],[Nama_Proyek]]="", "Tidak Diketahui", Table2[[#This Row],[Nama_Proyek]])</f>
        <v>Perbaikan Drainase Jakarta</v>
      </c>
      <c r="E200" s="14">
        <v>45066</v>
      </c>
      <c r="F200" s="14">
        <v>45101</v>
      </c>
      <c r="G200" s="10">
        <v>540011263</v>
      </c>
      <c r="H200" s="8" t="str">
        <f>IF(Table2[[#This Row],[Kontraktor]]="", "Tidak Diketahui",Table2[[#This Row],[Kontraktor]])</f>
        <v>PT A</v>
      </c>
      <c r="I200" s="11"/>
    </row>
    <row r="201" spans="1:9" ht="14.25" customHeight="1" x14ac:dyDescent="0.35">
      <c r="A201" s="8" t="s">
        <v>252</v>
      </c>
      <c r="B201" s="8" t="str">
        <f>IF(Table2[[#This Row],[Jenis_Proyek]]="", "Tidak Diketahui", Table2[[#This Row],[Jenis_Proyek]])</f>
        <v>Jembatan</v>
      </c>
      <c r="C201" s="8" t="str">
        <f>IF(Table2[[#This Row],[Lokasi]]="", "Tidak Diketahui", Table2[[#This Row],[Lokasi]])</f>
        <v>Medan</v>
      </c>
      <c r="D201" s="8" t="str">
        <f>IF(Table2[[#This Row],[Nama_Proyek]]="", "Tidak Diketahui", Table2[[#This Row],[Nama_Proyek]])</f>
        <v>Pembuatan Jembatan Medan</v>
      </c>
      <c r="E201" s="14">
        <v>45068</v>
      </c>
      <c r="F201" s="14">
        <v>45110</v>
      </c>
      <c r="G201" s="10">
        <v>1029500364</v>
      </c>
      <c r="H201" s="8" t="str">
        <f>IF(Table2[[#This Row],[Kontraktor]]="", "Tidak Diketahui",Table2[[#This Row],[Kontraktor]])</f>
        <v>PT D</v>
      </c>
      <c r="I201" s="11"/>
    </row>
    <row r="202" spans="1:9" ht="14.25" customHeight="1" x14ac:dyDescent="0.35">
      <c r="A202" s="8" t="s">
        <v>253</v>
      </c>
      <c r="B202" s="8" t="str">
        <f>IF(Table2[[#This Row],[Jenis_Proyek]]="", "Tidak Diketahui", Table2[[#This Row],[Jenis_Proyek]])</f>
        <v>Jalan Raya</v>
      </c>
      <c r="C202" s="8" t="str">
        <f>IF(Table2[[#This Row],[Lokasi]]="", "Tidak Diketahui", Table2[[#This Row],[Lokasi]])</f>
        <v>Makassar</v>
      </c>
      <c r="D202" s="8" t="str">
        <f>IF(Table2[[#This Row],[Nama_Proyek]]="", "Tidak Diketahui", Table2[[#This Row],[Nama_Proyek]])</f>
        <v>Perbaikan Jalan Raya Makassar</v>
      </c>
      <c r="E202" s="14">
        <v>45069</v>
      </c>
      <c r="F202" s="14">
        <v>45337</v>
      </c>
      <c r="G202" s="10">
        <v>641123605</v>
      </c>
      <c r="H202" s="8" t="str">
        <f>IF(Table2[[#This Row],[Kontraktor]]="", "Tidak Diketahui",Table2[[#This Row],[Kontraktor]])</f>
        <v>CV Sihombing</v>
      </c>
      <c r="I202" s="11"/>
    </row>
    <row r="203" spans="1:9" ht="14.25" customHeight="1" x14ac:dyDescent="0.35">
      <c r="A203" s="8" t="s">
        <v>254</v>
      </c>
      <c r="B203" s="8" t="str">
        <f>IF(Table2[[#This Row],[Jenis_Proyek]]="", "Tidak Diketahui", Table2[[#This Row],[Jenis_Proyek]])</f>
        <v>Flyover</v>
      </c>
      <c r="C203" s="8" t="str">
        <f>IF(Table2[[#This Row],[Lokasi]]="", "Tidak Diketahui", Table2[[#This Row],[Lokasi]])</f>
        <v>Bau-Bau</v>
      </c>
      <c r="D203" s="8" t="str">
        <f>IF(Table2[[#This Row],[Nama_Proyek]]="", "Tidak Diketahui", Table2[[#This Row],[Nama_Proyek]])</f>
        <v>Pembuatan Flyover Bau-Bau</v>
      </c>
      <c r="E203" s="14">
        <v>45070</v>
      </c>
      <c r="F203" s="14">
        <v>45413</v>
      </c>
      <c r="G203" s="10">
        <v>3739543587</v>
      </c>
      <c r="H203" s="8" t="str">
        <f>IF(Table2[[#This Row],[Kontraktor]]="", "Tidak Diketahui",Table2[[#This Row],[Kontraktor]])</f>
        <v>PT C</v>
      </c>
      <c r="I203" s="11"/>
    </row>
    <row r="204" spans="1:9" ht="14.25" customHeight="1" x14ac:dyDescent="0.35">
      <c r="A204" s="8" t="s">
        <v>255</v>
      </c>
      <c r="B204" s="8" t="str">
        <f>IF(Table2[[#This Row],[Jenis_Proyek]]="", "Tidak Diketahui", Table2[[#This Row],[Jenis_Proyek]])</f>
        <v>Gedung</v>
      </c>
      <c r="C204" s="8" t="str">
        <f>IF(Table2[[#This Row],[Lokasi]]="", "Tidak Diketahui", Table2[[#This Row],[Lokasi]])</f>
        <v>Bandung</v>
      </c>
      <c r="D204" s="8" t="str">
        <f>IF(Table2[[#This Row],[Nama_Proyek]]="", "Tidak Diketahui", Table2[[#This Row],[Nama_Proyek]])</f>
        <v>Perbaikan Gedung Pemerintah Bandung</v>
      </c>
      <c r="E204" s="14">
        <v>45072</v>
      </c>
      <c r="F204" s="14">
        <v>45108</v>
      </c>
      <c r="G204" s="10">
        <v>1989239519</v>
      </c>
      <c r="H204" s="8" t="str">
        <f>IF(Table2[[#This Row],[Kontraktor]]="", "Tidak Diketahui",Table2[[#This Row],[Kontraktor]])</f>
        <v>PT B</v>
      </c>
      <c r="I204" s="11"/>
    </row>
    <row r="205" spans="1:9" ht="14.25" customHeight="1" x14ac:dyDescent="0.35">
      <c r="A205" s="8" t="s">
        <v>256</v>
      </c>
      <c r="B205" s="8" t="str">
        <f>IF(Table2[[#This Row],[Jenis_Proyek]]="", "Tidak Diketahui", Table2[[#This Row],[Jenis_Proyek]])</f>
        <v>Jalan Raya</v>
      </c>
      <c r="C205" s="8" t="str">
        <f>IF(Table2[[#This Row],[Lokasi]]="", "Tidak Diketahui", Table2[[#This Row],[Lokasi]])</f>
        <v>Surabaya</v>
      </c>
      <c r="D205" s="8" t="str">
        <f>IF(Table2[[#This Row],[Nama_Proyek]]="", "Tidak Diketahui", Table2[[#This Row],[Nama_Proyek]])</f>
        <v>Perbaikan Jalan Raya Surabaya</v>
      </c>
      <c r="E205" s="14">
        <v>45072</v>
      </c>
      <c r="F205" s="14">
        <v>45310</v>
      </c>
      <c r="G205" s="10">
        <v>751081465</v>
      </c>
      <c r="H205" s="8" t="str">
        <f>IF(Table2[[#This Row],[Kontraktor]]="", "Tidak Diketahui",Table2[[#This Row],[Kontraktor]])</f>
        <v>PT A</v>
      </c>
      <c r="I205" s="11"/>
    </row>
    <row r="206" spans="1:9" ht="14.25" customHeight="1" x14ac:dyDescent="0.35">
      <c r="A206" s="8" t="s">
        <v>257</v>
      </c>
      <c r="B206" s="8" t="str">
        <f>IF(Table2[[#This Row],[Jenis_Proyek]]="", "Tidak Diketahui", Table2[[#This Row],[Jenis_Proyek]])</f>
        <v>Drainase</v>
      </c>
      <c r="C206" s="8" t="str">
        <f>IF(Table2[[#This Row],[Lokasi]]="", "Tidak Diketahui", Table2[[#This Row],[Lokasi]])</f>
        <v>Surabaya</v>
      </c>
      <c r="D206" s="8" t="str">
        <f>IF(Table2[[#This Row],[Nama_Proyek]]="", "Tidak Diketahui", Table2[[#This Row],[Nama_Proyek]])</f>
        <v>Perbaikan Drainase Surabaya</v>
      </c>
      <c r="E206" s="14">
        <v>45073</v>
      </c>
      <c r="F206" s="14">
        <v>45400</v>
      </c>
      <c r="G206" s="10">
        <v>396170576</v>
      </c>
      <c r="H206" s="8" t="str">
        <f>IF(Table2[[#This Row],[Kontraktor]]="", "Tidak Diketahui",Table2[[#This Row],[Kontraktor]])</f>
        <v>PT D</v>
      </c>
      <c r="I206" s="11"/>
    </row>
    <row r="207" spans="1:9" ht="14.25" customHeight="1" x14ac:dyDescent="0.35">
      <c r="A207" s="8" t="s">
        <v>258</v>
      </c>
      <c r="B207" s="8" t="str">
        <f>IF(Table2[[#This Row],[Jenis_Proyek]]="", "Tidak Diketahui", Table2[[#This Row],[Jenis_Proyek]])</f>
        <v>Flyover</v>
      </c>
      <c r="C207" s="8" t="str">
        <f>IF(Table2[[#This Row],[Lokasi]]="", "Tidak Diketahui", Table2[[#This Row],[Lokasi]])</f>
        <v>Bandung</v>
      </c>
      <c r="D207" s="8" t="str">
        <f>IF(Table2[[#This Row],[Nama_Proyek]]="", "Tidak Diketahui", Table2[[#This Row],[Nama_Proyek]])</f>
        <v>Pembuatan Flyover Bandung</v>
      </c>
      <c r="E207" s="14">
        <v>45073</v>
      </c>
      <c r="F207" s="14">
        <v>45368</v>
      </c>
      <c r="G207" s="10">
        <v>3867278410</v>
      </c>
      <c r="H207" s="8" t="str">
        <f>IF(Table2[[#This Row],[Kontraktor]]="", "Tidak Diketahui",Table2[[#This Row],[Kontraktor]])</f>
        <v>PT B</v>
      </c>
      <c r="I207" s="11"/>
    </row>
    <row r="208" spans="1:9" ht="14.25" customHeight="1" x14ac:dyDescent="0.35">
      <c r="A208" s="8" t="s">
        <v>259</v>
      </c>
      <c r="B208" s="8" t="str">
        <f>IF(Table2[[#This Row],[Jenis_Proyek]]="", "Tidak Diketahui", Table2[[#This Row],[Jenis_Proyek]])</f>
        <v>Gedung</v>
      </c>
      <c r="C208" s="8" t="str">
        <f>IF(Table2[[#This Row],[Lokasi]]="", "Tidak Diketahui", Table2[[#This Row],[Lokasi]])</f>
        <v>Jakarta</v>
      </c>
      <c r="D208" s="8" t="str">
        <f>IF(Table2[[#This Row],[Nama_Proyek]]="", "Tidak Diketahui", Table2[[#This Row],[Nama_Proyek]])</f>
        <v>Perbaikan Gedung Pemerintah Jakarta</v>
      </c>
      <c r="E208" s="14">
        <v>45074</v>
      </c>
      <c r="F208" s="14">
        <v>45326</v>
      </c>
      <c r="G208" s="10">
        <v>1475452617</v>
      </c>
      <c r="H208" s="8" t="str">
        <f>IF(Table2[[#This Row],[Kontraktor]]="", "Tidak Diketahui",Table2[[#This Row],[Kontraktor]])</f>
        <v>PT A</v>
      </c>
      <c r="I208" s="11"/>
    </row>
    <row r="209" spans="1:9" ht="14.25" customHeight="1" x14ac:dyDescent="0.35">
      <c r="A209" s="8" t="s">
        <v>260</v>
      </c>
      <c r="B209" s="8" t="str">
        <f>IF(Table2[[#This Row],[Jenis_Proyek]]="", "Tidak Diketahui", Table2[[#This Row],[Jenis_Proyek]])</f>
        <v>Tidak Diketahui</v>
      </c>
      <c r="C209" s="8" t="str">
        <f>IF(Table2[[#This Row],[Lokasi]]="", "Tidak Diketahui", Table2[[#This Row],[Lokasi]])</f>
        <v>Tidak Diketahui</v>
      </c>
      <c r="D209" s="8" t="str">
        <f>IF(Table2[[#This Row],[Nama_Proyek]]="", "Tidak Diketahui", Table2[[#This Row],[Nama_Proyek]])</f>
        <v>Perbaikan Gedung Pemerintah Surabaya</v>
      </c>
      <c r="E209" s="14">
        <v>45074</v>
      </c>
      <c r="F209" s="14">
        <v>45243</v>
      </c>
      <c r="G209" s="10">
        <v>8372699981</v>
      </c>
      <c r="H209" s="8" t="str">
        <f>IF(Table2[[#This Row],[Kontraktor]]="", "Tidak Diketahui",Table2[[#This Row],[Kontraktor]])</f>
        <v>Tidak Diketahui</v>
      </c>
      <c r="I209" s="11"/>
    </row>
    <row r="210" spans="1:9" ht="14.25" customHeight="1" x14ac:dyDescent="0.35">
      <c r="A210" s="8" t="s">
        <v>261</v>
      </c>
      <c r="B210" s="8" t="str">
        <f>IF(Table2[[#This Row],[Jenis_Proyek]]="", "Tidak Diketahui", Table2[[#This Row],[Jenis_Proyek]])</f>
        <v>Drainase</v>
      </c>
      <c r="C210" s="8" t="str">
        <f>IF(Table2[[#This Row],[Lokasi]]="", "Tidak Diketahui", Table2[[#This Row],[Lokasi]])</f>
        <v>Bau-Bau</v>
      </c>
      <c r="D210" s="8" t="str">
        <f>IF(Table2[[#This Row],[Nama_Proyek]]="", "Tidak Diketahui", Table2[[#This Row],[Nama_Proyek]])</f>
        <v>Perbaikan Drainase Bau-Bau</v>
      </c>
      <c r="E210" s="14">
        <v>45074</v>
      </c>
      <c r="F210" s="14">
        <v>45215</v>
      </c>
      <c r="G210" s="10">
        <v>467726708</v>
      </c>
      <c r="H210" s="8" t="str">
        <f>IF(Table2[[#This Row],[Kontraktor]]="", "Tidak Diketahui",Table2[[#This Row],[Kontraktor]])</f>
        <v>PT. Lailasari Hariyah (Persero) Tbk</v>
      </c>
      <c r="I210" s="11"/>
    </row>
    <row r="211" spans="1:9" ht="14.25" customHeight="1" x14ac:dyDescent="0.35">
      <c r="A211" s="8" t="s">
        <v>262</v>
      </c>
      <c r="B211" s="8" t="str">
        <f>IF(Table2[[#This Row],[Jenis_Proyek]]="", "Tidak Diketahui", Table2[[#This Row],[Jenis_Proyek]])</f>
        <v>Jembatan</v>
      </c>
      <c r="C211" s="8" t="str">
        <f>IF(Table2[[#This Row],[Lokasi]]="", "Tidak Diketahui", Table2[[#This Row],[Lokasi]])</f>
        <v>Bau-Bau</v>
      </c>
      <c r="D211" s="8" t="str">
        <f>IF(Table2[[#This Row],[Nama_Proyek]]="", "Tidak Diketahui", Table2[[#This Row],[Nama_Proyek]])</f>
        <v>Pembuatan Jembatan Bau-Bau</v>
      </c>
      <c r="E211" s="14">
        <v>45075</v>
      </c>
      <c r="F211" s="14">
        <v>45276</v>
      </c>
      <c r="G211" s="10">
        <v>3277415006</v>
      </c>
      <c r="H211" s="8" t="str">
        <f>IF(Table2[[#This Row],[Kontraktor]]="", "Tidak Diketahui",Table2[[#This Row],[Kontraktor]])</f>
        <v>PT C</v>
      </c>
      <c r="I211" s="11"/>
    </row>
    <row r="212" spans="1:9" ht="14.25" customHeight="1" x14ac:dyDescent="0.35">
      <c r="A212" s="8" t="s">
        <v>263</v>
      </c>
      <c r="B212" s="8" t="str">
        <f>IF(Table2[[#This Row],[Jenis_Proyek]]="", "Tidak Diketahui", Table2[[#This Row],[Jenis_Proyek]])</f>
        <v>Drainase</v>
      </c>
      <c r="C212" s="8" t="str">
        <f>IF(Table2[[#This Row],[Lokasi]]="", "Tidak Diketahui", Table2[[#This Row],[Lokasi]])</f>
        <v>Bau-Bau</v>
      </c>
      <c r="D212" s="8" t="str">
        <f>IF(Table2[[#This Row],[Nama_Proyek]]="", "Tidak Diketahui", Table2[[#This Row],[Nama_Proyek]])</f>
        <v>Perbaikan Drainase Bau-Bau</v>
      </c>
      <c r="E212" s="14">
        <v>45076</v>
      </c>
      <c r="F212" s="14">
        <v>45355</v>
      </c>
      <c r="G212" s="10">
        <v>636468503</v>
      </c>
      <c r="H212" s="8" t="str">
        <f>IF(Table2[[#This Row],[Kontraktor]]="", "Tidak Diketahui",Table2[[#This Row],[Kontraktor]])</f>
        <v>PT. Yuniar Hakim Tbk</v>
      </c>
      <c r="I212" s="11"/>
    </row>
    <row r="213" spans="1:9" ht="14.25" customHeight="1" x14ac:dyDescent="0.35">
      <c r="A213" s="8" t="s">
        <v>264</v>
      </c>
      <c r="B213" s="8" t="str">
        <f>IF(Table2[[#This Row],[Jenis_Proyek]]="", "Tidak Diketahui", Table2[[#This Row],[Jenis_Proyek]])</f>
        <v>Gedung</v>
      </c>
      <c r="C213" s="8" t="str">
        <f>IF(Table2[[#This Row],[Lokasi]]="", "Tidak Diketahui", Table2[[#This Row],[Lokasi]])</f>
        <v>Surabaya</v>
      </c>
      <c r="D213" s="8" t="str">
        <f>IF(Table2[[#This Row],[Nama_Proyek]]="", "Tidak Diketahui", Table2[[#This Row],[Nama_Proyek]])</f>
        <v>Perbaikan Gedung Pemerintah Surabaya</v>
      </c>
      <c r="E213" s="14">
        <v>45078</v>
      </c>
      <c r="F213" s="14">
        <v>45153</v>
      </c>
      <c r="G213" s="10">
        <v>1206249778</v>
      </c>
      <c r="H213" s="8" t="str">
        <f>IF(Table2[[#This Row],[Kontraktor]]="", "Tidak Diketahui",Table2[[#This Row],[Kontraktor]])</f>
        <v>PT B</v>
      </c>
      <c r="I213" s="11"/>
    </row>
    <row r="214" spans="1:9" ht="14.25" customHeight="1" x14ac:dyDescent="0.35">
      <c r="A214" s="13" t="s">
        <v>265</v>
      </c>
      <c r="B214" s="8" t="str">
        <f>IF(Table2[[#This Row],[Jenis_Proyek]]="", "Tidak Diketahui", Table2[[#This Row],[Jenis_Proyek]])</f>
        <v>Gedung</v>
      </c>
      <c r="C214" s="8" t="str">
        <f>IF(Table2[[#This Row],[Lokasi]]="", "Tidak Diketahui", Table2[[#This Row],[Lokasi]])</f>
        <v>Surabaya</v>
      </c>
      <c r="D214" s="8" t="str">
        <f>IF(Table2[[#This Row],[Nama_Proyek]]="", "Tidak Diketahui", Table2[[#This Row],[Nama_Proyek]])</f>
        <v>Perbaikan Gedung Pemerintah Surabaya</v>
      </c>
      <c r="E214" s="14">
        <v>45078</v>
      </c>
      <c r="F214" s="14">
        <v>45153</v>
      </c>
      <c r="G214" s="10">
        <v>6060807570</v>
      </c>
      <c r="H214" s="8" t="str">
        <f>IF(Table2[[#This Row],[Kontraktor]]="", "Tidak Diketahui",Table2[[#This Row],[Kontraktor]])</f>
        <v>PT. Yuniar Hakim Tbk</v>
      </c>
      <c r="I214" s="11"/>
    </row>
    <row r="215" spans="1:9" ht="14.25" customHeight="1" x14ac:dyDescent="0.35">
      <c r="A215" s="8" t="s">
        <v>266</v>
      </c>
      <c r="B215" s="8" t="str">
        <f>IF(Table2[[#This Row],[Jenis_Proyek]]="", "Tidak Diketahui", Table2[[#This Row],[Jenis_Proyek]])</f>
        <v>Flyover</v>
      </c>
      <c r="C215" s="8" t="str">
        <f>IF(Table2[[#This Row],[Lokasi]]="", "Tidak Diketahui", Table2[[#This Row],[Lokasi]])</f>
        <v>Medan</v>
      </c>
      <c r="D215" s="8" t="str">
        <f>IF(Table2[[#This Row],[Nama_Proyek]]="", "Tidak Diketahui", Table2[[#This Row],[Nama_Proyek]])</f>
        <v>Pembuatan Flyover Medan</v>
      </c>
      <c r="E215" s="14">
        <v>45078</v>
      </c>
      <c r="F215" s="14">
        <v>45220</v>
      </c>
      <c r="G215" s="10">
        <v>2544644297</v>
      </c>
      <c r="H215" s="8" t="str">
        <f>IF(Table2[[#This Row],[Kontraktor]]="", "Tidak Diketahui",Table2[[#This Row],[Kontraktor]])</f>
        <v>Tidak Diketahui</v>
      </c>
      <c r="I215" s="11"/>
    </row>
    <row r="216" spans="1:9" ht="14.25" customHeight="1" x14ac:dyDescent="0.35">
      <c r="A216" s="8" t="s">
        <v>267</v>
      </c>
      <c r="B216" s="8" t="str">
        <f>IF(Table2[[#This Row],[Jenis_Proyek]]="", "Tidak Diketahui", Table2[[#This Row],[Jenis_Proyek]])</f>
        <v>Jembatan</v>
      </c>
      <c r="C216" s="8" t="str">
        <f>IF(Table2[[#This Row],[Lokasi]]="", "Tidak Diketahui", Table2[[#This Row],[Lokasi]])</f>
        <v>Jakarta</v>
      </c>
      <c r="D216" s="8" t="str">
        <f>IF(Table2[[#This Row],[Nama_Proyek]]="", "Tidak Diketahui", Table2[[#This Row],[Nama_Proyek]])</f>
        <v>Pembuatan Jembatan Jakarta</v>
      </c>
      <c r="E216" s="14">
        <v>45080</v>
      </c>
      <c r="F216" s="14">
        <v>45423</v>
      </c>
      <c r="G216" s="10">
        <v>6557069994</v>
      </c>
      <c r="H216" s="8" t="str">
        <f>IF(Table2[[#This Row],[Kontraktor]]="", "Tidak Diketahui",Table2[[#This Row],[Kontraktor]])</f>
        <v>PT C</v>
      </c>
      <c r="I216" s="11"/>
    </row>
    <row r="217" spans="1:9" ht="14.25" customHeight="1" x14ac:dyDescent="0.35">
      <c r="A217" s="8" t="s">
        <v>268</v>
      </c>
      <c r="B217" s="8" t="str">
        <f>IF(Table2[[#This Row],[Jenis_Proyek]]="", "Tidak Diketahui", Table2[[#This Row],[Jenis_Proyek]])</f>
        <v>Flyover</v>
      </c>
      <c r="C217" s="8" t="str">
        <f>IF(Table2[[#This Row],[Lokasi]]="", "Tidak Diketahui", Table2[[#This Row],[Lokasi]])</f>
        <v>Makassar</v>
      </c>
      <c r="D217" s="8" t="str">
        <f>IF(Table2[[#This Row],[Nama_Proyek]]="", "Tidak Diketahui", Table2[[#This Row],[Nama_Proyek]])</f>
        <v>Pembuatan Flyover Makassar</v>
      </c>
      <c r="E217" s="14">
        <v>45081</v>
      </c>
      <c r="F217" s="14">
        <v>45393</v>
      </c>
      <c r="G217" s="10">
        <v>4526013687</v>
      </c>
      <c r="H217" s="8" t="str">
        <f>IF(Table2[[#This Row],[Kontraktor]]="", "Tidak Diketahui",Table2[[#This Row],[Kontraktor]])</f>
        <v>PT B</v>
      </c>
      <c r="I217" s="11"/>
    </row>
    <row r="218" spans="1:9" ht="14.25" customHeight="1" x14ac:dyDescent="0.35">
      <c r="A218" s="8" t="s">
        <v>269</v>
      </c>
      <c r="B218" s="8" t="str">
        <f>IF(Table2[[#This Row],[Jenis_Proyek]]="", "Tidak Diketahui", Table2[[#This Row],[Jenis_Proyek]])</f>
        <v>Flyover</v>
      </c>
      <c r="C218" s="8" t="str">
        <f>IF(Table2[[#This Row],[Lokasi]]="", "Tidak Diketahui", Table2[[#This Row],[Lokasi]])</f>
        <v>Bandung</v>
      </c>
      <c r="D218" s="8" t="str">
        <f>IF(Table2[[#This Row],[Nama_Proyek]]="", "Tidak Diketahui", Table2[[#This Row],[Nama_Proyek]])</f>
        <v>Pembuatan Flyover Bandung</v>
      </c>
      <c r="E218" s="14">
        <v>45081</v>
      </c>
      <c r="F218" s="14">
        <v>45336</v>
      </c>
      <c r="G218" s="10">
        <v>1746655000</v>
      </c>
      <c r="H218" s="8" t="str">
        <f>IF(Table2[[#This Row],[Kontraktor]]="", "Tidak Diketahui",Table2[[#This Row],[Kontraktor]])</f>
        <v>CV Sihombing</v>
      </c>
      <c r="I218" s="11"/>
    </row>
    <row r="219" spans="1:9" ht="14.25" customHeight="1" x14ac:dyDescent="0.35">
      <c r="A219" s="8" t="s">
        <v>270</v>
      </c>
      <c r="B219" s="8" t="str">
        <f>IF(Table2[[#This Row],[Jenis_Proyek]]="", "Tidak Diketahui", Table2[[#This Row],[Jenis_Proyek]])</f>
        <v>Jembatan</v>
      </c>
      <c r="C219" s="8" t="str">
        <f>IF(Table2[[#This Row],[Lokasi]]="", "Tidak Diketahui", Table2[[#This Row],[Lokasi]])</f>
        <v>Medan</v>
      </c>
      <c r="D219" s="8" t="str">
        <f>IF(Table2[[#This Row],[Nama_Proyek]]="", "Tidak Diketahui", Table2[[#This Row],[Nama_Proyek]])</f>
        <v>Pembuatan Jembatan Medan</v>
      </c>
      <c r="E219" s="14">
        <v>45081</v>
      </c>
      <c r="F219" s="14">
        <v>45151</v>
      </c>
      <c r="G219" s="10">
        <v>846453122</v>
      </c>
      <c r="H219" s="8" t="str">
        <f>IF(Table2[[#This Row],[Kontraktor]]="", "Tidak Diketahui",Table2[[#This Row],[Kontraktor]])</f>
        <v>PT D</v>
      </c>
      <c r="I219" s="11"/>
    </row>
    <row r="220" spans="1:9" ht="14.25" customHeight="1" x14ac:dyDescent="0.35">
      <c r="A220" s="8" t="s">
        <v>271</v>
      </c>
      <c r="B220" s="8" t="str">
        <f>IF(Table2[[#This Row],[Jenis_Proyek]]="", "Tidak Diketahui", Table2[[#This Row],[Jenis_Proyek]])</f>
        <v>Jalan Raya</v>
      </c>
      <c r="C220" s="8" t="str">
        <f>IF(Table2[[#This Row],[Lokasi]]="", "Tidak Diketahui", Table2[[#This Row],[Lokasi]])</f>
        <v>Makassar</v>
      </c>
      <c r="D220" s="8" t="str">
        <f>IF(Table2[[#This Row],[Nama_Proyek]]="", "Tidak Diketahui", Table2[[#This Row],[Nama_Proyek]])</f>
        <v>Perbaikan Jalan Raya Makassar</v>
      </c>
      <c r="E220" s="14">
        <v>45081</v>
      </c>
      <c r="F220" s="14">
        <v>45142</v>
      </c>
      <c r="G220" s="10">
        <v>203965243</v>
      </c>
      <c r="H220" s="8" t="str">
        <f>IF(Table2[[#This Row],[Kontraktor]]="", "Tidak Diketahui",Table2[[#This Row],[Kontraktor]])</f>
        <v>PT D</v>
      </c>
      <c r="I220" s="11"/>
    </row>
    <row r="221" spans="1:9" ht="14.25" customHeight="1" x14ac:dyDescent="0.35">
      <c r="A221" s="8" t="s">
        <v>272</v>
      </c>
      <c r="B221" s="8" t="str">
        <f>IF(Table2[[#This Row],[Jenis_Proyek]]="", "Tidak Diketahui", Table2[[#This Row],[Jenis_Proyek]])</f>
        <v>Flyover</v>
      </c>
      <c r="C221" s="8" t="str">
        <f>IF(Table2[[#This Row],[Lokasi]]="", "Tidak Diketahui", Table2[[#This Row],[Lokasi]])</f>
        <v>Bau-Bau</v>
      </c>
      <c r="D221" s="8" t="str">
        <f>IF(Table2[[#This Row],[Nama_Proyek]]="", "Tidak Diketahui", Table2[[#This Row],[Nama_Proyek]])</f>
        <v>Perbaikan Flyover Bau-Bau</v>
      </c>
      <c r="E221" s="14">
        <v>45081</v>
      </c>
      <c r="F221" s="14">
        <v>45386</v>
      </c>
      <c r="G221" s="10">
        <v>10119728525</v>
      </c>
      <c r="H221" s="8" t="str">
        <f>IF(Table2[[#This Row],[Kontraktor]]="", "Tidak Diketahui",Table2[[#This Row],[Kontraktor]])</f>
        <v>PT B</v>
      </c>
      <c r="I221" s="11"/>
    </row>
    <row r="222" spans="1:9" ht="14.25" customHeight="1" x14ac:dyDescent="0.35">
      <c r="A222" s="8" t="s">
        <v>273</v>
      </c>
      <c r="B222" s="8" t="str">
        <f>IF(Table2[[#This Row],[Jenis_Proyek]]="", "Tidak Diketahui", Table2[[#This Row],[Jenis_Proyek]])</f>
        <v>Flyover</v>
      </c>
      <c r="C222" s="8" t="str">
        <f>IF(Table2[[#This Row],[Lokasi]]="", "Tidak Diketahui", Table2[[#This Row],[Lokasi]])</f>
        <v>Makassar</v>
      </c>
      <c r="D222" s="8" t="str">
        <f>IF(Table2[[#This Row],[Nama_Proyek]]="", "Tidak Diketahui", Table2[[#This Row],[Nama_Proyek]])</f>
        <v>Pembuatan Flyover Makassar</v>
      </c>
      <c r="E222" s="14">
        <v>45082</v>
      </c>
      <c r="F222" s="14">
        <v>45410</v>
      </c>
      <c r="G222" s="10">
        <v>4915550556</v>
      </c>
      <c r="H222" s="8" t="str">
        <f>IF(Table2[[#This Row],[Kontraktor]]="", "Tidak Diketahui",Table2[[#This Row],[Kontraktor]])</f>
        <v>PT A</v>
      </c>
      <c r="I222" s="11"/>
    </row>
    <row r="223" spans="1:9" ht="14.25" customHeight="1" x14ac:dyDescent="0.35">
      <c r="A223" s="8" t="s">
        <v>274</v>
      </c>
      <c r="B223" s="8" t="str">
        <f>IF(Table2[[#This Row],[Jenis_Proyek]]="", "Tidak Diketahui", Table2[[#This Row],[Jenis_Proyek]])</f>
        <v>Drainase</v>
      </c>
      <c r="C223" s="8" t="str">
        <f>IF(Table2[[#This Row],[Lokasi]]="", "Tidak Diketahui", Table2[[#This Row],[Lokasi]])</f>
        <v>Tomohon</v>
      </c>
      <c r="D223" s="8" t="str">
        <f>IF(Table2[[#This Row],[Nama_Proyek]]="", "Tidak Diketahui", Table2[[#This Row],[Nama_Proyek]])</f>
        <v>Perbaikan Drainase Tomohon</v>
      </c>
      <c r="E223" s="14">
        <v>45084</v>
      </c>
      <c r="F223" s="14">
        <v>45303</v>
      </c>
      <c r="G223" s="10">
        <v>490931117</v>
      </c>
      <c r="H223" s="8" t="str">
        <f>IF(Table2[[#This Row],[Kontraktor]]="", "Tidak Diketahui",Table2[[#This Row],[Kontraktor]])</f>
        <v>CV Sihombing</v>
      </c>
      <c r="I223" s="11"/>
    </row>
    <row r="224" spans="1:9" ht="14.25" customHeight="1" x14ac:dyDescent="0.35">
      <c r="A224" s="8" t="s">
        <v>275</v>
      </c>
      <c r="B224" s="8" t="str">
        <f>IF(Table2[[#This Row],[Jenis_Proyek]]="", "Tidak Diketahui", Table2[[#This Row],[Jenis_Proyek]])</f>
        <v>Drainase</v>
      </c>
      <c r="C224" s="8" t="str">
        <f>IF(Table2[[#This Row],[Lokasi]]="", "Tidak Diketahui", Table2[[#This Row],[Lokasi]])</f>
        <v>Bandung</v>
      </c>
      <c r="D224" s="8" t="str">
        <f>IF(Table2[[#This Row],[Nama_Proyek]]="", "Tidak Diketahui", Table2[[#This Row],[Nama_Proyek]])</f>
        <v>Perbaikan Drainase Bandung</v>
      </c>
      <c r="E224" s="14">
        <v>45084</v>
      </c>
      <c r="F224" s="14">
        <v>45379</v>
      </c>
      <c r="G224" s="10">
        <v>345656676</v>
      </c>
      <c r="H224" s="8" t="str">
        <f>IF(Table2[[#This Row],[Kontraktor]]="", "Tidak Diketahui",Table2[[#This Row],[Kontraktor]])</f>
        <v>CV Sihombing</v>
      </c>
      <c r="I224" s="11"/>
    </row>
    <row r="225" spans="1:9" ht="14.25" customHeight="1" x14ac:dyDescent="0.35">
      <c r="A225" s="8" t="s">
        <v>276</v>
      </c>
      <c r="B225" s="8" t="str">
        <f>IF(Table2[[#This Row],[Jenis_Proyek]]="", "Tidak Diketahui", Table2[[#This Row],[Jenis_Proyek]])</f>
        <v>Flyover</v>
      </c>
      <c r="C225" s="8" t="str">
        <f>IF(Table2[[#This Row],[Lokasi]]="", "Tidak Diketahui", Table2[[#This Row],[Lokasi]])</f>
        <v>Bau-Bau</v>
      </c>
      <c r="D225" s="8" t="str">
        <f>IF(Table2[[#This Row],[Nama_Proyek]]="", "Tidak Diketahui", Table2[[#This Row],[Nama_Proyek]])</f>
        <v>Perbaikan Flyover Bau-Bau</v>
      </c>
      <c r="E225" s="14">
        <v>45088</v>
      </c>
      <c r="F225" s="14">
        <v>45402</v>
      </c>
      <c r="G225" s="10">
        <v>2994383941</v>
      </c>
      <c r="H225" s="8" t="str">
        <f>IF(Table2[[#This Row],[Kontraktor]]="", "Tidak Diketahui",Table2[[#This Row],[Kontraktor]])</f>
        <v>PT B</v>
      </c>
      <c r="I225" s="11"/>
    </row>
    <row r="226" spans="1:9" ht="14.25" customHeight="1" x14ac:dyDescent="0.35">
      <c r="A226" s="8" t="s">
        <v>277</v>
      </c>
      <c r="B226" s="8" t="str">
        <f>IF(Table2[[#This Row],[Jenis_Proyek]]="", "Tidak Diketahui", Table2[[#This Row],[Jenis_Proyek]])</f>
        <v>Gedung</v>
      </c>
      <c r="C226" s="8" t="str">
        <f>IF(Table2[[#This Row],[Lokasi]]="", "Tidak Diketahui", Table2[[#This Row],[Lokasi]])</f>
        <v>Jakarta</v>
      </c>
      <c r="D226" s="8" t="str">
        <f>IF(Table2[[#This Row],[Nama_Proyek]]="", "Tidak Diketahui", Table2[[#This Row],[Nama_Proyek]])</f>
        <v>Perbaikan Gedung Pemerintah Jakarta</v>
      </c>
      <c r="E226" s="14">
        <v>45088</v>
      </c>
      <c r="F226" s="14">
        <v>45259</v>
      </c>
      <c r="G226" s="10">
        <v>6364217108</v>
      </c>
      <c r="H226" s="8" t="str">
        <f>IF(Table2[[#This Row],[Kontraktor]]="", "Tidak Diketahui",Table2[[#This Row],[Kontraktor]])</f>
        <v>PT D</v>
      </c>
      <c r="I226" s="11"/>
    </row>
    <row r="227" spans="1:9" ht="14.25" customHeight="1" x14ac:dyDescent="0.35">
      <c r="A227" s="8" t="s">
        <v>278</v>
      </c>
      <c r="B227" s="8" t="str">
        <f>IF(Table2[[#This Row],[Jenis_Proyek]]="", "Tidak Diketahui", Table2[[#This Row],[Jenis_Proyek]])</f>
        <v>Jembatan</v>
      </c>
      <c r="C227" s="8" t="str">
        <f>IF(Table2[[#This Row],[Lokasi]]="", "Tidak Diketahui", Table2[[#This Row],[Lokasi]])</f>
        <v>Bau-Bau</v>
      </c>
      <c r="D227" s="8" t="str">
        <f>IF(Table2[[#This Row],[Nama_Proyek]]="", "Tidak Diketahui", Table2[[#This Row],[Nama_Proyek]])</f>
        <v>Perbaikan Jembatan Bau-Bau</v>
      </c>
      <c r="E227" s="14">
        <v>45090</v>
      </c>
      <c r="F227" s="14">
        <v>45168</v>
      </c>
      <c r="G227" s="10">
        <v>3757150419</v>
      </c>
      <c r="H227" s="8" t="str">
        <f>IF(Table2[[#This Row],[Kontraktor]]="", "Tidak Diketahui",Table2[[#This Row],[Kontraktor]])</f>
        <v>PT A</v>
      </c>
      <c r="I227" s="11"/>
    </row>
    <row r="228" spans="1:9" ht="14.25" customHeight="1" x14ac:dyDescent="0.35">
      <c r="A228" s="8" t="s">
        <v>279</v>
      </c>
      <c r="B228" s="8" t="str">
        <f>IF(Table2[[#This Row],[Jenis_Proyek]]="", "Tidak Diketahui", Table2[[#This Row],[Jenis_Proyek]])</f>
        <v>Jembatan</v>
      </c>
      <c r="C228" s="8" t="str">
        <f>IF(Table2[[#This Row],[Lokasi]]="", "Tidak Diketahui", Table2[[#This Row],[Lokasi]])</f>
        <v>Medan</v>
      </c>
      <c r="D228" s="8" t="str">
        <f>IF(Table2[[#This Row],[Nama_Proyek]]="", "Tidak Diketahui", Table2[[#This Row],[Nama_Proyek]])</f>
        <v>Pembuatan Jembatan Medan</v>
      </c>
      <c r="E228" s="14">
        <v>45090</v>
      </c>
      <c r="F228" s="14">
        <v>45220</v>
      </c>
      <c r="G228" s="10">
        <v>4655083177</v>
      </c>
      <c r="H228" s="8" t="str">
        <f>IF(Table2[[#This Row],[Kontraktor]]="", "Tidak Diketahui",Table2[[#This Row],[Kontraktor]])</f>
        <v>PT B</v>
      </c>
      <c r="I228" s="11"/>
    </row>
    <row r="229" spans="1:9" ht="14.25" customHeight="1" x14ac:dyDescent="0.35">
      <c r="A229" s="8" t="s">
        <v>280</v>
      </c>
      <c r="B229" s="8" t="str">
        <f>IF(Table2[[#This Row],[Jenis_Proyek]]="", "Tidak Diketahui", Table2[[#This Row],[Jenis_Proyek]])</f>
        <v>Drainase</v>
      </c>
      <c r="C229" s="8" t="str">
        <f>IF(Table2[[#This Row],[Lokasi]]="", "Tidak Diketahui", Table2[[#This Row],[Lokasi]])</f>
        <v>Bandung</v>
      </c>
      <c r="D229" s="8" t="str">
        <f>IF(Table2[[#This Row],[Nama_Proyek]]="", "Tidak Diketahui", Table2[[#This Row],[Nama_Proyek]])</f>
        <v>Perbaikan Drainase Bandung</v>
      </c>
      <c r="E229" s="14">
        <v>45091</v>
      </c>
      <c r="F229" s="14">
        <v>45091</v>
      </c>
      <c r="G229" s="10">
        <v>612637613</v>
      </c>
      <c r="H229" s="8" t="str">
        <f>IF(Table2[[#This Row],[Kontraktor]]="", "Tidak Diketahui",Table2[[#This Row],[Kontraktor]])</f>
        <v>PT B</v>
      </c>
      <c r="I229" s="11"/>
    </row>
    <row r="230" spans="1:9" ht="14.25" customHeight="1" x14ac:dyDescent="0.35">
      <c r="A230" s="8" t="s">
        <v>281</v>
      </c>
      <c r="B230" s="8" t="str">
        <f>IF(Table2[[#This Row],[Jenis_Proyek]]="", "Tidak Diketahui", Table2[[#This Row],[Jenis_Proyek]])</f>
        <v>Jembatan</v>
      </c>
      <c r="C230" s="8" t="str">
        <f>IF(Table2[[#This Row],[Lokasi]]="", "Tidak Diketahui", Table2[[#This Row],[Lokasi]])</f>
        <v>Bandung</v>
      </c>
      <c r="D230" s="8" t="str">
        <f>IF(Table2[[#This Row],[Nama_Proyek]]="", "Tidak Diketahui", Table2[[#This Row],[Nama_Proyek]])</f>
        <v>Pembuatan Jembatan Bandung</v>
      </c>
      <c r="E230" s="14">
        <v>45093</v>
      </c>
      <c r="F230" s="14">
        <v>45425</v>
      </c>
      <c r="G230" s="10">
        <v>765288058</v>
      </c>
      <c r="H230" s="8" t="str">
        <f>IF(Table2[[#This Row],[Kontraktor]]="", "Tidak Diketahui",Table2[[#This Row],[Kontraktor]])</f>
        <v>CV Sihombing</v>
      </c>
      <c r="I230" s="11"/>
    </row>
    <row r="231" spans="1:9" ht="14.25" customHeight="1" x14ac:dyDescent="0.35">
      <c r="A231" s="8" t="s">
        <v>282</v>
      </c>
      <c r="B231" s="8" t="str">
        <f>IF(Table2[[#This Row],[Jenis_Proyek]]="", "Tidak Diketahui", Table2[[#This Row],[Jenis_Proyek]])</f>
        <v>Jalan Raya</v>
      </c>
      <c r="C231" s="8" t="str">
        <f>IF(Table2[[#This Row],[Lokasi]]="", "Tidak Diketahui", Table2[[#This Row],[Lokasi]])</f>
        <v>Depok</v>
      </c>
      <c r="D231" s="8" t="str">
        <f>IF(Table2[[#This Row],[Nama_Proyek]]="", "Tidak Diketahui", Table2[[#This Row],[Nama_Proyek]])</f>
        <v>Perbaikan Jalan Raya Depok</v>
      </c>
      <c r="E231" s="14">
        <v>45093</v>
      </c>
      <c r="F231" s="14">
        <v>45337</v>
      </c>
      <c r="G231" s="10">
        <v>996933795</v>
      </c>
      <c r="H231" s="8" t="str">
        <f>IF(Table2[[#This Row],[Kontraktor]]="", "Tidak Diketahui",Table2[[#This Row],[Kontraktor]])</f>
        <v>PT D</v>
      </c>
      <c r="I231" s="11"/>
    </row>
    <row r="232" spans="1:9" ht="14.25" customHeight="1" x14ac:dyDescent="0.35">
      <c r="A232" s="8" t="s">
        <v>283</v>
      </c>
      <c r="B232" s="8" t="str">
        <f>IF(Table2[[#This Row],[Jenis_Proyek]]="", "Tidak Diketahui", Table2[[#This Row],[Jenis_Proyek]])</f>
        <v>Gedung</v>
      </c>
      <c r="C232" s="8" t="str">
        <f>IF(Table2[[#This Row],[Lokasi]]="", "Tidak Diketahui", Table2[[#This Row],[Lokasi]])</f>
        <v>Jakarta</v>
      </c>
      <c r="D232" s="8" t="str">
        <f>IF(Table2[[#This Row],[Nama_Proyek]]="", "Tidak Diketahui", Table2[[#This Row],[Nama_Proyek]])</f>
        <v>Perbaikan Gedung Pemerintah Jakarta</v>
      </c>
      <c r="E232" s="14">
        <v>45093</v>
      </c>
      <c r="F232" s="14">
        <v>45280</v>
      </c>
      <c r="G232" s="10">
        <v>6355661362</v>
      </c>
      <c r="H232" s="8" t="str">
        <f>IF(Table2[[#This Row],[Kontraktor]]="", "Tidak Diketahui",Table2[[#This Row],[Kontraktor]])</f>
        <v>Tidak Diketahui</v>
      </c>
      <c r="I232" s="11"/>
    </row>
    <row r="233" spans="1:9" ht="14.25" customHeight="1" x14ac:dyDescent="0.35">
      <c r="A233" s="8" t="s">
        <v>284</v>
      </c>
      <c r="B233" s="8" t="str">
        <f>IF(Table2[[#This Row],[Jenis_Proyek]]="", "Tidak Diketahui", Table2[[#This Row],[Jenis_Proyek]])</f>
        <v>Jembatan</v>
      </c>
      <c r="C233" s="8" t="str">
        <f>IF(Table2[[#This Row],[Lokasi]]="", "Tidak Diketahui", Table2[[#This Row],[Lokasi]])</f>
        <v>Bau-Bau</v>
      </c>
      <c r="D233" s="8" t="str">
        <f>IF(Table2[[#This Row],[Nama_Proyek]]="", "Tidak Diketahui", Table2[[#This Row],[Nama_Proyek]])</f>
        <v>Pembuatan Jembatan Bau-Bau</v>
      </c>
      <c r="E233" s="14">
        <v>45093</v>
      </c>
      <c r="F233" s="14">
        <v>45383</v>
      </c>
      <c r="G233" s="10">
        <v>6951220052</v>
      </c>
      <c r="H233" s="8" t="str">
        <f>IF(Table2[[#This Row],[Kontraktor]]="", "Tidak Diketahui",Table2[[#This Row],[Kontraktor]])</f>
        <v>CV Sihombing</v>
      </c>
      <c r="I233" s="11"/>
    </row>
    <row r="234" spans="1:9" ht="14.25" customHeight="1" x14ac:dyDescent="0.35">
      <c r="A234" s="8" t="s">
        <v>285</v>
      </c>
      <c r="B234" s="8" t="str">
        <f>IF(Table2[[#This Row],[Jenis_Proyek]]="", "Tidak Diketahui", Table2[[#This Row],[Jenis_Proyek]])</f>
        <v>Drainase</v>
      </c>
      <c r="C234" s="8" t="str">
        <f>IF(Table2[[#This Row],[Lokasi]]="", "Tidak Diketahui", Table2[[#This Row],[Lokasi]])</f>
        <v>Bandung</v>
      </c>
      <c r="D234" s="8" t="str">
        <f>IF(Table2[[#This Row],[Nama_Proyek]]="", "Tidak Diketahui", Table2[[#This Row],[Nama_Proyek]])</f>
        <v>Perbaikan Drainase Bandung</v>
      </c>
      <c r="E234" s="14">
        <v>45095</v>
      </c>
      <c r="F234" s="14">
        <v>45423</v>
      </c>
      <c r="G234" s="10">
        <v>257229348</v>
      </c>
      <c r="H234" s="8" t="str">
        <f>IF(Table2[[#This Row],[Kontraktor]]="", "Tidak Diketahui",Table2[[#This Row],[Kontraktor]])</f>
        <v>Tidak Diketahui</v>
      </c>
      <c r="I234" s="11"/>
    </row>
    <row r="235" spans="1:9" ht="14.25" customHeight="1" x14ac:dyDescent="0.35">
      <c r="A235" s="8" t="s">
        <v>286</v>
      </c>
      <c r="B235" s="8" t="str">
        <f>IF(Table2[[#This Row],[Jenis_Proyek]]="", "Tidak Diketahui", Table2[[#This Row],[Jenis_Proyek]])</f>
        <v>Gedung</v>
      </c>
      <c r="C235" s="8" t="str">
        <f>IF(Table2[[#This Row],[Lokasi]]="", "Tidak Diketahui", Table2[[#This Row],[Lokasi]])</f>
        <v>Medan</v>
      </c>
      <c r="D235" s="8" t="str">
        <f>IF(Table2[[#This Row],[Nama_Proyek]]="", "Tidak Diketahui", Table2[[#This Row],[Nama_Proyek]])</f>
        <v>Perbaikan Gedung Pemerintah Medan</v>
      </c>
      <c r="E235" s="14">
        <v>45096</v>
      </c>
      <c r="F235" s="14">
        <v>45428</v>
      </c>
      <c r="G235" s="10">
        <v>1258024298</v>
      </c>
      <c r="H235" s="8" t="str">
        <f>IF(Table2[[#This Row],[Kontraktor]]="", "Tidak Diketahui",Table2[[#This Row],[Kontraktor]])</f>
        <v>PT. Lailasari Hariyah (Persero) Tbk</v>
      </c>
      <c r="I235" s="11"/>
    </row>
    <row r="236" spans="1:9" ht="14.25" customHeight="1" x14ac:dyDescent="0.35">
      <c r="A236" s="8" t="s">
        <v>287</v>
      </c>
      <c r="B236" s="8" t="str">
        <f>IF(Table2[[#This Row],[Jenis_Proyek]]="", "Tidak Diketahui", Table2[[#This Row],[Jenis_Proyek]])</f>
        <v>Drainase</v>
      </c>
      <c r="C236" s="8" t="str">
        <f>IF(Table2[[#This Row],[Lokasi]]="", "Tidak Diketahui", Table2[[#This Row],[Lokasi]])</f>
        <v>Makassar</v>
      </c>
      <c r="D236" s="8" t="str">
        <f>IF(Table2[[#This Row],[Nama_Proyek]]="", "Tidak Diketahui", Table2[[#This Row],[Nama_Proyek]])</f>
        <v>Perbaikan Drainase Makassar</v>
      </c>
      <c r="E236" s="14">
        <v>45096</v>
      </c>
      <c r="F236" s="14">
        <v>45199</v>
      </c>
      <c r="G236" s="10">
        <v>375761303</v>
      </c>
      <c r="H236" s="8" t="str">
        <f>IF(Table2[[#This Row],[Kontraktor]]="", "Tidak Diketahui",Table2[[#This Row],[Kontraktor]])</f>
        <v>PT A</v>
      </c>
      <c r="I236" s="11"/>
    </row>
    <row r="237" spans="1:9" ht="14.25" customHeight="1" x14ac:dyDescent="0.35">
      <c r="A237" s="8" t="s">
        <v>288</v>
      </c>
      <c r="B237" s="8" t="str">
        <f>IF(Table2[[#This Row],[Jenis_Proyek]]="", "Tidak Diketahui", Table2[[#This Row],[Jenis_Proyek]])</f>
        <v>Gedung</v>
      </c>
      <c r="C237" s="8" t="str">
        <f>IF(Table2[[#This Row],[Lokasi]]="", "Tidak Diketahui", Table2[[#This Row],[Lokasi]])</f>
        <v>Depok</v>
      </c>
      <c r="D237" s="8" t="str">
        <f>IF(Table2[[#This Row],[Nama_Proyek]]="", "Tidak Diketahui", Table2[[#This Row],[Nama_Proyek]])</f>
        <v>Perbaikan Gedung Pemerintah Depok</v>
      </c>
      <c r="E237" s="14">
        <v>45097</v>
      </c>
      <c r="F237" s="14">
        <v>45129</v>
      </c>
      <c r="G237" s="10">
        <v>6540978129</v>
      </c>
      <c r="H237" s="8" t="str">
        <f>IF(Table2[[#This Row],[Kontraktor]]="", "Tidak Diketahui",Table2[[#This Row],[Kontraktor]])</f>
        <v>PT D</v>
      </c>
      <c r="I237" s="11"/>
    </row>
    <row r="238" spans="1:9" ht="14.25" customHeight="1" x14ac:dyDescent="0.35">
      <c r="A238" s="8" t="s">
        <v>289</v>
      </c>
      <c r="B238" s="8" t="str">
        <f>IF(Table2[[#This Row],[Jenis_Proyek]]="", "Tidak Diketahui", Table2[[#This Row],[Jenis_Proyek]])</f>
        <v>Drainase</v>
      </c>
      <c r="C238" s="8" t="str">
        <f>IF(Table2[[#This Row],[Lokasi]]="", "Tidak Diketahui", Table2[[#This Row],[Lokasi]])</f>
        <v>Jakarta</v>
      </c>
      <c r="D238" s="8" t="str">
        <f>IF(Table2[[#This Row],[Nama_Proyek]]="", "Tidak Diketahui", Table2[[#This Row],[Nama_Proyek]])</f>
        <v>Perbaikan Drainase Jakarta</v>
      </c>
      <c r="E238" s="14">
        <v>45098</v>
      </c>
      <c r="F238" s="14">
        <v>45142</v>
      </c>
      <c r="G238" s="10">
        <v>342017973</v>
      </c>
      <c r="H238" s="8" t="str">
        <f>IF(Table2[[#This Row],[Kontraktor]]="", "Tidak Diketahui",Table2[[#This Row],[Kontraktor]])</f>
        <v>PT. Yuniar Hakim Tbk</v>
      </c>
      <c r="I238" s="11"/>
    </row>
    <row r="239" spans="1:9" ht="14.25" customHeight="1" x14ac:dyDescent="0.35">
      <c r="A239" s="8" t="s">
        <v>290</v>
      </c>
      <c r="B239" s="8" t="str">
        <f>IF(Table2[[#This Row],[Jenis_Proyek]]="", "Tidak Diketahui", Table2[[#This Row],[Jenis_Proyek]])</f>
        <v>Jembatan</v>
      </c>
      <c r="C239" s="8" t="str">
        <f>IF(Table2[[#This Row],[Lokasi]]="", "Tidak Diketahui", Table2[[#This Row],[Lokasi]])</f>
        <v>Bau-Bau</v>
      </c>
      <c r="D239" s="8" t="str">
        <f>IF(Table2[[#This Row],[Nama_Proyek]]="", "Tidak Diketahui", Table2[[#This Row],[Nama_Proyek]])</f>
        <v>Perbaikan Jembatan Bau-Bau</v>
      </c>
      <c r="E239" s="14">
        <v>45098</v>
      </c>
      <c r="F239" s="14">
        <v>45292</v>
      </c>
      <c r="G239" s="10">
        <v>4806164886</v>
      </c>
      <c r="H239" s="8" t="str">
        <f>IF(Table2[[#This Row],[Kontraktor]]="", "Tidak Diketahui",Table2[[#This Row],[Kontraktor]])</f>
        <v>PT. Yuniar Hakim Tbk</v>
      </c>
      <c r="I239" s="11"/>
    </row>
    <row r="240" spans="1:9" ht="14.25" customHeight="1" x14ac:dyDescent="0.35">
      <c r="A240" s="8" t="s">
        <v>291</v>
      </c>
      <c r="B240" s="8" t="str">
        <f>IF(Table2[[#This Row],[Jenis_Proyek]]="", "Tidak Diketahui", Table2[[#This Row],[Jenis_Proyek]])</f>
        <v>Gedung</v>
      </c>
      <c r="C240" s="8" t="str">
        <f>IF(Table2[[#This Row],[Lokasi]]="", "Tidak Diketahui", Table2[[#This Row],[Lokasi]])</f>
        <v>Bandung</v>
      </c>
      <c r="D240" s="8" t="str">
        <f>IF(Table2[[#This Row],[Nama_Proyek]]="", "Tidak Diketahui", Table2[[#This Row],[Nama_Proyek]])</f>
        <v>Perbaikan Gedung Pemerintah Bandung</v>
      </c>
      <c r="E240" s="14">
        <v>45099</v>
      </c>
      <c r="F240" s="14">
        <v>45385</v>
      </c>
      <c r="G240" s="10">
        <v>9209856007</v>
      </c>
      <c r="H240" s="8" t="str">
        <f>IF(Table2[[#This Row],[Kontraktor]]="", "Tidak Diketahui",Table2[[#This Row],[Kontraktor]])</f>
        <v>PT A</v>
      </c>
      <c r="I240" s="11"/>
    </row>
    <row r="241" spans="1:9" ht="14.25" customHeight="1" x14ac:dyDescent="0.35">
      <c r="A241" s="8" t="s">
        <v>292</v>
      </c>
      <c r="B241" s="8" t="str">
        <f>IF(Table2[[#This Row],[Jenis_Proyek]]="", "Tidak Diketahui", Table2[[#This Row],[Jenis_Proyek]])</f>
        <v>Drainase</v>
      </c>
      <c r="C241" s="8" t="str">
        <f>IF(Table2[[#This Row],[Lokasi]]="", "Tidak Diketahui", Table2[[#This Row],[Lokasi]])</f>
        <v>Makassar</v>
      </c>
      <c r="D241" s="8" t="str">
        <f>IF(Table2[[#This Row],[Nama_Proyek]]="", "Tidak Diketahui", Table2[[#This Row],[Nama_Proyek]])</f>
        <v>Perbaikan Drainase Makassar</v>
      </c>
      <c r="E241" s="14">
        <v>45099</v>
      </c>
      <c r="F241" s="14">
        <v>45154</v>
      </c>
      <c r="G241" s="10">
        <v>269400319</v>
      </c>
      <c r="H241" s="8" t="str">
        <f>IF(Table2[[#This Row],[Kontraktor]]="", "Tidak Diketahui",Table2[[#This Row],[Kontraktor]])</f>
        <v>CV Sihombing</v>
      </c>
      <c r="I241" s="11"/>
    </row>
    <row r="242" spans="1:9" ht="14.25" customHeight="1" x14ac:dyDescent="0.35">
      <c r="A242" s="8" t="s">
        <v>293</v>
      </c>
      <c r="B242" s="8" t="str">
        <f>IF(Table2[[#This Row],[Jenis_Proyek]]="", "Tidak Diketahui", Table2[[#This Row],[Jenis_Proyek]])</f>
        <v>Gedung</v>
      </c>
      <c r="C242" s="8" t="str">
        <f>IF(Table2[[#This Row],[Lokasi]]="", "Tidak Diketahui", Table2[[#This Row],[Lokasi]])</f>
        <v>Tomohon</v>
      </c>
      <c r="D242" s="8" t="str">
        <f>IF(Table2[[#This Row],[Nama_Proyek]]="", "Tidak Diketahui", Table2[[#This Row],[Nama_Proyek]])</f>
        <v>Perbaikan Gedung Pemerintah Tomohon</v>
      </c>
      <c r="E242" s="14">
        <v>45099</v>
      </c>
      <c r="F242" s="14">
        <v>45245</v>
      </c>
      <c r="G242" s="10">
        <v>3098986860</v>
      </c>
      <c r="H242" s="8" t="str">
        <f>IF(Table2[[#This Row],[Kontraktor]]="", "Tidak Diketahui",Table2[[#This Row],[Kontraktor]])</f>
        <v>PT. Lailasari Hariyah (Persero) Tbk</v>
      </c>
      <c r="I242" s="11"/>
    </row>
    <row r="243" spans="1:9" ht="14.25" customHeight="1" x14ac:dyDescent="0.35">
      <c r="A243" s="8" t="s">
        <v>294</v>
      </c>
      <c r="B243" s="8" t="str">
        <f>IF(Table2[[#This Row],[Jenis_Proyek]]="", "Tidak Diketahui", Table2[[#This Row],[Jenis_Proyek]])</f>
        <v>Jembatan</v>
      </c>
      <c r="C243" s="8" t="str">
        <f>IF(Table2[[#This Row],[Lokasi]]="", "Tidak Diketahui", Table2[[#This Row],[Lokasi]])</f>
        <v>Surabaya</v>
      </c>
      <c r="D243" s="8" t="str">
        <f>IF(Table2[[#This Row],[Nama_Proyek]]="", "Tidak Diketahui", Table2[[#This Row],[Nama_Proyek]])</f>
        <v>Perbaikan Jembatan Surabaya</v>
      </c>
      <c r="E243" s="14">
        <v>45099</v>
      </c>
      <c r="F243" s="14">
        <v>45254</v>
      </c>
      <c r="G243" s="10">
        <v>2873619122</v>
      </c>
      <c r="H243" s="8" t="str">
        <f>IF(Table2[[#This Row],[Kontraktor]]="", "Tidak Diketahui",Table2[[#This Row],[Kontraktor]])</f>
        <v>PT. Lailasari Hariyah (Persero) Tbk</v>
      </c>
      <c r="I243" s="11"/>
    </row>
    <row r="244" spans="1:9" ht="14.25" customHeight="1" x14ac:dyDescent="0.35">
      <c r="A244" s="8" t="s">
        <v>295</v>
      </c>
      <c r="B244" s="8" t="str">
        <f>IF(Table2[[#This Row],[Jenis_Proyek]]="", "Tidak Diketahui", Table2[[#This Row],[Jenis_Proyek]])</f>
        <v>Drainase</v>
      </c>
      <c r="C244" s="8" t="str">
        <f>IF(Table2[[#This Row],[Lokasi]]="", "Tidak Diketahui", Table2[[#This Row],[Lokasi]])</f>
        <v>Depok</v>
      </c>
      <c r="D244" s="8" t="str">
        <f>IF(Table2[[#This Row],[Nama_Proyek]]="", "Tidak Diketahui", Table2[[#This Row],[Nama_Proyek]])</f>
        <v>Perbaikan Drainase Depok</v>
      </c>
      <c r="E244" s="14">
        <v>45101</v>
      </c>
      <c r="F244" s="14">
        <v>45138</v>
      </c>
      <c r="G244" s="10">
        <v>735575459</v>
      </c>
      <c r="H244" s="8" t="str">
        <f>IF(Table2[[#This Row],[Kontraktor]]="", "Tidak Diketahui",Table2[[#This Row],[Kontraktor]])</f>
        <v>PT. Yuniar Hakim Tbk</v>
      </c>
      <c r="I244" s="11"/>
    </row>
    <row r="245" spans="1:9" ht="14.25" customHeight="1" x14ac:dyDescent="0.35">
      <c r="A245" s="8" t="s">
        <v>296</v>
      </c>
      <c r="B245" s="8" t="str">
        <f>IF(Table2[[#This Row],[Jenis_Proyek]]="", "Tidak Diketahui", Table2[[#This Row],[Jenis_Proyek]])</f>
        <v>Gedung</v>
      </c>
      <c r="C245" s="8" t="str">
        <f>IF(Table2[[#This Row],[Lokasi]]="", "Tidak Diketahui", Table2[[#This Row],[Lokasi]])</f>
        <v>Medan</v>
      </c>
      <c r="D245" s="8" t="str">
        <f>IF(Table2[[#This Row],[Nama_Proyek]]="", "Tidak Diketahui", Table2[[#This Row],[Nama_Proyek]])</f>
        <v>Perbaikan Gedung Pemerintah Medan</v>
      </c>
      <c r="E245" s="14">
        <v>45101</v>
      </c>
      <c r="F245" s="14">
        <v>45375</v>
      </c>
      <c r="G245" s="10">
        <v>2354261081</v>
      </c>
      <c r="H245" s="8" t="str">
        <f>IF(Table2[[#This Row],[Kontraktor]]="", "Tidak Diketahui",Table2[[#This Row],[Kontraktor]])</f>
        <v>PT. Lailasari Hariyah (Persero) Tbk</v>
      </c>
      <c r="I245" s="11"/>
    </row>
    <row r="246" spans="1:9" ht="14.25" customHeight="1" x14ac:dyDescent="0.35">
      <c r="A246" s="8" t="s">
        <v>297</v>
      </c>
      <c r="B246" s="8" t="str">
        <f>IF(Table2[[#This Row],[Jenis_Proyek]]="", "Tidak Diketahui", Table2[[#This Row],[Jenis_Proyek]])</f>
        <v>Jembatan</v>
      </c>
      <c r="C246" s="8" t="str">
        <f>IF(Table2[[#This Row],[Lokasi]]="", "Tidak Diketahui", Table2[[#This Row],[Lokasi]])</f>
        <v>Medan</v>
      </c>
      <c r="D246" s="8" t="str">
        <f>IF(Table2[[#This Row],[Nama_Proyek]]="", "Tidak Diketahui", Table2[[#This Row],[Nama_Proyek]])</f>
        <v>Pembuatan Jembatan Medan</v>
      </c>
      <c r="E246" s="14">
        <v>45102</v>
      </c>
      <c r="F246" s="14">
        <v>45324</v>
      </c>
      <c r="G246" s="10">
        <v>2697497947</v>
      </c>
      <c r="H246" s="8" t="str">
        <f>IF(Table2[[#This Row],[Kontraktor]]="", "Tidak Diketahui",Table2[[#This Row],[Kontraktor]])</f>
        <v>PT A</v>
      </c>
      <c r="I246" s="11"/>
    </row>
    <row r="247" spans="1:9" ht="14.25" customHeight="1" x14ac:dyDescent="0.35">
      <c r="A247" s="8" t="s">
        <v>298</v>
      </c>
      <c r="B247" s="8" t="str">
        <f>IF(Table2[[#This Row],[Jenis_Proyek]]="", "Tidak Diketahui", Table2[[#This Row],[Jenis_Proyek]])</f>
        <v>Jalan Raya</v>
      </c>
      <c r="C247" s="8" t="str">
        <f>IF(Table2[[#This Row],[Lokasi]]="", "Tidak Diketahui", Table2[[#This Row],[Lokasi]])</f>
        <v>Tomohon</v>
      </c>
      <c r="D247" s="8" t="str">
        <f>IF(Table2[[#This Row],[Nama_Proyek]]="", "Tidak Diketahui", Table2[[#This Row],[Nama_Proyek]])</f>
        <v>Perbaikan Jalan Raya Tomohon</v>
      </c>
      <c r="E247" s="14">
        <v>45103</v>
      </c>
      <c r="F247" s="14">
        <v>45404</v>
      </c>
      <c r="G247" s="10">
        <v>277801695</v>
      </c>
      <c r="H247" s="8" t="str">
        <f>IF(Table2[[#This Row],[Kontraktor]]="", "Tidak Diketahui",Table2[[#This Row],[Kontraktor]])</f>
        <v>PT. Lailasari Hariyah (Persero) Tbk</v>
      </c>
      <c r="I247" s="11"/>
    </row>
    <row r="248" spans="1:9" ht="14.25" customHeight="1" x14ac:dyDescent="0.35">
      <c r="A248" s="8" t="s">
        <v>299</v>
      </c>
      <c r="B248" s="8" t="str">
        <f>IF(Table2[[#This Row],[Jenis_Proyek]]="", "Tidak Diketahui", Table2[[#This Row],[Jenis_Proyek]])</f>
        <v>Gedung</v>
      </c>
      <c r="C248" s="8" t="str">
        <f>IF(Table2[[#This Row],[Lokasi]]="", "Tidak Diketahui", Table2[[#This Row],[Lokasi]])</f>
        <v>Bandung</v>
      </c>
      <c r="D248" s="8" t="str">
        <f>IF(Table2[[#This Row],[Nama_Proyek]]="", "Tidak Diketahui", Table2[[#This Row],[Nama_Proyek]])</f>
        <v>Perbaikan Gedung Pemerintah Bandung</v>
      </c>
      <c r="E248" s="14">
        <v>45104</v>
      </c>
      <c r="F248" s="14">
        <v>45195</v>
      </c>
      <c r="G248" s="10">
        <v>5365371920</v>
      </c>
      <c r="H248" s="8" t="str">
        <f>IF(Table2[[#This Row],[Kontraktor]]="", "Tidak Diketahui",Table2[[#This Row],[Kontraktor]])</f>
        <v>PT. Yuniar Hakim Tbk</v>
      </c>
      <c r="I248" s="11"/>
    </row>
    <row r="249" spans="1:9" ht="14.25" customHeight="1" x14ac:dyDescent="0.35">
      <c r="A249" s="8" t="s">
        <v>300</v>
      </c>
      <c r="B249" s="8" t="str">
        <f>IF(Table2[[#This Row],[Jenis_Proyek]]="", "Tidak Diketahui", Table2[[#This Row],[Jenis_Proyek]])</f>
        <v>Drainase</v>
      </c>
      <c r="C249" s="8" t="str">
        <f>IF(Table2[[#This Row],[Lokasi]]="", "Tidak Diketahui", Table2[[#This Row],[Lokasi]])</f>
        <v>Surabaya</v>
      </c>
      <c r="D249" s="8" t="str">
        <f>IF(Table2[[#This Row],[Nama_Proyek]]="", "Tidak Diketahui", Table2[[#This Row],[Nama_Proyek]])</f>
        <v>Perbaikan Drainase Surabaya</v>
      </c>
      <c r="E249" s="14">
        <v>45106</v>
      </c>
      <c r="F249" s="14">
        <v>45144</v>
      </c>
      <c r="G249" s="10">
        <v>737701834</v>
      </c>
      <c r="H249" s="8" t="str">
        <f>IF(Table2[[#This Row],[Kontraktor]]="", "Tidak Diketahui",Table2[[#This Row],[Kontraktor]])</f>
        <v>PT A</v>
      </c>
      <c r="I249" s="11"/>
    </row>
    <row r="250" spans="1:9" ht="14.25" customHeight="1" x14ac:dyDescent="0.35">
      <c r="A250" s="8" t="s">
        <v>301</v>
      </c>
      <c r="B250" s="8" t="str">
        <f>IF(Table2[[#This Row],[Jenis_Proyek]]="", "Tidak Diketahui", Table2[[#This Row],[Jenis_Proyek]])</f>
        <v>Jembatan</v>
      </c>
      <c r="C250" s="8" t="str">
        <f>IF(Table2[[#This Row],[Lokasi]]="", "Tidak Diketahui", Table2[[#This Row],[Lokasi]])</f>
        <v>Tomohon</v>
      </c>
      <c r="D250" s="8" t="str">
        <f>IF(Table2[[#This Row],[Nama_Proyek]]="", "Tidak Diketahui", Table2[[#This Row],[Nama_Proyek]])</f>
        <v>Perbaikan Jembatan Tomohon</v>
      </c>
      <c r="E250" s="14">
        <v>45106</v>
      </c>
      <c r="F250" s="14">
        <v>45212</v>
      </c>
      <c r="G250" s="10">
        <v>2498238869</v>
      </c>
      <c r="H250" s="8" t="str">
        <f>IF(Table2[[#This Row],[Kontraktor]]="", "Tidak Diketahui",Table2[[#This Row],[Kontraktor]])</f>
        <v>Tidak Diketahui</v>
      </c>
      <c r="I250" s="11"/>
    </row>
    <row r="251" spans="1:9" ht="14.25" customHeight="1" x14ac:dyDescent="0.35">
      <c r="A251" s="8" t="s">
        <v>302</v>
      </c>
      <c r="B251" s="8" t="str">
        <f>IF(Table2[[#This Row],[Jenis_Proyek]]="", "Tidak Diketahui", Table2[[#This Row],[Jenis_Proyek]])</f>
        <v>Drainase</v>
      </c>
      <c r="C251" s="8" t="str">
        <f>IF(Table2[[#This Row],[Lokasi]]="", "Tidak Diketahui", Table2[[#This Row],[Lokasi]])</f>
        <v>Surabaya</v>
      </c>
      <c r="D251" s="8" t="str">
        <f>IF(Table2[[#This Row],[Nama_Proyek]]="", "Tidak Diketahui", Table2[[#This Row],[Nama_Proyek]])</f>
        <v>Perbaikan Drainase Surabaya</v>
      </c>
      <c r="E251" s="14">
        <v>45107</v>
      </c>
      <c r="F251" s="14">
        <v>45221</v>
      </c>
      <c r="G251" s="10">
        <v>343573944</v>
      </c>
      <c r="H251" s="8" t="str">
        <f>IF(Table2[[#This Row],[Kontraktor]]="", "Tidak Diketahui",Table2[[#This Row],[Kontraktor]])</f>
        <v>PT D</v>
      </c>
      <c r="I251" s="11"/>
    </row>
    <row r="252" spans="1:9" ht="14.25" customHeight="1" x14ac:dyDescent="0.35">
      <c r="A252" s="8" t="s">
        <v>303</v>
      </c>
      <c r="B252" s="8" t="str">
        <f>IF(Table2[[#This Row],[Jenis_Proyek]]="", "Tidak Diketahui", Table2[[#This Row],[Jenis_Proyek]])</f>
        <v>Jalan Raya</v>
      </c>
      <c r="C252" s="8" t="str">
        <f>IF(Table2[[#This Row],[Lokasi]]="", "Tidak Diketahui", Table2[[#This Row],[Lokasi]])</f>
        <v>Makassar</v>
      </c>
      <c r="D252" s="8" t="str">
        <f>IF(Table2[[#This Row],[Nama_Proyek]]="", "Tidak Diketahui", Table2[[#This Row],[Nama_Proyek]])</f>
        <v>Perbaikan Jalan Raya Makassar</v>
      </c>
      <c r="E252" s="14">
        <v>45111</v>
      </c>
      <c r="F252" s="14">
        <v>45180</v>
      </c>
      <c r="G252" s="10">
        <v>802980870</v>
      </c>
      <c r="H252" s="8" t="str">
        <f>IF(Table2[[#This Row],[Kontraktor]]="", "Tidak Diketahui",Table2[[#This Row],[Kontraktor]])</f>
        <v>PT B</v>
      </c>
      <c r="I252" s="11"/>
    </row>
    <row r="253" spans="1:9" ht="14.25" customHeight="1" x14ac:dyDescent="0.35">
      <c r="A253" s="8" t="s">
        <v>304</v>
      </c>
      <c r="B253" s="8" t="str">
        <f>IF(Table2[[#This Row],[Jenis_Proyek]]="", "Tidak Diketahui", Table2[[#This Row],[Jenis_Proyek]])</f>
        <v>Jembatan</v>
      </c>
      <c r="C253" s="8" t="str">
        <f>IF(Table2[[#This Row],[Lokasi]]="", "Tidak Diketahui", Table2[[#This Row],[Lokasi]])</f>
        <v>Bandung</v>
      </c>
      <c r="D253" s="8" t="str">
        <f>IF(Table2[[#This Row],[Nama_Proyek]]="", "Tidak Diketahui", Table2[[#This Row],[Nama_Proyek]])</f>
        <v>Perbaikan Jembatan Bandung</v>
      </c>
      <c r="E253" s="14">
        <v>45113</v>
      </c>
      <c r="F253" s="14">
        <v>45253</v>
      </c>
      <c r="G253" s="10">
        <v>1132821017</v>
      </c>
      <c r="H253" s="8" t="str">
        <f>IF(Table2[[#This Row],[Kontraktor]]="", "Tidak Diketahui",Table2[[#This Row],[Kontraktor]])</f>
        <v>PT D</v>
      </c>
      <c r="I253" s="11"/>
    </row>
    <row r="254" spans="1:9" ht="14.25" customHeight="1" x14ac:dyDescent="0.35">
      <c r="A254" s="8" t="s">
        <v>305</v>
      </c>
      <c r="B254" s="8" t="str">
        <f>IF(Table2[[#This Row],[Jenis_Proyek]]="", "Tidak Diketahui", Table2[[#This Row],[Jenis_Proyek]])</f>
        <v>Drainase</v>
      </c>
      <c r="C254" s="8" t="str">
        <f>IF(Table2[[#This Row],[Lokasi]]="", "Tidak Diketahui", Table2[[#This Row],[Lokasi]])</f>
        <v>Depok</v>
      </c>
      <c r="D254" s="8" t="str">
        <f>IF(Table2[[#This Row],[Nama_Proyek]]="", "Tidak Diketahui", Table2[[#This Row],[Nama_Proyek]])</f>
        <v>Perbaikan Drainase Depok</v>
      </c>
      <c r="E254" s="14">
        <v>45114</v>
      </c>
      <c r="F254" s="14">
        <v>45156</v>
      </c>
      <c r="G254" s="10">
        <v>646267645</v>
      </c>
      <c r="H254" s="8" t="str">
        <f>IF(Table2[[#This Row],[Kontraktor]]="", "Tidak Diketahui",Table2[[#This Row],[Kontraktor]])</f>
        <v>PT A</v>
      </c>
      <c r="I254" s="11"/>
    </row>
    <row r="255" spans="1:9" ht="14.25" customHeight="1" x14ac:dyDescent="0.35">
      <c r="A255" s="8" t="s">
        <v>306</v>
      </c>
      <c r="B255" s="8" t="str">
        <f>IF(Table2[[#This Row],[Jenis_Proyek]]="", "Tidak Diketahui", Table2[[#This Row],[Jenis_Proyek]])</f>
        <v>Jembatan</v>
      </c>
      <c r="C255" s="8" t="str">
        <f>IF(Table2[[#This Row],[Lokasi]]="", "Tidak Diketahui", Table2[[#This Row],[Lokasi]])</f>
        <v>Tomohon</v>
      </c>
      <c r="D255" s="8" t="str">
        <f>IF(Table2[[#This Row],[Nama_Proyek]]="", "Tidak Diketahui", Table2[[#This Row],[Nama_Proyek]])</f>
        <v>Pembuatan Jembatan Tomohon</v>
      </c>
      <c r="E255" s="14">
        <v>45115</v>
      </c>
      <c r="F255" s="14">
        <v>45145</v>
      </c>
      <c r="G255" s="10">
        <v>1091849633</v>
      </c>
      <c r="H255" s="8" t="str">
        <f>IF(Table2[[#This Row],[Kontraktor]]="", "Tidak Diketahui",Table2[[#This Row],[Kontraktor]])</f>
        <v>PT C</v>
      </c>
      <c r="I255" s="11"/>
    </row>
    <row r="256" spans="1:9" ht="14.25" customHeight="1" x14ac:dyDescent="0.35">
      <c r="A256" s="8" t="s">
        <v>307</v>
      </c>
      <c r="B256" s="8" t="str">
        <f>IF(Table2[[#This Row],[Jenis_Proyek]]="", "Tidak Diketahui", Table2[[#This Row],[Jenis_Proyek]])</f>
        <v>Jalan Raya</v>
      </c>
      <c r="C256" s="8" t="str">
        <f>IF(Table2[[#This Row],[Lokasi]]="", "Tidak Diketahui", Table2[[#This Row],[Lokasi]])</f>
        <v>Jakarta</v>
      </c>
      <c r="D256" s="8" t="str">
        <f>IF(Table2[[#This Row],[Nama_Proyek]]="", "Tidak Diketahui", Table2[[#This Row],[Nama_Proyek]])</f>
        <v>Perbaikan Jalan Raya Jakarta</v>
      </c>
      <c r="E256" s="14">
        <v>45116</v>
      </c>
      <c r="F256" s="14">
        <v>45158</v>
      </c>
      <c r="G256" s="10">
        <v>969437655</v>
      </c>
      <c r="H256" s="8" t="str">
        <f>IF(Table2[[#This Row],[Kontraktor]]="", "Tidak Diketahui",Table2[[#This Row],[Kontraktor]])</f>
        <v>PT. Lailasari Hariyah (Persero) Tbk</v>
      </c>
      <c r="I256" s="11"/>
    </row>
    <row r="257" spans="1:9" ht="14.25" customHeight="1" x14ac:dyDescent="0.35">
      <c r="A257" s="8" t="s">
        <v>308</v>
      </c>
      <c r="B257" s="8" t="str">
        <f>IF(Table2[[#This Row],[Jenis_Proyek]]="", "Tidak Diketahui", Table2[[#This Row],[Jenis_Proyek]])</f>
        <v>Flyover</v>
      </c>
      <c r="C257" s="8" t="str">
        <f>IF(Table2[[#This Row],[Lokasi]]="", "Tidak Diketahui", Table2[[#This Row],[Lokasi]])</f>
        <v>Surabaya</v>
      </c>
      <c r="D257" s="8" t="str">
        <f>IF(Table2[[#This Row],[Nama_Proyek]]="", "Tidak Diketahui", Table2[[#This Row],[Nama_Proyek]])</f>
        <v>Pembuatan Flyover Surabaya</v>
      </c>
      <c r="E257" s="14">
        <v>45116</v>
      </c>
      <c r="F257" s="14">
        <v>45350</v>
      </c>
      <c r="G257" s="10">
        <v>3165392319</v>
      </c>
      <c r="H257" s="8" t="str">
        <f>IF(Table2[[#This Row],[Kontraktor]]="", "Tidak Diketahui",Table2[[#This Row],[Kontraktor]])</f>
        <v>PT. Lailasari Hariyah (Persero) Tbk</v>
      </c>
      <c r="I257" s="11"/>
    </row>
    <row r="258" spans="1:9" ht="14.25" customHeight="1" x14ac:dyDescent="0.35">
      <c r="A258" s="8" t="s">
        <v>309</v>
      </c>
      <c r="B258" s="8" t="str">
        <f>IF(Table2[[#This Row],[Jenis_Proyek]]="", "Tidak Diketahui", Table2[[#This Row],[Jenis_Proyek]])</f>
        <v>Jembatan</v>
      </c>
      <c r="C258" s="8" t="str">
        <f>IF(Table2[[#This Row],[Lokasi]]="", "Tidak Diketahui", Table2[[#This Row],[Lokasi]])</f>
        <v>Tomohon</v>
      </c>
      <c r="D258" s="8" t="str">
        <f>IF(Table2[[#This Row],[Nama_Proyek]]="", "Tidak Diketahui", Table2[[#This Row],[Nama_Proyek]])</f>
        <v>Perbaikan Jembatan Tomohon</v>
      </c>
      <c r="E258" s="14">
        <v>45117</v>
      </c>
      <c r="F258" s="14">
        <v>45156</v>
      </c>
      <c r="G258" s="10">
        <v>5204534546</v>
      </c>
      <c r="H258" s="8" t="str">
        <f>IF(Table2[[#This Row],[Kontraktor]]="", "Tidak Diketahui",Table2[[#This Row],[Kontraktor]])</f>
        <v>PT. Yuniar Hakim Tbk</v>
      </c>
      <c r="I258" s="11"/>
    </row>
    <row r="259" spans="1:9" ht="14.25" customHeight="1" x14ac:dyDescent="0.35">
      <c r="A259" s="8" t="s">
        <v>310</v>
      </c>
      <c r="B259" s="8" t="str">
        <f>IF(Table2[[#This Row],[Jenis_Proyek]]="", "Tidak Diketahui", Table2[[#This Row],[Jenis_Proyek]])</f>
        <v>Gedung</v>
      </c>
      <c r="C259" s="8" t="str">
        <f>IF(Table2[[#This Row],[Lokasi]]="", "Tidak Diketahui", Table2[[#This Row],[Lokasi]])</f>
        <v>Makassar</v>
      </c>
      <c r="D259" s="8" t="str">
        <f>IF(Table2[[#This Row],[Nama_Proyek]]="", "Tidak Diketahui", Table2[[#This Row],[Nama_Proyek]])</f>
        <v>Perbaikan Gedung Pemerintah Makassar</v>
      </c>
      <c r="E259" s="14">
        <v>45118</v>
      </c>
      <c r="F259" s="14">
        <v>45288</v>
      </c>
      <c r="G259" s="10">
        <v>3942664693</v>
      </c>
      <c r="H259" s="8" t="str">
        <f>IF(Table2[[#This Row],[Kontraktor]]="", "Tidak Diketahui",Table2[[#This Row],[Kontraktor]])</f>
        <v>PT A</v>
      </c>
      <c r="I259" s="11"/>
    </row>
    <row r="260" spans="1:9" ht="14.25" customHeight="1" x14ac:dyDescent="0.35">
      <c r="A260" s="8" t="s">
        <v>311</v>
      </c>
      <c r="B260" s="8" t="str">
        <f>IF(Table2[[#This Row],[Jenis_Proyek]]="", "Tidak Diketahui", Table2[[#This Row],[Jenis_Proyek]])</f>
        <v>Flyover</v>
      </c>
      <c r="C260" s="8" t="str">
        <f>IF(Table2[[#This Row],[Lokasi]]="", "Tidak Diketahui", Table2[[#This Row],[Lokasi]])</f>
        <v>Makassar</v>
      </c>
      <c r="D260" s="8" t="str">
        <f>IF(Table2[[#This Row],[Nama_Proyek]]="", "Tidak Diketahui", Table2[[#This Row],[Nama_Proyek]])</f>
        <v>Pembuatan Flyover Makassar</v>
      </c>
      <c r="E260" s="14">
        <v>45118</v>
      </c>
      <c r="F260" s="14">
        <v>45256</v>
      </c>
      <c r="G260" s="10">
        <v>1996986704</v>
      </c>
      <c r="H260" s="8" t="str">
        <f>IF(Table2[[#This Row],[Kontraktor]]="", "Tidak Diketahui",Table2[[#This Row],[Kontraktor]])</f>
        <v>PT C</v>
      </c>
      <c r="I260" s="11"/>
    </row>
    <row r="261" spans="1:9" ht="14.25" customHeight="1" x14ac:dyDescent="0.35">
      <c r="A261" s="8" t="s">
        <v>312</v>
      </c>
      <c r="B261" s="8" t="str">
        <f>IF(Table2[[#This Row],[Jenis_Proyek]]="", "Tidak Diketahui", Table2[[#This Row],[Jenis_Proyek]])</f>
        <v>Jembatan</v>
      </c>
      <c r="C261" s="8" t="str">
        <f>IF(Table2[[#This Row],[Lokasi]]="", "Tidak Diketahui", Table2[[#This Row],[Lokasi]])</f>
        <v>Jakarta</v>
      </c>
      <c r="D261" s="8" t="str">
        <f>IF(Table2[[#This Row],[Nama_Proyek]]="", "Tidak Diketahui", Table2[[#This Row],[Nama_Proyek]])</f>
        <v>Perbaikan Jembatan Jakarta</v>
      </c>
      <c r="E261" s="14">
        <v>45118</v>
      </c>
      <c r="F261" s="14">
        <v>45394</v>
      </c>
      <c r="G261" s="10">
        <v>1005719572</v>
      </c>
      <c r="H261" s="8" t="str">
        <f>IF(Table2[[#This Row],[Kontraktor]]="", "Tidak Diketahui",Table2[[#This Row],[Kontraktor]])</f>
        <v>PT. Lailasari Hariyah (Persero) Tbk</v>
      </c>
      <c r="I261" s="11"/>
    </row>
    <row r="262" spans="1:9" ht="14.25" customHeight="1" x14ac:dyDescent="0.35">
      <c r="A262" s="8" t="s">
        <v>313</v>
      </c>
      <c r="B262" s="8" t="str">
        <f>IF(Table2[[#This Row],[Jenis_Proyek]]="", "Tidak Diketahui", Table2[[#This Row],[Jenis_Proyek]])</f>
        <v>Flyover</v>
      </c>
      <c r="C262" s="8" t="str">
        <f>IF(Table2[[#This Row],[Lokasi]]="", "Tidak Diketahui", Table2[[#This Row],[Lokasi]])</f>
        <v>Makassar</v>
      </c>
      <c r="D262" s="8" t="str">
        <f>IF(Table2[[#This Row],[Nama_Proyek]]="", "Tidak Diketahui", Table2[[#This Row],[Nama_Proyek]])</f>
        <v>Perbaikan Flyover Makassar</v>
      </c>
      <c r="E262" s="14">
        <v>45118</v>
      </c>
      <c r="F262" s="14">
        <v>45180</v>
      </c>
      <c r="G262" s="10">
        <v>4155376448</v>
      </c>
      <c r="H262" s="8" t="str">
        <f>IF(Table2[[#This Row],[Kontraktor]]="", "Tidak Diketahui",Table2[[#This Row],[Kontraktor]])</f>
        <v>PT D</v>
      </c>
      <c r="I262" s="11"/>
    </row>
    <row r="263" spans="1:9" ht="14.25" customHeight="1" x14ac:dyDescent="0.35">
      <c r="A263" s="8" t="s">
        <v>314</v>
      </c>
      <c r="B263" s="8" t="str">
        <f>IF(Table2[[#This Row],[Jenis_Proyek]]="", "Tidak Diketahui", Table2[[#This Row],[Jenis_Proyek]])</f>
        <v>Gedung</v>
      </c>
      <c r="C263" s="8" t="str">
        <f>IF(Table2[[#This Row],[Lokasi]]="", "Tidak Diketahui", Table2[[#This Row],[Lokasi]])</f>
        <v>Bau-Bau</v>
      </c>
      <c r="D263" s="8" t="str">
        <f>IF(Table2[[#This Row],[Nama_Proyek]]="", "Tidak Diketahui", Table2[[#This Row],[Nama_Proyek]])</f>
        <v>Perbaikan Gedung Pemerintah Bau-Bau</v>
      </c>
      <c r="E263" s="14">
        <v>45118</v>
      </c>
      <c r="F263" s="14">
        <v>45452</v>
      </c>
      <c r="G263" s="10">
        <v>6519755129</v>
      </c>
      <c r="H263" s="8" t="str">
        <f>IF(Table2[[#This Row],[Kontraktor]]="", "Tidak Diketahui",Table2[[#This Row],[Kontraktor]])</f>
        <v>PT B</v>
      </c>
      <c r="I263" s="11"/>
    </row>
    <row r="264" spans="1:9" ht="14.25" customHeight="1" x14ac:dyDescent="0.35">
      <c r="A264" s="8" t="s">
        <v>315</v>
      </c>
      <c r="B264" s="8" t="str">
        <f>IF(Table2[[#This Row],[Jenis_Proyek]]="", "Tidak Diketahui", Table2[[#This Row],[Jenis_Proyek]])</f>
        <v>Jalan Raya</v>
      </c>
      <c r="C264" s="8" t="str">
        <f>IF(Table2[[#This Row],[Lokasi]]="", "Tidak Diketahui", Table2[[#This Row],[Lokasi]])</f>
        <v>Makassar</v>
      </c>
      <c r="D264" s="8" t="str">
        <f>IF(Table2[[#This Row],[Nama_Proyek]]="", "Tidak Diketahui", Table2[[#This Row],[Nama_Proyek]])</f>
        <v>Perbaikan Jalan Raya Makassar</v>
      </c>
      <c r="E264" s="14">
        <v>45119</v>
      </c>
      <c r="F264" s="14">
        <v>45427</v>
      </c>
      <c r="G264" s="10">
        <v>509824821</v>
      </c>
      <c r="H264" s="8" t="str">
        <f>IF(Table2[[#This Row],[Kontraktor]]="", "Tidak Diketahui",Table2[[#This Row],[Kontraktor]])</f>
        <v>PT C</v>
      </c>
      <c r="I264" s="11"/>
    </row>
    <row r="265" spans="1:9" ht="14.25" customHeight="1" x14ac:dyDescent="0.35">
      <c r="A265" s="8" t="s">
        <v>316</v>
      </c>
      <c r="B265" s="8" t="str">
        <f>IF(Table2[[#This Row],[Jenis_Proyek]]="", "Tidak Diketahui", Table2[[#This Row],[Jenis_Proyek]])</f>
        <v>Flyover</v>
      </c>
      <c r="C265" s="8" t="str">
        <f>IF(Table2[[#This Row],[Lokasi]]="", "Tidak Diketahui", Table2[[#This Row],[Lokasi]])</f>
        <v>Jakarta</v>
      </c>
      <c r="D265" s="8" t="str">
        <f>IF(Table2[[#This Row],[Nama_Proyek]]="", "Tidak Diketahui", Table2[[#This Row],[Nama_Proyek]])</f>
        <v>Perbaikan Flyover Jakarta</v>
      </c>
      <c r="E265" s="14">
        <v>45119</v>
      </c>
      <c r="F265" s="14">
        <v>45218</v>
      </c>
      <c r="G265" s="10">
        <v>4249269902</v>
      </c>
      <c r="H265" s="8" t="str">
        <f>IF(Table2[[#This Row],[Kontraktor]]="", "Tidak Diketahui",Table2[[#This Row],[Kontraktor]])</f>
        <v>Tidak Diketahui</v>
      </c>
      <c r="I265" s="11"/>
    </row>
    <row r="266" spans="1:9" ht="14.25" customHeight="1" x14ac:dyDescent="0.35">
      <c r="A266" s="8" t="s">
        <v>317</v>
      </c>
      <c r="B266" s="8" t="str">
        <f>IF(Table2[[#This Row],[Jenis_Proyek]]="", "Tidak Diketahui", Table2[[#This Row],[Jenis_Proyek]])</f>
        <v>Flyover</v>
      </c>
      <c r="C266" s="8" t="str">
        <f>IF(Table2[[#This Row],[Lokasi]]="", "Tidak Diketahui", Table2[[#This Row],[Lokasi]])</f>
        <v>Medan</v>
      </c>
      <c r="D266" s="8" t="str">
        <f>IF(Table2[[#This Row],[Nama_Proyek]]="", "Tidak Diketahui", Table2[[#This Row],[Nama_Proyek]])</f>
        <v>Pembuatan Flyover Medan</v>
      </c>
      <c r="E266" s="14">
        <v>45120</v>
      </c>
      <c r="F266" s="14">
        <v>45223</v>
      </c>
      <c r="G266" s="10">
        <v>2236844121</v>
      </c>
      <c r="H266" s="8" t="str">
        <f>IF(Table2[[#This Row],[Kontraktor]]="", "Tidak Diketahui",Table2[[#This Row],[Kontraktor]])</f>
        <v>PT. Lailasari Hariyah (Persero) Tbk</v>
      </c>
      <c r="I266" s="11"/>
    </row>
    <row r="267" spans="1:9" ht="14.25" customHeight="1" x14ac:dyDescent="0.35">
      <c r="A267" s="8" t="s">
        <v>318</v>
      </c>
      <c r="B267" s="8" t="str">
        <f>IF(Table2[[#This Row],[Jenis_Proyek]]="", "Tidak Diketahui", Table2[[#This Row],[Jenis_Proyek]])</f>
        <v>Jalan Raya</v>
      </c>
      <c r="C267" s="8" t="str">
        <f>IF(Table2[[#This Row],[Lokasi]]="", "Tidak Diketahui", Table2[[#This Row],[Lokasi]])</f>
        <v>Depok</v>
      </c>
      <c r="D267" s="8" t="str">
        <f>IF(Table2[[#This Row],[Nama_Proyek]]="", "Tidak Diketahui", Table2[[#This Row],[Nama_Proyek]])</f>
        <v>Perbaikan Jalan Raya Depok</v>
      </c>
      <c r="E267" s="14">
        <v>45121</v>
      </c>
      <c r="F267" s="14">
        <v>45176</v>
      </c>
      <c r="G267" s="10">
        <v>369427315</v>
      </c>
      <c r="H267" s="8" t="str">
        <f>IF(Table2[[#This Row],[Kontraktor]]="", "Tidak Diketahui",Table2[[#This Row],[Kontraktor]])</f>
        <v>PT. Yuniar Hakim Tbk</v>
      </c>
      <c r="I267" s="11"/>
    </row>
    <row r="268" spans="1:9" ht="14.25" customHeight="1" x14ac:dyDescent="0.35">
      <c r="A268" s="8" t="s">
        <v>319</v>
      </c>
      <c r="B268" s="8" t="str">
        <f>IF(Table2[[#This Row],[Jenis_Proyek]]="", "Tidak Diketahui", Table2[[#This Row],[Jenis_Proyek]])</f>
        <v>Jembatan</v>
      </c>
      <c r="C268" s="8" t="str">
        <f>IF(Table2[[#This Row],[Lokasi]]="", "Tidak Diketahui", Table2[[#This Row],[Lokasi]])</f>
        <v>Depok</v>
      </c>
      <c r="D268" s="8" t="str">
        <f>IF(Table2[[#This Row],[Nama_Proyek]]="", "Tidak Diketahui", Table2[[#This Row],[Nama_Proyek]])</f>
        <v>Perbaikan Jembatan Depok</v>
      </c>
      <c r="E268" s="14">
        <v>45121</v>
      </c>
      <c r="F268" s="14">
        <v>45161</v>
      </c>
      <c r="G268" s="10">
        <v>3688243132</v>
      </c>
      <c r="H268" s="8" t="str">
        <f>IF(Table2[[#This Row],[Kontraktor]]="", "Tidak Diketahui",Table2[[#This Row],[Kontraktor]])</f>
        <v>PT. Lailasari Hariyah (Persero) Tbk</v>
      </c>
      <c r="I268" s="11"/>
    </row>
    <row r="269" spans="1:9" ht="14.25" customHeight="1" x14ac:dyDescent="0.35">
      <c r="A269" s="8" t="s">
        <v>320</v>
      </c>
      <c r="B269" s="8" t="str">
        <f>IF(Table2[[#This Row],[Jenis_Proyek]]="", "Tidak Diketahui", Table2[[#This Row],[Jenis_Proyek]])</f>
        <v>Jalan Raya</v>
      </c>
      <c r="C269" s="8" t="str">
        <f>IF(Table2[[#This Row],[Lokasi]]="", "Tidak Diketahui", Table2[[#This Row],[Lokasi]])</f>
        <v>Surabaya</v>
      </c>
      <c r="D269" s="8" t="str">
        <f>IF(Table2[[#This Row],[Nama_Proyek]]="", "Tidak Diketahui", Table2[[#This Row],[Nama_Proyek]])</f>
        <v>Perbaikan Jalan Raya Surabaya</v>
      </c>
      <c r="E269" s="14">
        <v>45123</v>
      </c>
      <c r="F269" s="14">
        <v>45315</v>
      </c>
      <c r="G269" s="10">
        <v>381166441</v>
      </c>
      <c r="H269" s="8" t="str">
        <f>IF(Table2[[#This Row],[Kontraktor]]="", "Tidak Diketahui",Table2[[#This Row],[Kontraktor]])</f>
        <v>PT C</v>
      </c>
      <c r="I269" s="11"/>
    </row>
    <row r="270" spans="1:9" ht="14.25" customHeight="1" x14ac:dyDescent="0.35">
      <c r="A270" s="8" t="s">
        <v>321</v>
      </c>
      <c r="B270" s="8" t="str">
        <f>IF(Table2[[#This Row],[Jenis_Proyek]]="", "Tidak Diketahui", Table2[[#This Row],[Jenis_Proyek]])</f>
        <v>Drainase</v>
      </c>
      <c r="C270" s="8" t="str">
        <f>IF(Table2[[#This Row],[Lokasi]]="", "Tidak Diketahui", Table2[[#This Row],[Lokasi]])</f>
        <v>Tomohon</v>
      </c>
      <c r="D270" s="8" t="str">
        <f>IF(Table2[[#This Row],[Nama_Proyek]]="", "Tidak Diketahui", Table2[[#This Row],[Nama_Proyek]])</f>
        <v>Perbaikan Drainase Tomohon</v>
      </c>
      <c r="E270" s="14">
        <v>45124</v>
      </c>
      <c r="F270" s="14">
        <v>45421</v>
      </c>
      <c r="G270" s="10">
        <v>604130639</v>
      </c>
      <c r="H270" s="8" t="str">
        <f>IF(Table2[[#This Row],[Kontraktor]]="", "Tidak Diketahui",Table2[[#This Row],[Kontraktor]])</f>
        <v>Tidak Diketahui</v>
      </c>
      <c r="I270" s="11"/>
    </row>
    <row r="271" spans="1:9" ht="14.25" customHeight="1" x14ac:dyDescent="0.35">
      <c r="A271" s="8" t="s">
        <v>322</v>
      </c>
      <c r="B271" s="8" t="str">
        <f>IF(Table2[[#This Row],[Jenis_Proyek]]="", "Tidak Diketahui", Table2[[#This Row],[Jenis_Proyek]])</f>
        <v>Jalan Raya</v>
      </c>
      <c r="C271" s="8" t="str">
        <f>IF(Table2[[#This Row],[Lokasi]]="", "Tidak Diketahui", Table2[[#This Row],[Lokasi]])</f>
        <v>Medan</v>
      </c>
      <c r="D271" s="8" t="str">
        <f>IF(Table2[[#This Row],[Nama_Proyek]]="", "Tidak Diketahui", Table2[[#This Row],[Nama_Proyek]])</f>
        <v>Perbaikan Jalan Raya Medan</v>
      </c>
      <c r="E271" s="14">
        <v>45124</v>
      </c>
      <c r="F271" s="14">
        <v>45258</v>
      </c>
      <c r="G271" s="10">
        <v>283236486</v>
      </c>
      <c r="H271" s="8" t="str">
        <f>IF(Table2[[#This Row],[Kontraktor]]="", "Tidak Diketahui",Table2[[#This Row],[Kontraktor]])</f>
        <v>CV Sihombing</v>
      </c>
      <c r="I271" s="11"/>
    </row>
    <row r="272" spans="1:9" ht="14.25" customHeight="1" x14ac:dyDescent="0.35">
      <c r="A272" s="8" t="s">
        <v>323</v>
      </c>
      <c r="B272" s="8" t="str">
        <f>IF(Table2[[#This Row],[Jenis_Proyek]]="", "Tidak Diketahui", Table2[[#This Row],[Jenis_Proyek]])</f>
        <v>Drainase</v>
      </c>
      <c r="C272" s="8" t="str">
        <f>IF(Table2[[#This Row],[Lokasi]]="", "Tidak Diketahui", Table2[[#This Row],[Lokasi]])</f>
        <v>Bau-Bau</v>
      </c>
      <c r="D272" s="8" t="str">
        <f>IF(Table2[[#This Row],[Nama_Proyek]]="", "Tidak Diketahui", Table2[[#This Row],[Nama_Proyek]])</f>
        <v>Perbaikan Drainase Bau-Bau</v>
      </c>
      <c r="E272" s="14">
        <v>45124</v>
      </c>
      <c r="F272" s="14">
        <v>45269</v>
      </c>
      <c r="G272" s="10">
        <v>288462185</v>
      </c>
      <c r="H272" s="8" t="str">
        <f>IF(Table2[[#This Row],[Kontraktor]]="", "Tidak Diketahui",Table2[[#This Row],[Kontraktor]])</f>
        <v>PT B</v>
      </c>
      <c r="I272" s="11"/>
    </row>
    <row r="273" spans="1:9" ht="14.25" customHeight="1" x14ac:dyDescent="0.35">
      <c r="A273" s="8" t="s">
        <v>324</v>
      </c>
      <c r="B273" s="8" t="str">
        <f>IF(Table2[[#This Row],[Jenis_Proyek]]="", "Tidak Diketahui", Table2[[#This Row],[Jenis_Proyek]])</f>
        <v>Jalan Raya</v>
      </c>
      <c r="C273" s="8" t="str">
        <f>IF(Table2[[#This Row],[Lokasi]]="", "Tidak Diketahui", Table2[[#This Row],[Lokasi]])</f>
        <v>Bandung</v>
      </c>
      <c r="D273" s="8" t="str">
        <f>IF(Table2[[#This Row],[Nama_Proyek]]="", "Tidak Diketahui", Table2[[#This Row],[Nama_Proyek]])</f>
        <v>Perbaikan Jalan Raya Bandung</v>
      </c>
      <c r="E273" s="14">
        <v>45125</v>
      </c>
      <c r="F273" s="14">
        <v>45419</v>
      </c>
      <c r="G273" s="10">
        <v>706008565</v>
      </c>
      <c r="H273" s="8" t="str">
        <f>IF(Table2[[#This Row],[Kontraktor]]="", "Tidak Diketahui",Table2[[#This Row],[Kontraktor]])</f>
        <v>PT C</v>
      </c>
      <c r="I273" s="11"/>
    </row>
    <row r="274" spans="1:9" ht="14.25" customHeight="1" x14ac:dyDescent="0.35">
      <c r="A274" s="8" t="s">
        <v>325</v>
      </c>
      <c r="B274" s="8" t="str">
        <f>IF(Table2[[#This Row],[Jenis_Proyek]]="", "Tidak Diketahui", Table2[[#This Row],[Jenis_Proyek]])</f>
        <v>Jembatan</v>
      </c>
      <c r="C274" s="8" t="str">
        <f>IF(Table2[[#This Row],[Lokasi]]="", "Tidak Diketahui", Table2[[#This Row],[Lokasi]])</f>
        <v>Jakarta</v>
      </c>
      <c r="D274" s="8" t="str">
        <f>IF(Table2[[#This Row],[Nama_Proyek]]="", "Tidak Diketahui", Table2[[#This Row],[Nama_Proyek]])</f>
        <v>Pembuatan Jembatan Jakarta</v>
      </c>
      <c r="E274" s="14">
        <v>45125</v>
      </c>
      <c r="F274" s="14">
        <v>45317</v>
      </c>
      <c r="G274" s="10">
        <v>3442468253</v>
      </c>
      <c r="H274" s="8" t="str">
        <f>IF(Table2[[#This Row],[Kontraktor]]="", "Tidak Diketahui",Table2[[#This Row],[Kontraktor]])</f>
        <v>PT C</v>
      </c>
      <c r="I274" s="11"/>
    </row>
    <row r="275" spans="1:9" ht="14.25" customHeight="1" x14ac:dyDescent="0.35">
      <c r="A275" s="8" t="s">
        <v>326</v>
      </c>
      <c r="B275" s="8" t="str">
        <f>IF(Table2[[#This Row],[Jenis_Proyek]]="", "Tidak Diketahui", Table2[[#This Row],[Jenis_Proyek]])</f>
        <v>Flyover</v>
      </c>
      <c r="C275" s="8" t="str">
        <f>IF(Table2[[#This Row],[Lokasi]]="", "Tidak Diketahui", Table2[[#This Row],[Lokasi]])</f>
        <v>Surabaya</v>
      </c>
      <c r="D275" s="8" t="str">
        <f>IF(Table2[[#This Row],[Nama_Proyek]]="", "Tidak Diketahui", Table2[[#This Row],[Nama_Proyek]])</f>
        <v>Pembuatan Flyover Surabaya</v>
      </c>
      <c r="E275" s="14">
        <v>45125</v>
      </c>
      <c r="F275" s="14">
        <v>45188</v>
      </c>
      <c r="G275" s="10">
        <v>2233995238</v>
      </c>
      <c r="H275" s="8" t="str">
        <f>IF(Table2[[#This Row],[Kontraktor]]="", "Tidak Diketahui",Table2[[#This Row],[Kontraktor]])</f>
        <v>PT B</v>
      </c>
      <c r="I275" s="11"/>
    </row>
    <row r="276" spans="1:9" ht="14.25" customHeight="1" x14ac:dyDescent="0.35">
      <c r="A276" s="8" t="s">
        <v>327</v>
      </c>
      <c r="B276" s="8" t="str">
        <f>IF(Table2[[#This Row],[Jenis_Proyek]]="", "Tidak Diketahui", Table2[[#This Row],[Jenis_Proyek]])</f>
        <v>Drainase</v>
      </c>
      <c r="C276" s="8" t="str">
        <f>IF(Table2[[#This Row],[Lokasi]]="", "Tidak Diketahui", Table2[[#This Row],[Lokasi]])</f>
        <v>Tomohon</v>
      </c>
      <c r="D276" s="8" t="str">
        <f>IF(Table2[[#This Row],[Nama_Proyek]]="", "Tidak Diketahui", Table2[[#This Row],[Nama_Proyek]])</f>
        <v>Perbaikan Drainase Tomohon</v>
      </c>
      <c r="E276" s="14">
        <v>45125</v>
      </c>
      <c r="F276" s="14">
        <v>45277</v>
      </c>
      <c r="G276" s="10">
        <v>579386663</v>
      </c>
      <c r="H276" s="8" t="str">
        <f>IF(Table2[[#This Row],[Kontraktor]]="", "Tidak Diketahui",Table2[[#This Row],[Kontraktor]])</f>
        <v>PT B</v>
      </c>
      <c r="I276" s="11"/>
    </row>
    <row r="277" spans="1:9" ht="14.25" customHeight="1" x14ac:dyDescent="0.35">
      <c r="A277" s="8" t="s">
        <v>328</v>
      </c>
      <c r="B277" s="8" t="str">
        <f>IF(Table2[[#This Row],[Jenis_Proyek]]="", "Tidak Diketahui", Table2[[#This Row],[Jenis_Proyek]])</f>
        <v>Gedung</v>
      </c>
      <c r="C277" s="8" t="str">
        <f>IF(Table2[[#This Row],[Lokasi]]="", "Tidak Diketahui", Table2[[#This Row],[Lokasi]])</f>
        <v>Depok</v>
      </c>
      <c r="D277" s="8" t="str">
        <f>IF(Table2[[#This Row],[Nama_Proyek]]="", "Tidak Diketahui", Table2[[#This Row],[Nama_Proyek]])</f>
        <v>Perbaikan Gedung Pemerintah Depok</v>
      </c>
      <c r="E277" s="14">
        <v>45125</v>
      </c>
      <c r="F277" s="14">
        <v>45327</v>
      </c>
      <c r="G277" s="10">
        <v>2892512480</v>
      </c>
      <c r="H277" s="8" t="str">
        <f>IF(Table2[[#This Row],[Kontraktor]]="", "Tidak Diketahui",Table2[[#This Row],[Kontraktor]])</f>
        <v>PT B</v>
      </c>
      <c r="I277" s="11"/>
    </row>
    <row r="278" spans="1:9" ht="14.25" customHeight="1" x14ac:dyDescent="0.35">
      <c r="A278" s="8" t="s">
        <v>329</v>
      </c>
      <c r="B278" s="8" t="str">
        <f>IF(Table2[[#This Row],[Jenis_Proyek]]="", "Tidak Diketahui", Table2[[#This Row],[Jenis_Proyek]])</f>
        <v>Jembatan</v>
      </c>
      <c r="C278" s="8" t="str">
        <f>IF(Table2[[#This Row],[Lokasi]]="", "Tidak Diketahui", Table2[[#This Row],[Lokasi]])</f>
        <v>Bandung</v>
      </c>
      <c r="D278" s="8" t="str">
        <f>IF(Table2[[#This Row],[Nama_Proyek]]="", "Tidak Diketahui", Table2[[#This Row],[Nama_Proyek]])</f>
        <v>Perbaikan Jembatan Bandung</v>
      </c>
      <c r="E278" s="14">
        <v>45126</v>
      </c>
      <c r="F278" s="14">
        <v>45187</v>
      </c>
      <c r="G278" s="10">
        <v>1731360253</v>
      </c>
      <c r="H278" s="8" t="str">
        <f>IF(Table2[[#This Row],[Kontraktor]]="", "Tidak Diketahui",Table2[[#This Row],[Kontraktor]])</f>
        <v>PT. Yuniar Hakim Tbk</v>
      </c>
      <c r="I278" s="11"/>
    </row>
    <row r="279" spans="1:9" ht="14.25" customHeight="1" x14ac:dyDescent="0.35">
      <c r="A279" s="8" t="s">
        <v>330</v>
      </c>
      <c r="B279" s="8" t="str">
        <f>IF(Table2[[#This Row],[Jenis_Proyek]]="", "Tidak Diketahui", Table2[[#This Row],[Jenis_Proyek]])</f>
        <v>Flyover</v>
      </c>
      <c r="C279" s="8" t="str">
        <f>IF(Table2[[#This Row],[Lokasi]]="", "Tidak Diketahui", Table2[[#This Row],[Lokasi]])</f>
        <v>Bandung</v>
      </c>
      <c r="D279" s="8" t="str">
        <f>IF(Table2[[#This Row],[Nama_Proyek]]="", "Tidak Diketahui", Table2[[#This Row],[Nama_Proyek]])</f>
        <v>Pembuatan Flyover Bandung</v>
      </c>
      <c r="E279" s="14">
        <v>45128</v>
      </c>
      <c r="F279" s="14">
        <v>45204</v>
      </c>
      <c r="G279" s="10">
        <v>4702380798</v>
      </c>
      <c r="H279" s="8" t="str">
        <f>IF(Table2[[#This Row],[Kontraktor]]="", "Tidak Diketahui",Table2[[#This Row],[Kontraktor]])</f>
        <v>PT C</v>
      </c>
      <c r="I279" s="11"/>
    </row>
    <row r="280" spans="1:9" ht="14.25" customHeight="1" x14ac:dyDescent="0.35">
      <c r="A280" s="8" t="s">
        <v>331</v>
      </c>
      <c r="B280" s="8" t="str">
        <f>IF(Table2[[#This Row],[Jenis_Proyek]]="", "Tidak Diketahui", Table2[[#This Row],[Jenis_Proyek]])</f>
        <v>Gedung</v>
      </c>
      <c r="C280" s="8" t="str">
        <f>IF(Table2[[#This Row],[Lokasi]]="", "Tidak Diketahui", Table2[[#This Row],[Lokasi]])</f>
        <v>Bau-Bau</v>
      </c>
      <c r="D280" s="8" t="str">
        <f>IF(Table2[[#This Row],[Nama_Proyek]]="", "Tidak Diketahui", Table2[[#This Row],[Nama_Proyek]])</f>
        <v>Perbaikan Gedung Pemerintah Bau-Bau</v>
      </c>
      <c r="E280" s="14">
        <v>45128</v>
      </c>
      <c r="F280" s="14">
        <v>45275</v>
      </c>
      <c r="G280" s="10">
        <v>1321857853</v>
      </c>
      <c r="H280" s="8" t="str">
        <f>IF(Table2[[#This Row],[Kontraktor]]="", "Tidak Diketahui",Table2[[#This Row],[Kontraktor]])</f>
        <v>CV Sihombing</v>
      </c>
      <c r="I280" s="11"/>
    </row>
    <row r="281" spans="1:9" ht="14.25" customHeight="1" x14ac:dyDescent="0.35">
      <c r="A281" s="8" t="s">
        <v>332</v>
      </c>
      <c r="B281" s="8" t="str">
        <f>IF(Table2[[#This Row],[Jenis_Proyek]]="", "Tidak Diketahui", Table2[[#This Row],[Jenis_Proyek]])</f>
        <v>Jembatan</v>
      </c>
      <c r="C281" s="8" t="str">
        <f>IF(Table2[[#This Row],[Lokasi]]="", "Tidak Diketahui", Table2[[#This Row],[Lokasi]])</f>
        <v>Jakarta</v>
      </c>
      <c r="D281" s="8" t="str">
        <f>IF(Table2[[#This Row],[Nama_Proyek]]="", "Tidak Diketahui", Table2[[#This Row],[Nama_Proyek]])</f>
        <v>Pembuatan Jembatan Jakarta</v>
      </c>
      <c r="E281" s="14">
        <v>45128</v>
      </c>
      <c r="F281" s="14">
        <v>45188</v>
      </c>
      <c r="G281" s="10">
        <v>4256914338</v>
      </c>
      <c r="H281" s="8" t="str">
        <f>IF(Table2[[#This Row],[Kontraktor]]="", "Tidak Diketahui",Table2[[#This Row],[Kontraktor]])</f>
        <v>PT B</v>
      </c>
      <c r="I281" s="11"/>
    </row>
    <row r="282" spans="1:9" ht="14.25" customHeight="1" x14ac:dyDescent="0.35">
      <c r="A282" s="8" t="s">
        <v>333</v>
      </c>
      <c r="B282" s="8" t="str">
        <f>IF(Table2[[#This Row],[Jenis_Proyek]]="", "Tidak Diketahui", Table2[[#This Row],[Jenis_Proyek]])</f>
        <v>Drainase</v>
      </c>
      <c r="C282" s="8" t="str">
        <f>IF(Table2[[#This Row],[Lokasi]]="", "Tidak Diketahui", Table2[[#This Row],[Lokasi]])</f>
        <v>Bau-Bau</v>
      </c>
      <c r="D282" s="8" t="str">
        <f>IF(Table2[[#This Row],[Nama_Proyek]]="", "Tidak Diketahui", Table2[[#This Row],[Nama_Proyek]])</f>
        <v>Perbaikan Drainase Bau-Bau</v>
      </c>
      <c r="E282" s="14">
        <v>45128</v>
      </c>
      <c r="F282" s="14">
        <v>45492</v>
      </c>
      <c r="G282" s="10">
        <v>202438902</v>
      </c>
      <c r="H282" s="8" t="str">
        <f>IF(Table2[[#This Row],[Kontraktor]]="", "Tidak Diketahui",Table2[[#This Row],[Kontraktor]])</f>
        <v>PT C</v>
      </c>
      <c r="I282" s="11"/>
    </row>
    <row r="283" spans="1:9" ht="14.25" customHeight="1" x14ac:dyDescent="0.35">
      <c r="A283" s="8" t="s">
        <v>334</v>
      </c>
      <c r="B283" s="8" t="str">
        <f>IF(Table2[[#This Row],[Jenis_Proyek]]="", "Tidak Diketahui", Table2[[#This Row],[Jenis_Proyek]])</f>
        <v>Gedung</v>
      </c>
      <c r="C283" s="8" t="str">
        <f>IF(Table2[[#This Row],[Lokasi]]="", "Tidak Diketahui", Table2[[#This Row],[Lokasi]])</f>
        <v>Bandung</v>
      </c>
      <c r="D283" s="8" t="str">
        <f>IF(Table2[[#This Row],[Nama_Proyek]]="", "Tidak Diketahui", Table2[[#This Row],[Nama_Proyek]])</f>
        <v>Perbaikan Gedung Pemerintah Bandung</v>
      </c>
      <c r="E283" s="14">
        <v>45129</v>
      </c>
      <c r="F283" s="14">
        <v>45264</v>
      </c>
      <c r="G283" s="10">
        <v>7153815573</v>
      </c>
      <c r="H283" s="8" t="str">
        <f>IF(Table2[[#This Row],[Kontraktor]]="", "Tidak Diketahui",Table2[[#This Row],[Kontraktor]])</f>
        <v>CV Sihombing</v>
      </c>
      <c r="I283" s="11"/>
    </row>
    <row r="284" spans="1:9" ht="14.25" customHeight="1" x14ac:dyDescent="0.35">
      <c r="A284" s="8" t="s">
        <v>335</v>
      </c>
      <c r="B284" s="8" t="str">
        <f>IF(Table2[[#This Row],[Jenis_Proyek]]="", "Tidak Diketahui", Table2[[#This Row],[Jenis_Proyek]])</f>
        <v>Flyover</v>
      </c>
      <c r="C284" s="8" t="str">
        <f>IF(Table2[[#This Row],[Lokasi]]="", "Tidak Diketahui", Table2[[#This Row],[Lokasi]])</f>
        <v>Depok</v>
      </c>
      <c r="D284" s="8" t="str">
        <f>IF(Table2[[#This Row],[Nama_Proyek]]="", "Tidak Diketahui", Table2[[#This Row],[Nama_Proyek]])</f>
        <v>Pembuatan Flyover Depok</v>
      </c>
      <c r="E284" s="14">
        <v>45129</v>
      </c>
      <c r="F284" s="14">
        <v>45285</v>
      </c>
      <c r="G284" s="10">
        <v>2210232440</v>
      </c>
      <c r="H284" s="8" t="str">
        <f>IF(Table2[[#This Row],[Kontraktor]]="", "Tidak Diketahui",Table2[[#This Row],[Kontraktor]])</f>
        <v>PT. Yuniar Hakim Tbk</v>
      </c>
      <c r="I284" s="11"/>
    </row>
    <row r="285" spans="1:9" ht="14.25" customHeight="1" x14ac:dyDescent="0.35">
      <c r="A285" s="8" t="s">
        <v>336</v>
      </c>
      <c r="B285" s="8" t="str">
        <f>IF(Table2[[#This Row],[Jenis_Proyek]]="", "Tidak Diketahui", Table2[[#This Row],[Jenis_Proyek]])</f>
        <v>Jembatan</v>
      </c>
      <c r="C285" s="8" t="str">
        <f>IF(Table2[[#This Row],[Lokasi]]="", "Tidak Diketahui", Table2[[#This Row],[Lokasi]])</f>
        <v>Medan</v>
      </c>
      <c r="D285" s="8" t="str">
        <f>IF(Table2[[#This Row],[Nama_Proyek]]="", "Tidak Diketahui", Table2[[#This Row],[Nama_Proyek]])</f>
        <v>Perbaikan Jembatan Medan</v>
      </c>
      <c r="E285" s="14">
        <v>45129</v>
      </c>
      <c r="F285" s="14">
        <v>45310</v>
      </c>
      <c r="G285" s="10">
        <v>2045004222</v>
      </c>
      <c r="H285" s="8" t="str">
        <f>IF(Table2[[#This Row],[Kontraktor]]="", "Tidak Diketahui",Table2[[#This Row],[Kontraktor]])</f>
        <v>PT B</v>
      </c>
      <c r="I285" s="11"/>
    </row>
    <row r="286" spans="1:9" ht="14.25" customHeight="1" x14ac:dyDescent="0.35">
      <c r="A286" s="8" t="s">
        <v>337</v>
      </c>
      <c r="B286" s="8" t="str">
        <f>IF(Table2[[#This Row],[Jenis_Proyek]]="", "Tidak Diketahui", Table2[[#This Row],[Jenis_Proyek]])</f>
        <v>Jalan Raya</v>
      </c>
      <c r="C286" s="8" t="str">
        <f>IF(Table2[[#This Row],[Lokasi]]="", "Tidak Diketahui", Table2[[#This Row],[Lokasi]])</f>
        <v>Medan</v>
      </c>
      <c r="D286" s="8" t="str">
        <f>IF(Table2[[#This Row],[Nama_Proyek]]="", "Tidak Diketahui", Table2[[#This Row],[Nama_Proyek]])</f>
        <v>Perbaikan Jalan Raya Medan</v>
      </c>
      <c r="E286" s="14">
        <v>45130</v>
      </c>
      <c r="F286" s="14">
        <v>45445</v>
      </c>
      <c r="G286" s="10">
        <v>607111213</v>
      </c>
      <c r="H286" s="8" t="str">
        <f>IF(Table2[[#This Row],[Kontraktor]]="", "Tidak Diketahui",Table2[[#This Row],[Kontraktor]])</f>
        <v>PT. Yuniar Hakim Tbk</v>
      </c>
      <c r="I286" s="11"/>
    </row>
    <row r="287" spans="1:9" ht="14.25" customHeight="1" x14ac:dyDescent="0.35">
      <c r="A287" s="8" t="s">
        <v>338</v>
      </c>
      <c r="B287" s="8" t="str">
        <f>IF(Table2[[#This Row],[Jenis_Proyek]]="", "Tidak Diketahui", Table2[[#This Row],[Jenis_Proyek]])</f>
        <v>Jalan Raya</v>
      </c>
      <c r="C287" s="8" t="str">
        <f>IF(Table2[[#This Row],[Lokasi]]="", "Tidak Diketahui", Table2[[#This Row],[Lokasi]])</f>
        <v>Bandung</v>
      </c>
      <c r="D287" s="8" t="str">
        <f>IF(Table2[[#This Row],[Nama_Proyek]]="", "Tidak Diketahui", Table2[[#This Row],[Nama_Proyek]])</f>
        <v>Perbaikan Jalan Raya Bandung</v>
      </c>
      <c r="E287" s="14">
        <v>45130</v>
      </c>
      <c r="F287" s="14">
        <v>45407</v>
      </c>
      <c r="G287" s="10">
        <v>378250495</v>
      </c>
      <c r="H287" s="8" t="str">
        <f>IF(Table2[[#This Row],[Kontraktor]]="", "Tidak Diketahui",Table2[[#This Row],[Kontraktor]])</f>
        <v>PT. Lailasari Hariyah (Persero) Tbk</v>
      </c>
      <c r="I287" s="11"/>
    </row>
    <row r="288" spans="1:9" ht="14.25" customHeight="1" x14ac:dyDescent="0.35">
      <c r="A288" s="8" t="s">
        <v>339</v>
      </c>
      <c r="B288" s="8" t="str">
        <f>IF(Table2[[#This Row],[Jenis_Proyek]]="", "Tidak Diketahui", Table2[[#This Row],[Jenis_Proyek]])</f>
        <v>Drainase</v>
      </c>
      <c r="C288" s="8" t="str">
        <f>IF(Table2[[#This Row],[Lokasi]]="", "Tidak Diketahui", Table2[[#This Row],[Lokasi]])</f>
        <v>Medan</v>
      </c>
      <c r="D288" s="8" t="str">
        <f>IF(Table2[[#This Row],[Nama_Proyek]]="", "Tidak Diketahui", Table2[[#This Row],[Nama_Proyek]])</f>
        <v>Perbaikan Drainase Medan</v>
      </c>
      <c r="E288" s="14">
        <v>45130</v>
      </c>
      <c r="F288" s="14">
        <v>45277</v>
      </c>
      <c r="G288" s="10">
        <v>225164187</v>
      </c>
      <c r="H288" s="8" t="str">
        <f>IF(Table2[[#This Row],[Kontraktor]]="", "Tidak Diketahui",Table2[[#This Row],[Kontraktor]])</f>
        <v>Tidak Diketahui</v>
      </c>
      <c r="I288" s="11"/>
    </row>
    <row r="289" spans="1:9" ht="14.25" customHeight="1" x14ac:dyDescent="0.35">
      <c r="A289" s="8" t="s">
        <v>340</v>
      </c>
      <c r="B289" s="8" t="str">
        <f>IF(Table2[[#This Row],[Jenis_Proyek]]="", "Tidak Diketahui", Table2[[#This Row],[Jenis_Proyek]])</f>
        <v>Jembatan</v>
      </c>
      <c r="C289" s="8" t="str">
        <f>IF(Table2[[#This Row],[Lokasi]]="", "Tidak Diketahui", Table2[[#This Row],[Lokasi]])</f>
        <v>Bandung</v>
      </c>
      <c r="D289" s="8" t="str">
        <f>IF(Table2[[#This Row],[Nama_Proyek]]="", "Tidak Diketahui", Table2[[#This Row],[Nama_Proyek]])</f>
        <v>Perbaikan Jembatan Bandung</v>
      </c>
      <c r="E289" s="14">
        <v>45130</v>
      </c>
      <c r="F289" s="14">
        <v>45465</v>
      </c>
      <c r="G289" s="10">
        <v>4178594822</v>
      </c>
      <c r="H289" s="8" t="str">
        <f>IF(Table2[[#This Row],[Kontraktor]]="", "Tidak Diketahui",Table2[[#This Row],[Kontraktor]])</f>
        <v>PT. Yuniar Hakim Tbk</v>
      </c>
      <c r="I289" s="11"/>
    </row>
    <row r="290" spans="1:9" ht="14.25" customHeight="1" x14ac:dyDescent="0.35">
      <c r="A290" s="8" t="s">
        <v>341</v>
      </c>
      <c r="B290" s="8" t="str">
        <f>IF(Table2[[#This Row],[Jenis_Proyek]]="", "Tidak Diketahui", Table2[[#This Row],[Jenis_Proyek]])</f>
        <v>Jalan Raya</v>
      </c>
      <c r="C290" s="8" t="str">
        <f>IF(Table2[[#This Row],[Lokasi]]="", "Tidak Diketahui", Table2[[#This Row],[Lokasi]])</f>
        <v>Tomohon</v>
      </c>
      <c r="D290" s="8" t="str">
        <f>IF(Table2[[#This Row],[Nama_Proyek]]="", "Tidak Diketahui", Table2[[#This Row],[Nama_Proyek]])</f>
        <v>Perbaikan Jalan Raya Tomohon</v>
      </c>
      <c r="E290" s="14">
        <v>45131</v>
      </c>
      <c r="F290" s="14">
        <v>45228</v>
      </c>
      <c r="G290" s="10">
        <v>660225526</v>
      </c>
      <c r="H290" s="8" t="str">
        <f>IF(Table2[[#This Row],[Kontraktor]]="", "Tidak Diketahui",Table2[[#This Row],[Kontraktor]])</f>
        <v>PT C</v>
      </c>
      <c r="I290" s="11"/>
    </row>
    <row r="291" spans="1:9" ht="14.25" customHeight="1" x14ac:dyDescent="0.35">
      <c r="A291" s="8" t="s">
        <v>342</v>
      </c>
      <c r="B291" s="8" t="str">
        <f>IF(Table2[[#This Row],[Jenis_Proyek]]="", "Tidak Diketahui", Table2[[#This Row],[Jenis_Proyek]])</f>
        <v>Jembatan</v>
      </c>
      <c r="C291" s="8" t="str">
        <f>IF(Table2[[#This Row],[Lokasi]]="", "Tidak Diketahui", Table2[[#This Row],[Lokasi]])</f>
        <v>Depok</v>
      </c>
      <c r="D291" s="8" t="str">
        <f>IF(Table2[[#This Row],[Nama_Proyek]]="", "Tidak Diketahui", Table2[[#This Row],[Nama_Proyek]])</f>
        <v>Pembuatan Jembatan Depok</v>
      </c>
      <c r="E291" s="14">
        <v>45131</v>
      </c>
      <c r="F291" s="14">
        <v>45411</v>
      </c>
      <c r="G291" s="10">
        <v>6255723631</v>
      </c>
      <c r="H291" s="8" t="str">
        <f>IF(Table2[[#This Row],[Kontraktor]]="", "Tidak Diketahui",Table2[[#This Row],[Kontraktor]])</f>
        <v>PT C</v>
      </c>
      <c r="I291" s="11"/>
    </row>
    <row r="292" spans="1:9" ht="14.25" customHeight="1" x14ac:dyDescent="0.35">
      <c r="A292" s="8" t="s">
        <v>343</v>
      </c>
      <c r="B292" s="8" t="str">
        <f>IF(Table2[[#This Row],[Jenis_Proyek]]="", "Tidak Diketahui", Table2[[#This Row],[Jenis_Proyek]])</f>
        <v>Flyover</v>
      </c>
      <c r="C292" s="8" t="str">
        <f>IF(Table2[[#This Row],[Lokasi]]="", "Tidak Diketahui", Table2[[#This Row],[Lokasi]])</f>
        <v>Jakarta</v>
      </c>
      <c r="D292" s="8" t="str">
        <f>IF(Table2[[#This Row],[Nama_Proyek]]="", "Tidak Diketahui", Table2[[#This Row],[Nama_Proyek]])</f>
        <v>Pembuatan Flyover Jakarta</v>
      </c>
      <c r="E292" s="14">
        <v>45131</v>
      </c>
      <c r="F292" s="14">
        <v>45271</v>
      </c>
      <c r="G292" s="10">
        <v>1935087556</v>
      </c>
      <c r="H292" s="8" t="str">
        <f>IF(Table2[[#This Row],[Kontraktor]]="", "Tidak Diketahui",Table2[[#This Row],[Kontraktor]])</f>
        <v>CV Sihombing</v>
      </c>
      <c r="I292" s="11"/>
    </row>
    <row r="293" spans="1:9" ht="14.25" customHeight="1" x14ac:dyDescent="0.35">
      <c r="A293" s="8" t="s">
        <v>344</v>
      </c>
      <c r="B293" s="8" t="str">
        <f>IF(Table2[[#This Row],[Jenis_Proyek]]="", "Tidak Diketahui", Table2[[#This Row],[Jenis_Proyek]])</f>
        <v>Jembatan</v>
      </c>
      <c r="C293" s="8" t="str">
        <f>IF(Table2[[#This Row],[Lokasi]]="", "Tidak Diketahui", Table2[[#This Row],[Lokasi]])</f>
        <v>Makassar</v>
      </c>
      <c r="D293" s="8" t="str">
        <f>IF(Table2[[#This Row],[Nama_Proyek]]="", "Tidak Diketahui", Table2[[#This Row],[Nama_Proyek]])</f>
        <v>Perbaikan Jembatan Makassar</v>
      </c>
      <c r="E293" s="14">
        <v>45133</v>
      </c>
      <c r="F293" s="14">
        <v>45384</v>
      </c>
      <c r="G293" s="10">
        <v>6639282641</v>
      </c>
      <c r="H293" s="8" t="str">
        <f>IF(Table2[[#This Row],[Kontraktor]]="", "Tidak Diketahui",Table2[[#This Row],[Kontraktor]])</f>
        <v>PT A</v>
      </c>
      <c r="I293" s="11"/>
    </row>
    <row r="294" spans="1:9" ht="14.25" customHeight="1" x14ac:dyDescent="0.35">
      <c r="A294" s="8" t="s">
        <v>345</v>
      </c>
      <c r="B294" s="8" t="str">
        <f>IF(Table2[[#This Row],[Jenis_Proyek]]="", "Tidak Diketahui", Table2[[#This Row],[Jenis_Proyek]])</f>
        <v>Gedung</v>
      </c>
      <c r="C294" s="8" t="str">
        <f>IF(Table2[[#This Row],[Lokasi]]="", "Tidak Diketahui", Table2[[#This Row],[Lokasi]])</f>
        <v>Surabaya</v>
      </c>
      <c r="D294" s="8" t="str">
        <f>IF(Table2[[#This Row],[Nama_Proyek]]="", "Tidak Diketahui", Table2[[#This Row],[Nama_Proyek]])</f>
        <v>Perbaikan Gedung Pemerintah Surabaya</v>
      </c>
      <c r="E294" s="14">
        <v>45133</v>
      </c>
      <c r="F294" s="14">
        <v>45429</v>
      </c>
      <c r="G294" s="10">
        <v>1341304566</v>
      </c>
      <c r="H294" s="8" t="str">
        <f>IF(Table2[[#This Row],[Kontraktor]]="", "Tidak Diketahui",Table2[[#This Row],[Kontraktor]])</f>
        <v>PT B</v>
      </c>
      <c r="I294" s="11"/>
    </row>
    <row r="295" spans="1:9" ht="14.25" customHeight="1" x14ac:dyDescent="0.35">
      <c r="A295" s="8" t="s">
        <v>346</v>
      </c>
      <c r="B295" s="8" t="str">
        <f>IF(Table2[[#This Row],[Jenis_Proyek]]="", "Tidak Diketahui", Table2[[#This Row],[Jenis_Proyek]])</f>
        <v>Jembatan</v>
      </c>
      <c r="C295" s="8" t="str">
        <f>IF(Table2[[#This Row],[Lokasi]]="", "Tidak Diketahui", Table2[[#This Row],[Lokasi]])</f>
        <v>Medan</v>
      </c>
      <c r="D295" s="8" t="str">
        <f>IF(Table2[[#This Row],[Nama_Proyek]]="", "Tidak Diketahui", Table2[[#This Row],[Nama_Proyek]])</f>
        <v>Pembuatan Jembatan Medan</v>
      </c>
      <c r="E295" s="14">
        <v>45135</v>
      </c>
      <c r="F295" s="14">
        <v>45168</v>
      </c>
      <c r="G295" s="10">
        <v>1482129947</v>
      </c>
      <c r="H295" s="8" t="str">
        <f>IF(Table2[[#This Row],[Kontraktor]]="", "Tidak Diketahui",Table2[[#This Row],[Kontraktor]])</f>
        <v>PT D</v>
      </c>
      <c r="I295" s="11"/>
    </row>
    <row r="296" spans="1:9" ht="14.25" customHeight="1" x14ac:dyDescent="0.35">
      <c r="A296" s="8" t="s">
        <v>347</v>
      </c>
      <c r="B296" s="8" t="str">
        <f>IF(Table2[[#This Row],[Jenis_Proyek]]="", "Tidak Diketahui", Table2[[#This Row],[Jenis_Proyek]])</f>
        <v>Jembatan</v>
      </c>
      <c r="C296" s="8" t="str">
        <f>IF(Table2[[#This Row],[Lokasi]]="", "Tidak Diketahui", Table2[[#This Row],[Lokasi]])</f>
        <v>Medan</v>
      </c>
      <c r="D296" s="8" t="str">
        <f>IF(Table2[[#This Row],[Nama_Proyek]]="", "Tidak Diketahui", Table2[[#This Row],[Nama_Proyek]])</f>
        <v>Pembuatan Jembatan Medan</v>
      </c>
      <c r="E296" s="14">
        <v>45135</v>
      </c>
      <c r="F296" s="14">
        <v>45240</v>
      </c>
      <c r="G296" s="10">
        <v>5134610940</v>
      </c>
      <c r="H296" s="8" t="str">
        <f>IF(Table2[[#This Row],[Kontraktor]]="", "Tidak Diketahui",Table2[[#This Row],[Kontraktor]])</f>
        <v>CV Sihombing</v>
      </c>
      <c r="I296" s="11"/>
    </row>
    <row r="297" spans="1:9" ht="14.25" customHeight="1" x14ac:dyDescent="0.35">
      <c r="A297" s="8" t="s">
        <v>348</v>
      </c>
      <c r="B297" s="8" t="str">
        <f>IF(Table2[[#This Row],[Jenis_Proyek]]="", "Tidak Diketahui", Table2[[#This Row],[Jenis_Proyek]])</f>
        <v>Jalan Raya</v>
      </c>
      <c r="C297" s="8" t="str">
        <f>IF(Table2[[#This Row],[Lokasi]]="", "Tidak Diketahui", Table2[[#This Row],[Lokasi]])</f>
        <v>Medan</v>
      </c>
      <c r="D297" s="8" t="str">
        <f>IF(Table2[[#This Row],[Nama_Proyek]]="", "Tidak Diketahui", Table2[[#This Row],[Nama_Proyek]])</f>
        <v>Perbaikan Jalan Raya Medan</v>
      </c>
      <c r="E297" s="14">
        <v>45135</v>
      </c>
      <c r="F297" s="14">
        <v>45357</v>
      </c>
      <c r="G297" s="10">
        <v>344333067</v>
      </c>
      <c r="H297" s="8" t="str">
        <f>IF(Table2[[#This Row],[Kontraktor]]="", "Tidak Diketahui",Table2[[#This Row],[Kontraktor]])</f>
        <v>PT C</v>
      </c>
      <c r="I297" s="11"/>
    </row>
    <row r="298" spans="1:9" ht="14.25" customHeight="1" x14ac:dyDescent="0.35">
      <c r="A298" s="8" t="s">
        <v>349</v>
      </c>
      <c r="B298" s="8" t="str">
        <f>IF(Table2[[#This Row],[Jenis_Proyek]]="", "Tidak Diketahui", Table2[[#This Row],[Jenis_Proyek]])</f>
        <v>Gedung</v>
      </c>
      <c r="C298" s="8" t="str">
        <f>IF(Table2[[#This Row],[Lokasi]]="", "Tidak Diketahui", Table2[[#This Row],[Lokasi]])</f>
        <v>Bau-Bau</v>
      </c>
      <c r="D298" s="8" t="str">
        <f>IF(Table2[[#This Row],[Nama_Proyek]]="", "Tidak Diketahui", Table2[[#This Row],[Nama_Proyek]])</f>
        <v>Perbaikan Gedung Pemerintah Bau-Bau</v>
      </c>
      <c r="E298" s="14">
        <v>45136</v>
      </c>
      <c r="F298" s="14">
        <v>45177</v>
      </c>
      <c r="G298" s="10">
        <v>2347619310</v>
      </c>
      <c r="H298" s="8" t="str">
        <f>IF(Table2[[#This Row],[Kontraktor]]="", "Tidak Diketahui",Table2[[#This Row],[Kontraktor]])</f>
        <v>PT D</v>
      </c>
      <c r="I298" s="11"/>
    </row>
    <row r="299" spans="1:9" ht="14.25" customHeight="1" x14ac:dyDescent="0.35">
      <c r="A299" s="8" t="s">
        <v>350</v>
      </c>
      <c r="B299" s="8" t="str">
        <f>IF(Table2[[#This Row],[Jenis_Proyek]]="", "Tidak Diketahui", Table2[[#This Row],[Jenis_Proyek]])</f>
        <v>Flyover</v>
      </c>
      <c r="C299" s="8" t="str">
        <f>IF(Table2[[#This Row],[Lokasi]]="", "Tidak Diketahui", Table2[[#This Row],[Lokasi]])</f>
        <v>Tomohon</v>
      </c>
      <c r="D299" s="8" t="str">
        <f>IF(Table2[[#This Row],[Nama_Proyek]]="", "Tidak Diketahui", Table2[[#This Row],[Nama_Proyek]])</f>
        <v>Perbaikan Flyover Tomohon</v>
      </c>
      <c r="E299" s="14">
        <v>45136</v>
      </c>
      <c r="F299" s="14">
        <v>45380</v>
      </c>
      <c r="G299" s="10">
        <v>2422397660</v>
      </c>
      <c r="H299" s="8" t="str">
        <f>IF(Table2[[#This Row],[Kontraktor]]="", "Tidak Diketahui",Table2[[#This Row],[Kontraktor]])</f>
        <v>PT A</v>
      </c>
      <c r="I299" s="11"/>
    </row>
    <row r="300" spans="1:9" ht="14.25" customHeight="1" x14ac:dyDescent="0.35">
      <c r="A300" s="8" t="s">
        <v>351</v>
      </c>
      <c r="B300" s="8" t="str">
        <f>IF(Table2[[#This Row],[Jenis_Proyek]]="", "Tidak Diketahui", Table2[[#This Row],[Jenis_Proyek]])</f>
        <v>Drainase</v>
      </c>
      <c r="C300" s="8" t="str">
        <f>IF(Table2[[#This Row],[Lokasi]]="", "Tidak Diketahui", Table2[[#This Row],[Lokasi]])</f>
        <v>Bandung</v>
      </c>
      <c r="D300" s="8" t="str">
        <f>IF(Table2[[#This Row],[Nama_Proyek]]="", "Tidak Diketahui", Table2[[#This Row],[Nama_Proyek]])</f>
        <v>Perbaikan Drainase Bandung</v>
      </c>
      <c r="E300" s="14">
        <v>45137</v>
      </c>
      <c r="F300" s="14">
        <v>45306</v>
      </c>
      <c r="G300" s="10">
        <v>593562614</v>
      </c>
      <c r="H300" s="8" t="str">
        <f>IF(Table2[[#This Row],[Kontraktor]]="", "Tidak Diketahui",Table2[[#This Row],[Kontraktor]])</f>
        <v>CV Sihombing</v>
      </c>
      <c r="I300" s="11"/>
    </row>
    <row r="301" spans="1:9" ht="14.25" customHeight="1" x14ac:dyDescent="0.35">
      <c r="A301" s="8" t="s">
        <v>352</v>
      </c>
      <c r="B301" s="8" t="str">
        <f>IF(Table2[[#This Row],[Jenis_Proyek]]="", "Tidak Diketahui", Table2[[#This Row],[Jenis_Proyek]])</f>
        <v>Flyover</v>
      </c>
      <c r="C301" s="8" t="str">
        <f>IF(Table2[[#This Row],[Lokasi]]="", "Tidak Diketahui", Table2[[#This Row],[Lokasi]])</f>
        <v>Tomohon</v>
      </c>
      <c r="D301" s="8" t="str">
        <f>IF(Table2[[#This Row],[Nama_Proyek]]="", "Tidak Diketahui", Table2[[#This Row],[Nama_Proyek]])</f>
        <v>Pembuatan Flyover Tomohon</v>
      </c>
      <c r="E301" s="14">
        <v>45137</v>
      </c>
      <c r="F301" s="14">
        <v>45248</v>
      </c>
      <c r="G301" s="10">
        <v>3507077254</v>
      </c>
      <c r="H301" s="8" t="str">
        <f>IF(Table2[[#This Row],[Kontraktor]]="", "Tidak Diketahui",Table2[[#This Row],[Kontraktor]])</f>
        <v>PT A</v>
      </c>
      <c r="I301" s="11"/>
    </row>
    <row r="302" spans="1:9" ht="14.25" customHeight="1" x14ac:dyDescent="0.35">
      <c r="A302" s="8" t="s">
        <v>353</v>
      </c>
      <c r="B302" s="8" t="str">
        <f>IF(Table2[[#This Row],[Jenis_Proyek]]="", "Tidak Diketahui", Table2[[#This Row],[Jenis_Proyek]])</f>
        <v>Gedung</v>
      </c>
      <c r="C302" s="8" t="str">
        <f>IF(Table2[[#This Row],[Lokasi]]="", "Tidak Diketahui", Table2[[#This Row],[Lokasi]])</f>
        <v>Depok</v>
      </c>
      <c r="D302" s="8" t="str">
        <f>IF(Table2[[#This Row],[Nama_Proyek]]="", "Tidak Diketahui", Table2[[#This Row],[Nama_Proyek]])</f>
        <v>Perbaikan Gedung Pemerintah Depok</v>
      </c>
      <c r="E302" s="14">
        <v>45138</v>
      </c>
      <c r="F302" s="14">
        <v>45446</v>
      </c>
      <c r="G302" s="10">
        <v>7830031020</v>
      </c>
      <c r="H302" s="8" t="str">
        <f>IF(Table2[[#This Row],[Kontraktor]]="", "Tidak Diketahui",Table2[[#This Row],[Kontraktor]])</f>
        <v>PT. Yuniar Hakim Tbk</v>
      </c>
      <c r="I302" s="11"/>
    </row>
    <row r="303" spans="1:9" ht="14.25" customHeight="1" x14ac:dyDescent="0.35">
      <c r="A303" s="8" t="s">
        <v>354</v>
      </c>
      <c r="B303" s="8" t="str">
        <f>IF(Table2[[#This Row],[Jenis_Proyek]]="", "Tidak Diketahui", Table2[[#This Row],[Jenis_Proyek]])</f>
        <v>Flyover</v>
      </c>
      <c r="C303" s="8" t="str">
        <f>IF(Table2[[#This Row],[Lokasi]]="", "Tidak Diketahui", Table2[[#This Row],[Lokasi]])</f>
        <v>Makassar</v>
      </c>
      <c r="D303" s="8" t="str">
        <f>IF(Table2[[#This Row],[Nama_Proyek]]="", "Tidak Diketahui", Table2[[#This Row],[Nama_Proyek]])</f>
        <v>Pembuatan Flyover Makassar</v>
      </c>
      <c r="E303" s="14">
        <v>45138</v>
      </c>
      <c r="F303" s="14">
        <v>45260</v>
      </c>
      <c r="G303" s="10">
        <v>3767875960</v>
      </c>
      <c r="H303" s="8" t="str">
        <f>IF(Table2[[#This Row],[Kontraktor]]="", "Tidak Diketahui",Table2[[#This Row],[Kontraktor]])</f>
        <v>Tidak Diketahui</v>
      </c>
      <c r="I303" s="11"/>
    </row>
    <row r="304" spans="1:9" ht="14.25" customHeight="1" x14ac:dyDescent="0.35">
      <c r="A304" s="8" t="s">
        <v>355</v>
      </c>
      <c r="B304" s="8" t="str">
        <f>IF(Table2[[#This Row],[Jenis_Proyek]]="", "Tidak Diketahui", Table2[[#This Row],[Jenis_Proyek]])</f>
        <v>Gedung</v>
      </c>
      <c r="C304" s="8" t="str">
        <f>IF(Table2[[#This Row],[Lokasi]]="", "Tidak Diketahui", Table2[[#This Row],[Lokasi]])</f>
        <v>Bandung</v>
      </c>
      <c r="D304" s="8" t="str">
        <f>IF(Table2[[#This Row],[Nama_Proyek]]="", "Tidak Diketahui", Table2[[#This Row],[Nama_Proyek]])</f>
        <v>Perbaikan Gedung Pemerintah Bandung</v>
      </c>
      <c r="E304" s="14">
        <v>45140</v>
      </c>
      <c r="F304" s="14">
        <v>45456</v>
      </c>
      <c r="G304" s="10">
        <v>8403683934</v>
      </c>
      <c r="H304" s="8" t="str">
        <f>IF(Table2[[#This Row],[Kontraktor]]="", "Tidak Diketahui",Table2[[#This Row],[Kontraktor]])</f>
        <v>PT D</v>
      </c>
      <c r="I304" s="11"/>
    </row>
    <row r="305" spans="1:9" ht="14.25" customHeight="1" x14ac:dyDescent="0.35">
      <c r="A305" s="8" t="s">
        <v>356</v>
      </c>
      <c r="B305" s="8" t="str">
        <f>IF(Table2[[#This Row],[Jenis_Proyek]]="", "Tidak Diketahui", Table2[[#This Row],[Jenis_Proyek]])</f>
        <v>Flyover</v>
      </c>
      <c r="C305" s="8" t="str">
        <f>IF(Table2[[#This Row],[Lokasi]]="", "Tidak Diketahui", Table2[[#This Row],[Lokasi]])</f>
        <v>Bandung</v>
      </c>
      <c r="D305" s="8" t="str">
        <f>IF(Table2[[#This Row],[Nama_Proyek]]="", "Tidak Diketahui", Table2[[#This Row],[Nama_Proyek]])</f>
        <v>Perbaikan Flyover Bandung</v>
      </c>
      <c r="E305" s="14">
        <v>45140</v>
      </c>
      <c r="F305" s="14">
        <v>45473</v>
      </c>
      <c r="G305" s="10">
        <v>4381657926</v>
      </c>
      <c r="H305" s="8" t="str">
        <f>IF(Table2[[#This Row],[Kontraktor]]="", "Tidak Diketahui",Table2[[#This Row],[Kontraktor]])</f>
        <v>PT. Yuniar Hakim Tbk</v>
      </c>
      <c r="I305" s="11"/>
    </row>
    <row r="306" spans="1:9" ht="14.25" customHeight="1" x14ac:dyDescent="0.35">
      <c r="A306" s="8" t="s">
        <v>357</v>
      </c>
      <c r="B306" s="8" t="str">
        <f>IF(Table2[[#This Row],[Jenis_Proyek]]="", "Tidak Diketahui", Table2[[#This Row],[Jenis_Proyek]])</f>
        <v>Jembatan</v>
      </c>
      <c r="C306" s="8" t="str">
        <f>IF(Table2[[#This Row],[Lokasi]]="", "Tidak Diketahui", Table2[[#This Row],[Lokasi]])</f>
        <v>Medan</v>
      </c>
      <c r="D306" s="8" t="str">
        <f>IF(Table2[[#This Row],[Nama_Proyek]]="", "Tidak Diketahui", Table2[[#This Row],[Nama_Proyek]])</f>
        <v>Pembuatan Jembatan Medan</v>
      </c>
      <c r="E306" s="14">
        <v>45140</v>
      </c>
      <c r="F306" s="14">
        <v>45487</v>
      </c>
      <c r="G306" s="10">
        <v>1717899076</v>
      </c>
      <c r="H306" s="8" t="str">
        <f>IF(Table2[[#This Row],[Kontraktor]]="", "Tidak Diketahui",Table2[[#This Row],[Kontraktor]])</f>
        <v>CV Sihombing</v>
      </c>
      <c r="I306" s="11"/>
    </row>
    <row r="307" spans="1:9" ht="14.25" customHeight="1" x14ac:dyDescent="0.35">
      <c r="A307" s="8" t="s">
        <v>358</v>
      </c>
      <c r="B307" s="8" t="str">
        <f>IF(Table2[[#This Row],[Jenis_Proyek]]="", "Tidak Diketahui", Table2[[#This Row],[Jenis_Proyek]])</f>
        <v>Jalan Raya</v>
      </c>
      <c r="C307" s="8" t="str">
        <f>IF(Table2[[#This Row],[Lokasi]]="", "Tidak Diketahui", Table2[[#This Row],[Lokasi]])</f>
        <v>Surabaya</v>
      </c>
      <c r="D307" s="8" t="str">
        <f>IF(Table2[[#This Row],[Nama_Proyek]]="", "Tidak Diketahui", Table2[[#This Row],[Nama_Proyek]])</f>
        <v>Perbaikan Jalan Raya Surabaya</v>
      </c>
      <c r="E307" s="14">
        <v>45143</v>
      </c>
      <c r="F307" s="14">
        <v>45201</v>
      </c>
      <c r="G307" s="10">
        <v>231308784</v>
      </c>
      <c r="H307" s="8" t="str">
        <f>IF(Table2[[#This Row],[Kontraktor]]="", "Tidak Diketahui",Table2[[#This Row],[Kontraktor]])</f>
        <v>PT C</v>
      </c>
      <c r="I307" s="11"/>
    </row>
    <row r="308" spans="1:9" ht="14.25" customHeight="1" x14ac:dyDescent="0.35">
      <c r="A308" s="8" t="s">
        <v>359</v>
      </c>
      <c r="B308" s="8" t="str">
        <f>IF(Table2[[#This Row],[Jenis_Proyek]]="", "Tidak Diketahui", Table2[[#This Row],[Jenis_Proyek]])</f>
        <v>Gedung</v>
      </c>
      <c r="C308" s="8" t="str">
        <f>IF(Table2[[#This Row],[Lokasi]]="", "Tidak Diketahui", Table2[[#This Row],[Lokasi]])</f>
        <v>Depok</v>
      </c>
      <c r="D308" s="8" t="str">
        <f>IF(Table2[[#This Row],[Nama_Proyek]]="", "Tidak Diketahui", Table2[[#This Row],[Nama_Proyek]])</f>
        <v>Perbaikan Gedung Pemerintah Depok</v>
      </c>
      <c r="E308" s="14">
        <v>45143</v>
      </c>
      <c r="F308" s="14">
        <v>45254</v>
      </c>
      <c r="G308" s="10">
        <v>1694502492</v>
      </c>
      <c r="H308" s="8" t="str">
        <f>IF(Table2[[#This Row],[Kontraktor]]="", "Tidak Diketahui",Table2[[#This Row],[Kontraktor]])</f>
        <v>PT. Lailasari Hariyah (Persero) Tbk</v>
      </c>
      <c r="I308" s="11"/>
    </row>
    <row r="309" spans="1:9" ht="14.25" customHeight="1" x14ac:dyDescent="0.35">
      <c r="A309" s="8" t="s">
        <v>360</v>
      </c>
      <c r="B309" s="8" t="str">
        <f>IF(Table2[[#This Row],[Jenis_Proyek]]="", "Tidak Diketahui", Table2[[#This Row],[Jenis_Proyek]])</f>
        <v>Gedung</v>
      </c>
      <c r="C309" s="8" t="str">
        <f>IF(Table2[[#This Row],[Lokasi]]="", "Tidak Diketahui", Table2[[#This Row],[Lokasi]])</f>
        <v>Depok</v>
      </c>
      <c r="D309" s="8" t="str">
        <f>IF(Table2[[#This Row],[Nama_Proyek]]="", "Tidak Diketahui", Table2[[#This Row],[Nama_Proyek]])</f>
        <v>Perbaikan Gedung Pemerintah Depok</v>
      </c>
      <c r="E309" s="14">
        <v>45144</v>
      </c>
      <c r="F309" s="14">
        <v>45215</v>
      </c>
      <c r="G309" s="10">
        <v>6044403214</v>
      </c>
      <c r="H309" s="8" t="str">
        <f>IF(Table2[[#This Row],[Kontraktor]]="", "Tidak Diketahui",Table2[[#This Row],[Kontraktor]])</f>
        <v>PT C</v>
      </c>
      <c r="I309" s="11"/>
    </row>
    <row r="310" spans="1:9" ht="14.25" customHeight="1" x14ac:dyDescent="0.35">
      <c r="A310" s="8" t="s">
        <v>361</v>
      </c>
      <c r="B310" s="8" t="str">
        <f>IF(Table2[[#This Row],[Jenis_Proyek]]="", "Tidak Diketahui", Table2[[#This Row],[Jenis_Proyek]])</f>
        <v>Flyover</v>
      </c>
      <c r="C310" s="8" t="str">
        <f>IF(Table2[[#This Row],[Lokasi]]="", "Tidak Diketahui", Table2[[#This Row],[Lokasi]])</f>
        <v>Jakarta</v>
      </c>
      <c r="D310" s="8" t="str">
        <f>IF(Table2[[#This Row],[Nama_Proyek]]="", "Tidak Diketahui", Table2[[#This Row],[Nama_Proyek]])</f>
        <v>Pembuatan Flyover Jakarta</v>
      </c>
      <c r="E310" s="14">
        <v>45144</v>
      </c>
      <c r="F310" s="14">
        <v>45187</v>
      </c>
      <c r="G310" s="10">
        <v>4486128429</v>
      </c>
      <c r="H310" s="8" t="str">
        <f>IF(Table2[[#This Row],[Kontraktor]]="", "Tidak Diketahui",Table2[[#This Row],[Kontraktor]])</f>
        <v>Tidak Diketahui</v>
      </c>
      <c r="I310" s="11"/>
    </row>
    <row r="311" spans="1:9" ht="14.25" customHeight="1" x14ac:dyDescent="0.35">
      <c r="A311" s="8" t="s">
        <v>362</v>
      </c>
      <c r="B311" s="8" t="str">
        <f>IF(Table2[[#This Row],[Jenis_Proyek]]="", "Tidak Diketahui", Table2[[#This Row],[Jenis_Proyek]])</f>
        <v>Jalan Raya</v>
      </c>
      <c r="C311" s="8" t="str">
        <f>IF(Table2[[#This Row],[Lokasi]]="", "Tidak Diketahui", Table2[[#This Row],[Lokasi]])</f>
        <v>Medan</v>
      </c>
      <c r="D311" s="8" t="str">
        <f>IF(Table2[[#This Row],[Nama_Proyek]]="", "Tidak Diketahui", Table2[[#This Row],[Nama_Proyek]])</f>
        <v>Perbaikan Jalan Raya Medan</v>
      </c>
      <c r="E311" s="14">
        <v>45145</v>
      </c>
      <c r="F311" s="14">
        <v>45397</v>
      </c>
      <c r="G311" s="10">
        <v>873718114</v>
      </c>
      <c r="H311" s="8" t="str">
        <f>IF(Table2[[#This Row],[Kontraktor]]="", "Tidak Diketahui",Table2[[#This Row],[Kontraktor]])</f>
        <v>CV Sihombing</v>
      </c>
      <c r="I311" s="11"/>
    </row>
    <row r="312" spans="1:9" ht="14.25" customHeight="1" x14ac:dyDescent="0.35">
      <c r="A312" s="8" t="s">
        <v>363</v>
      </c>
      <c r="B312" s="8" t="str">
        <f>IF(Table2[[#This Row],[Jenis_Proyek]]="", "Tidak Diketahui", Table2[[#This Row],[Jenis_Proyek]])</f>
        <v>Drainase</v>
      </c>
      <c r="C312" s="8" t="str">
        <f>IF(Table2[[#This Row],[Lokasi]]="", "Tidak Diketahui", Table2[[#This Row],[Lokasi]])</f>
        <v>Jakarta</v>
      </c>
      <c r="D312" s="8" t="str">
        <f>IF(Table2[[#This Row],[Nama_Proyek]]="", "Tidak Diketahui", Table2[[#This Row],[Nama_Proyek]])</f>
        <v>Perbaikan Drainase Jakarta</v>
      </c>
      <c r="E312" s="14">
        <v>45147</v>
      </c>
      <c r="F312" s="14">
        <v>45343</v>
      </c>
      <c r="G312" s="10">
        <v>230467768</v>
      </c>
      <c r="H312" s="8" t="str">
        <f>IF(Table2[[#This Row],[Kontraktor]]="", "Tidak Diketahui",Table2[[#This Row],[Kontraktor]])</f>
        <v>PT B</v>
      </c>
      <c r="I312" s="11"/>
    </row>
    <row r="313" spans="1:9" ht="14.25" customHeight="1" x14ac:dyDescent="0.35">
      <c r="A313" s="8" t="s">
        <v>364</v>
      </c>
      <c r="B313" s="8" t="str">
        <f>IF(Table2[[#This Row],[Jenis_Proyek]]="", "Tidak Diketahui", Table2[[#This Row],[Jenis_Proyek]])</f>
        <v>Jalan Raya</v>
      </c>
      <c r="C313" s="8" t="str">
        <f>IF(Table2[[#This Row],[Lokasi]]="", "Tidak Diketahui", Table2[[#This Row],[Lokasi]])</f>
        <v>Bandung</v>
      </c>
      <c r="D313" s="8" t="str">
        <f>IF(Table2[[#This Row],[Nama_Proyek]]="", "Tidak Diketahui", Table2[[#This Row],[Nama_Proyek]])</f>
        <v>Perbaikan Jalan Raya Bandung</v>
      </c>
      <c r="E313" s="14">
        <v>45148</v>
      </c>
      <c r="F313" s="14">
        <v>45259</v>
      </c>
      <c r="G313" s="10">
        <v>688191398</v>
      </c>
      <c r="H313" s="8" t="str">
        <f>IF(Table2[[#This Row],[Kontraktor]]="", "Tidak Diketahui",Table2[[#This Row],[Kontraktor]])</f>
        <v>CV Sihombing</v>
      </c>
      <c r="I313" s="11"/>
    </row>
    <row r="314" spans="1:9" ht="14.25" customHeight="1" x14ac:dyDescent="0.35">
      <c r="A314" s="8" t="s">
        <v>365</v>
      </c>
      <c r="B314" s="8" t="str">
        <f>IF(Table2[[#This Row],[Jenis_Proyek]]="", "Tidak Diketahui", Table2[[#This Row],[Jenis_Proyek]])</f>
        <v>Gedung</v>
      </c>
      <c r="C314" s="8" t="str">
        <f>IF(Table2[[#This Row],[Lokasi]]="", "Tidak Diketahui", Table2[[#This Row],[Lokasi]])</f>
        <v>Bandung</v>
      </c>
      <c r="D314" s="8" t="str">
        <f>IF(Table2[[#This Row],[Nama_Proyek]]="", "Tidak Diketahui", Table2[[#This Row],[Nama_Proyek]])</f>
        <v>Perbaikan Gedung Pemerintah Bandung</v>
      </c>
      <c r="E314" s="14">
        <v>45149</v>
      </c>
      <c r="F314" s="14">
        <v>45285</v>
      </c>
      <c r="G314" s="10">
        <v>2697606072</v>
      </c>
      <c r="H314" s="8" t="str">
        <f>IF(Table2[[#This Row],[Kontraktor]]="", "Tidak Diketahui",Table2[[#This Row],[Kontraktor]])</f>
        <v>CV Sihombing</v>
      </c>
      <c r="I314" s="11"/>
    </row>
    <row r="315" spans="1:9" ht="14.25" customHeight="1" x14ac:dyDescent="0.35">
      <c r="A315" s="8" t="s">
        <v>366</v>
      </c>
      <c r="B315" s="8" t="str">
        <f>IF(Table2[[#This Row],[Jenis_Proyek]]="", "Tidak Diketahui", Table2[[#This Row],[Jenis_Proyek]])</f>
        <v>Jalan Raya</v>
      </c>
      <c r="C315" s="8" t="str">
        <f>IF(Table2[[#This Row],[Lokasi]]="", "Tidak Diketahui", Table2[[#This Row],[Lokasi]])</f>
        <v>Jakarta</v>
      </c>
      <c r="D315" s="8" t="str">
        <f>IF(Table2[[#This Row],[Nama_Proyek]]="", "Tidak Diketahui", Table2[[#This Row],[Nama_Proyek]])</f>
        <v>Perbaikan Jalan Raya Jakarta</v>
      </c>
      <c r="E315" s="14">
        <v>45151</v>
      </c>
      <c r="F315" s="14">
        <v>45311</v>
      </c>
      <c r="G315" s="10">
        <v>990744889</v>
      </c>
      <c r="H315" s="8" t="str">
        <f>IF(Table2[[#This Row],[Kontraktor]]="", "Tidak Diketahui",Table2[[#This Row],[Kontraktor]])</f>
        <v>PT. Lailasari Hariyah (Persero) Tbk</v>
      </c>
      <c r="I315" s="11"/>
    </row>
    <row r="316" spans="1:9" ht="14.25" customHeight="1" x14ac:dyDescent="0.35">
      <c r="A316" s="8" t="s">
        <v>367</v>
      </c>
      <c r="B316" s="8" t="str">
        <f>IF(Table2[[#This Row],[Jenis_Proyek]]="", "Tidak Diketahui", Table2[[#This Row],[Jenis_Proyek]])</f>
        <v>Jembatan</v>
      </c>
      <c r="C316" s="8" t="str">
        <f>IF(Table2[[#This Row],[Lokasi]]="", "Tidak Diketahui", Table2[[#This Row],[Lokasi]])</f>
        <v>Bandung</v>
      </c>
      <c r="D316" s="8" t="str">
        <f>IF(Table2[[#This Row],[Nama_Proyek]]="", "Tidak Diketahui", Table2[[#This Row],[Nama_Proyek]])</f>
        <v>Pembuatan Jembatan Bandung</v>
      </c>
      <c r="E316" s="14">
        <v>45153</v>
      </c>
      <c r="F316" s="14">
        <v>45342</v>
      </c>
      <c r="G316" s="10">
        <v>3212613392</v>
      </c>
      <c r="H316" s="8" t="str">
        <f>IF(Table2[[#This Row],[Kontraktor]]="", "Tidak Diketahui",Table2[[#This Row],[Kontraktor]])</f>
        <v>PT A</v>
      </c>
      <c r="I316" s="11"/>
    </row>
    <row r="317" spans="1:9" ht="14.25" customHeight="1" x14ac:dyDescent="0.35">
      <c r="A317" s="8" t="s">
        <v>368</v>
      </c>
      <c r="B317" s="8" t="str">
        <f>IF(Table2[[#This Row],[Jenis_Proyek]]="", "Tidak Diketahui", Table2[[#This Row],[Jenis_Proyek]])</f>
        <v>Jembatan</v>
      </c>
      <c r="C317" s="8" t="str">
        <f>IF(Table2[[#This Row],[Lokasi]]="", "Tidak Diketahui", Table2[[#This Row],[Lokasi]])</f>
        <v>Makassar</v>
      </c>
      <c r="D317" s="8" t="str">
        <f>IF(Table2[[#This Row],[Nama_Proyek]]="", "Tidak Diketahui", Table2[[#This Row],[Nama_Proyek]])</f>
        <v>Pembuatan Jembatan Makassar</v>
      </c>
      <c r="E317" s="14">
        <v>45154</v>
      </c>
      <c r="F317" s="14">
        <v>45311</v>
      </c>
      <c r="G317" s="10">
        <v>843044899</v>
      </c>
      <c r="H317" s="8" t="str">
        <f>IF(Table2[[#This Row],[Kontraktor]]="", "Tidak Diketahui",Table2[[#This Row],[Kontraktor]])</f>
        <v>PT. Lailasari Hariyah (Persero) Tbk</v>
      </c>
      <c r="I317" s="11"/>
    </row>
    <row r="318" spans="1:9" ht="14.25" customHeight="1" x14ac:dyDescent="0.35">
      <c r="A318" s="8" t="s">
        <v>369</v>
      </c>
      <c r="B318" s="8" t="str">
        <f>IF(Table2[[#This Row],[Jenis_Proyek]]="", "Tidak Diketahui", Table2[[#This Row],[Jenis_Proyek]])</f>
        <v>Drainase</v>
      </c>
      <c r="C318" s="8" t="str">
        <f>IF(Table2[[#This Row],[Lokasi]]="", "Tidak Diketahui", Table2[[#This Row],[Lokasi]])</f>
        <v>Tomohon</v>
      </c>
      <c r="D318" s="8" t="str">
        <f>IF(Table2[[#This Row],[Nama_Proyek]]="", "Tidak Diketahui", Table2[[#This Row],[Nama_Proyek]])</f>
        <v>Perbaikan Drainase Tomohon</v>
      </c>
      <c r="E318" s="14">
        <v>45154</v>
      </c>
      <c r="F318" s="14">
        <v>45341</v>
      </c>
      <c r="G318" s="10">
        <v>442886883</v>
      </c>
      <c r="H318" s="8" t="str">
        <f>IF(Table2[[#This Row],[Kontraktor]]="", "Tidak Diketahui",Table2[[#This Row],[Kontraktor]])</f>
        <v>Tidak Diketahui</v>
      </c>
      <c r="I318" s="11"/>
    </row>
    <row r="319" spans="1:9" ht="14.25" customHeight="1" x14ac:dyDescent="0.35">
      <c r="A319" s="8" t="s">
        <v>370</v>
      </c>
      <c r="B319" s="8" t="str">
        <f>IF(Table2[[#This Row],[Jenis_Proyek]]="", "Tidak Diketahui", Table2[[#This Row],[Jenis_Proyek]])</f>
        <v>Gedung</v>
      </c>
      <c r="C319" s="8" t="str">
        <f>IF(Table2[[#This Row],[Lokasi]]="", "Tidak Diketahui", Table2[[#This Row],[Lokasi]])</f>
        <v>Depok</v>
      </c>
      <c r="D319" s="8" t="str">
        <f>IF(Table2[[#This Row],[Nama_Proyek]]="", "Tidak Diketahui", Table2[[#This Row],[Nama_Proyek]])</f>
        <v>Perbaikan Gedung Pemerintah Depok</v>
      </c>
      <c r="E319" s="14">
        <v>45155</v>
      </c>
      <c r="F319" s="14">
        <v>45382</v>
      </c>
      <c r="G319" s="10">
        <v>8993425036</v>
      </c>
      <c r="H319" s="8" t="str">
        <f>IF(Table2[[#This Row],[Kontraktor]]="", "Tidak Diketahui",Table2[[#This Row],[Kontraktor]])</f>
        <v>PT D</v>
      </c>
      <c r="I319" s="11"/>
    </row>
    <row r="320" spans="1:9" ht="14.25" customHeight="1" x14ac:dyDescent="0.35">
      <c r="A320" s="8" t="s">
        <v>371</v>
      </c>
      <c r="B320" s="8" t="str">
        <f>IF(Table2[[#This Row],[Jenis_Proyek]]="", "Tidak Diketahui", Table2[[#This Row],[Jenis_Proyek]])</f>
        <v>Gedung</v>
      </c>
      <c r="C320" s="8" t="str">
        <f>IF(Table2[[#This Row],[Lokasi]]="", "Tidak Diketahui", Table2[[#This Row],[Lokasi]])</f>
        <v>Bandung</v>
      </c>
      <c r="D320" s="8" t="str">
        <f>IF(Table2[[#This Row],[Nama_Proyek]]="", "Tidak Diketahui", Table2[[#This Row],[Nama_Proyek]])</f>
        <v>Perbaikan Gedung Pemerintah Bandung</v>
      </c>
      <c r="E320" s="14">
        <v>45157</v>
      </c>
      <c r="F320" s="14">
        <v>45222</v>
      </c>
      <c r="G320" s="10">
        <v>4764842863</v>
      </c>
      <c r="H320" s="8" t="str">
        <f>IF(Table2[[#This Row],[Kontraktor]]="", "Tidak Diketahui",Table2[[#This Row],[Kontraktor]])</f>
        <v>PT A</v>
      </c>
      <c r="I320" s="11"/>
    </row>
    <row r="321" spans="1:9" ht="14.25" customHeight="1" x14ac:dyDescent="0.35">
      <c r="A321" s="8" t="s">
        <v>372</v>
      </c>
      <c r="B321" s="8" t="str">
        <f>IF(Table2[[#This Row],[Jenis_Proyek]]="", "Tidak Diketahui", Table2[[#This Row],[Jenis_Proyek]])</f>
        <v>Jalan Raya</v>
      </c>
      <c r="C321" s="8" t="str">
        <f>IF(Table2[[#This Row],[Lokasi]]="", "Tidak Diketahui", Table2[[#This Row],[Lokasi]])</f>
        <v>Medan</v>
      </c>
      <c r="D321" s="8" t="str">
        <f>IF(Table2[[#This Row],[Nama_Proyek]]="", "Tidak Diketahui", Table2[[#This Row],[Nama_Proyek]])</f>
        <v>Perbaikan Jalan Raya Medan</v>
      </c>
      <c r="E321" s="14">
        <v>45157</v>
      </c>
      <c r="F321" s="14">
        <v>45305</v>
      </c>
      <c r="G321" s="10">
        <v>616245876</v>
      </c>
      <c r="H321" s="8" t="str">
        <f>IF(Table2[[#This Row],[Kontraktor]]="", "Tidak Diketahui",Table2[[#This Row],[Kontraktor]])</f>
        <v>Tidak Diketahui</v>
      </c>
      <c r="I321" s="11"/>
    </row>
    <row r="322" spans="1:9" ht="14.25" customHeight="1" x14ac:dyDescent="0.35">
      <c r="A322" s="8" t="s">
        <v>373</v>
      </c>
      <c r="B322" s="8" t="str">
        <f>IF(Table2[[#This Row],[Jenis_Proyek]]="", "Tidak Diketahui", Table2[[#This Row],[Jenis_Proyek]])</f>
        <v>Flyover</v>
      </c>
      <c r="C322" s="8" t="str">
        <f>IF(Table2[[#This Row],[Lokasi]]="", "Tidak Diketahui", Table2[[#This Row],[Lokasi]])</f>
        <v>Makassar</v>
      </c>
      <c r="D322" s="8" t="str">
        <f>IF(Table2[[#This Row],[Nama_Proyek]]="", "Tidak Diketahui", Table2[[#This Row],[Nama_Proyek]])</f>
        <v>Pembuatan Flyover Makassar</v>
      </c>
      <c r="E322" s="14">
        <v>45158</v>
      </c>
      <c r="F322" s="14">
        <v>45284</v>
      </c>
      <c r="G322" s="10">
        <v>2466228274</v>
      </c>
      <c r="H322" s="8" t="str">
        <f>IF(Table2[[#This Row],[Kontraktor]]="", "Tidak Diketahui",Table2[[#This Row],[Kontraktor]])</f>
        <v>PT. Yuniar Hakim Tbk</v>
      </c>
      <c r="I322" s="11"/>
    </row>
    <row r="323" spans="1:9" ht="14.25" customHeight="1" x14ac:dyDescent="0.35">
      <c r="A323" s="8" t="s">
        <v>374</v>
      </c>
      <c r="B323" s="8" t="str">
        <f>IF(Table2[[#This Row],[Jenis_Proyek]]="", "Tidak Diketahui", Table2[[#This Row],[Jenis_Proyek]])</f>
        <v>Flyover</v>
      </c>
      <c r="C323" s="8" t="str">
        <f>IF(Table2[[#This Row],[Lokasi]]="", "Tidak Diketahui", Table2[[#This Row],[Lokasi]])</f>
        <v>Bau-Bau</v>
      </c>
      <c r="D323" s="8" t="str">
        <f>IF(Table2[[#This Row],[Nama_Proyek]]="", "Tidak Diketahui", Table2[[#This Row],[Nama_Proyek]])</f>
        <v>Pembuatan Flyover Bau-Bau</v>
      </c>
      <c r="E323" s="14">
        <v>45159</v>
      </c>
      <c r="F323" s="14">
        <v>45378</v>
      </c>
      <c r="G323" s="10">
        <v>3270114898</v>
      </c>
      <c r="H323" s="8" t="str">
        <f>IF(Table2[[#This Row],[Kontraktor]]="", "Tidak Diketahui",Table2[[#This Row],[Kontraktor]])</f>
        <v>PT D</v>
      </c>
      <c r="I323" s="11"/>
    </row>
    <row r="324" spans="1:9" ht="14.25" customHeight="1" x14ac:dyDescent="0.35">
      <c r="A324" s="8" t="s">
        <v>375</v>
      </c>
      <c r="B324" s="8" t="str">
        <f>IF(Table2[[#This Row],[Jenis_Proyek]]="", "Tidak Diketahui", Table2[[#This Row],[Jenis_Proyek]])</f>
        <v>Flyover</v>
      </c>
      <c r="C324" s="8" t="str">
        <f>IF(Table2[[#This Row],[Lokasi]]="", "Tidak Diketahui", Table2[[#This Row],[Lokasi]])</f>
        <v>Depok</v>
      </c>
      <c r="D324" s="8" t="str">
        <f>IF(Table2[[#This Row],[Nama_Proyek]]="", "Tidak Diketahui", Table2[[#This Row],[Nama_Proyek]])</f>
        <v>Perbaikan Flyover Depok</v>
      </c>
      <c r="E324" s="14">
        <v>45159</v>
      </c>
      <c r="F324" s="14">
        <v>45272</v>
      </c>
      <c r="G324" s="10">
        <v>2841617618</v>
      </c>
      <c r="H324" s="8" t="str">
        <f>IF(Table2[[#This Row],[Kontraktor]]="", "Tidak Diketahui",Table2[[#This Row],[Kontraktor]])</f>
        <v>PT D</v>
      </c>
      <c r="I324" s="11"/>
    </row>
    <row r="325" spans="1:9" ht="14.25" customHeight="1" x14ac:dyDescent="0.35">
      <c r="A325" s="8" t="s">
        <v>376</v>
      </c>
      <c r="B325" s="8" t="str">
        <f>IF(Table2[[#This Row],[Jenis_Proyek]]="", "Tidak Diketahui", Table2[[#This Row],[Jenis_Proyek]])</f>
        <v>Flyover</v>
      </c>
      <c r="C325" s="8" t="str">
        <f>IF(Table2[[#This Row],[Lokasi]]="", "Tidak Diketahui", Table2[[#This Row],[Lokasi]])</f>
        <v>Depok</v>
      </c>
      <c r="D325" s="8" t="str">
        <f>IF(Table2[[#This Row],[Nama_Proyek]]="", "Tidak Diketahui", Table2[[#This Row],[Nama_Proyek]])</f>
        <v>Perbaikan Flyover Depok</v>
      </c>
      <c r="E325" s="14">
        <v>45160</v>
      </c>
      <c r="F325" s="14">
        <v>45415</v>
      </c>
      <c r="G325" s="10">
        <v>2178901994</v>
      </c>
      <c r="H325" s="8" t="str">
        <f>IF(Table2[[#This Row],[Kontraktor]]="", "Tidak Diketahui",Table2[[#This Row],[Kontraktor]])</f>
        <v>Tidak Diketahui</v>
      </c>
      <c r="I325" s="11"/>
    </row>
    <row r="326" spans="1:9" ht="14.25" customHeight="1" x14ac:dyDescent="0.35">
      <c r="A326" s="8" t="s">
        <v>377</v>
      </c>
      <c r="B326" s="8" t="str">
        <f>IF(Table2[[#This Row],[Jenis_Proyek]]="", "Tidak Diketahui", Table2[[#This Row],[Jenis_Proyek]])</f>
        <v>Gedung</v>
      </c>
      <c r="C326" s="8" t="str">
        <f>IF(Table2[[#This Row],[Lokasi]]="", "Tidak Diketahui", Table2[[#This Row],[Lokasi]])</f>
        <v>Bau-Bau</v>
      </c>
      <c r="D326" s="8" t="str">
        <f>IF(Table2[[#This Row],[Nama_Proyek]]="", "Tidak Diketahui", Table2[[#This Row],[Nama_Proyek]])</f>
        <v>Perbaikan Gedung Pemerintah Bau-Bau</v>
      </c>
      <c r="E326" s="14">
        <v>45160</v>
      </c>
      <c r="F326" s="14">
        <v>45496</v>
      </c>
      <c r="G326" s="10">
        <v>4033563886</v>
      </c>
      <c r="H326" s="8" t="str">
        <f>IF(Table2[[#This Row],[Kontraktor]]="", "Tidak Diketahui",Table2[[#This Row],[Kontraktor]])</f>
        <v>Tidak Diketahui</v>
      </c>
      <c r="I326" s="11"/>
    </row>
    <row r="327" spans="1:9" ht="14.25" customHeight="1" x14ac:dyDescent="0.35">
      <c r="A327" s="8" t="s">
        <v>378</v>
      </c>
      <c r="B327" s="8" t="str">
        <f>IF(Table2[[#This Row],[Jenis_Proyek]]="", "Tidak Diketahui", Table2[[#This Row],[Jenis_Proyek]])</f>
        <v>Jembatan</v>
      </c>
      <c r="C327" s="8" t="str">
        <f>IF(Table2[[#This Row],[Lokasi]]="", "Tidak Diketahui", Table2[[#This Row],[Lokasi]])</f>
        <v>Depok</v>
      </c>
      <c r="D327" s="8" t="str">
        <f>IF(Table2[[#This Row],[Nama_Proyek]]="", "Tidak Diketahui", Table2[[#This Row],[Nama_Proyek]])</f>
        <v>Perbaikan Jembatan Depok</v>
      </c>
      <c r="E327" s="14">
        <v>45160</v>
      </c>
      <c r="F327" s="14">
        <v>45197</v>
      </c>
      <c r="G327" s="10">
        <v>965725164</v>
      </c>
      <c r="H327" s="8" t="str">
        <f>IF(Table2[[#This Row],[Kontraktor]]="", "Tidak Diketahui",Table2[[#This Row],[Kontraktor]])</f>
        <v>Tidak Diketahui</v>
      </c>
      <c r="I327" s="11"/>
    </row>
    <row r="328" spans="1:9" ht="14.25" customHeight="1" x14ac:dyDescent="0.35">
      <c r="A328" s="8" t="s">
        <v>379</v>
      </c>
      <c r="B328" s="8" t="str">
        <f>IF(Table2[[#This Row],[Jenis_Proyek]]="", "Tidak Diketahui", Table2[[#This Row],[Jenis_Proyek]])</f>
        <v>Jalan Raya</v>
      </c>
      <c r="C328" s="8" t="str">
        <f>IF(Table2[[#This Row],[Lokasi]]="", "Tidak Diketahui", Table2[[#This Row],[Lokasi]])</f>
        <v>Depok</v>
      </c>
      <c r="D328" s="8" t="str">
        <f>IF(Table2[[#This Row],[Nama_Proyek]]="", "Tidak Diketahui", Table2[[#This Row],[Nama_Proyek]])</f>
        <v>Perbaikan Jalan Raya Depok</v>
      </c>
      <c r="E328" s="14">
        <v>45161</v>
      </c>
      <c r="F328" s="14">
        <v>45199</v>
      </c>
      <c r="G328" s="10">
        <v>647397365</v>
      </c>
      <c r="H328" s="8" t="str">
        <f>IF(Table2[[#This Row],[Kontraktor]]="", "Tidak Diketahui",Table2[[#This Row],[Kontraktor]])</f>
        <v>PT D</v>
      </c>
      <c r="I328" s="11"/>
    </row>
    <row r="329" spans="1:9" ht="14.25" customHeight="1" x14ac:dyDescent="0.35">
      <c r="A329" s="8" t="s">
        <v>380</v>
      </c>
      <c r="B329" s="8" t="str">
        <f>IF(Table2[[#This Row],[Jenis_Proyek]]="", "Tidak Diketahui", Table2[[#This Row],[Jenis_Proyek]])</f>
        <v>Jembatan</v>
      </c>
      <c r="C329" s="8" t="str">
        <f>IF(Table2[[#This Row],[Lokasi]]="", "Tidak Diketahui", Table2[[#This Row],[Lokasi]])</f>
        <v>Depok</v>
      </c>
      <c r="D329" s="8" t="str">
        <f>IF(Table2[[#This Row],[Nama_Proyek]]="", "Tidak Diketahui", Table2[[#This Row],[Nama_Proyek]])</f>
        <v>Perbaikan Jembatan Depok</v>
      </c>
      <c r="E329" s="14">
        <v>45161</v>
      </c>
      <c r="F329" s="14">
        <v>45466</v>
      </c>
      <c r="G329" s="10">
        <v>775460621</v>
      </c>
      <c r="H329" s="8" t="str">
        <f>IF(Table2[[#This Row],[Kontraktor]]="", "Tidak Diketahui",Table2[[#This Row],[Kontraktor]])</f>
        <v>PT. Lailasari Hariyah (Persero) Tbk</v>
      </c>
      <c r="I329" s="11"/>
    </row>
    <row r="330" spans="1:9" ht="14.25" customHeight="1" x14ac:dyDescent="0.35">
      <c r="A330" s="8" t="s">
        <v>381</v>
      </c>
      <c r="B330" s="8" t="str">
        <f>IF(Table2[[#This Row],[Jenis_Proyek]]="", "Tidak Diketahui", Table2[[#This Row],[Jenis_Proyek]])</f>
        <v>Gedung</v>
      </c>
      <c r="C330" s="8" t="str">
        <f>IF(Table2[[#This Row],[Lokasi]]="", "Tidak Diketahui", Table2[[#This Row],[Lokasi]])</f>
        <v>Jakarta</v>
      </c>
      <c r="D330" s="8" t="str">
        <f>IF(Table2[[#This Row],[Nama_Proyek]]="", "Tidak Diketahui", Table2[[#This Row],[Nama_Proyek]])</f>
        <v>Perbaikan Gedung Pemerintah Jakarta</v>
      </c>
      <c r="E330" s="14">
        <v>45162</v>
      </c>
      <c r="F330" s="14">
        <v>45516</v>
      </c>
      <c r="G330" s="10">
        <v>7165201683</v>
      </c>
      <c r="H330" s="8" t="str">
        <f>IF(Table2[[#This Row],[Kontraktor]]="", "Tidak Diketahui",Table2[[#This Row],[Kontraktor]])</f>
        <v>CV Sihombing</v>
      </c>
      <c r="I330" s="11"/>
    </row>
    <row r="331" spans="1:9" ht="14.25" customHeight="1" x14ac:dyDescent="0.35">
      <c r="A331" s="8" t="s">
        <v>382</v>
      </c>
      <c r="B331" s="8" t="str">
        <f>IF(Table2[[#This Row],[Jenis_Proyek]]="", "Tidak Diketahui", Table2[[#This Row],[Jenis_Proyek]])</f>
        <v>Drainase</v>
      </c>
      <c r="C331" s="8" t="str">
        <f>IF(Table2[[#This Row],[Lokasi]]="", "Tidak Diketahui", Table2[[#This Row],[Lokasi]])</f>
        <v>Surabaya</v>
      </c>
      <c r="D331" s="8" t="str">
        <f>IF(Table2[[#This Row],[Nama_Proyek]]="", "Tidak Diketahui", Table2[[#This Row],[Nama_Proyek]])</f>
        <v>Perbaikan Drainase Surabaya</v>
      </c>
      <c r="E331" s="14">
        <v>45162</v>
      </c>
      <c r="F331" s="14">
        <v>45254</v>
      </c>
      <c r="G331" s="10">
        <v>557418865</v>
      </c>
      <c r="H331" s="8" t="str">
        <f>IF(Table2[[#This Row],[Kontraktor]]="", "Tidak Diketahui",Table2[[#This Row],[Kontraktor]])</f>
        <v>Tidak Diketahui</v>
      </c>
      <c r="I331" s="11"/>
    </row>
    <row r="332" spans="1:9" ht="14.25" customHeight="1" x14ac:dyDescent="0.35">
      <c r="A332" s="8" t="s">
        <v>383</v>
      </c>
      <c r="B332" s="8" t="str">
        <f>IF(Table2[[#This Row],[Jenis_Proyek]]="", "Tidak Diketahui", Table2[[#This Row],[Jenis_Proyek]])</f>
        <v>Gedung</v>
      </c>
      <c r="C332" s="8" t="str">
        <f>IF(Table2[[#This Row],[Lokasi]]="", "Tidak Diketahui", Table2[[#This Row],[Lokasi]])</f>
        <v>Surabaya</v>
      </c>
      <c r="D332" s="8" t="str">
        <f>IF(Table2[[#This Row],[Nama_Proyek]]="", "Tidak Diketahui", Table2[[#This Row],[Nama_Proyek]])</f>
        <v>Perbaikan Gedung Pemerintah Surabaya</v>
      </c>
      <c r="E332" s="14">
        <v>45163</v>
      </c>
      <c r="F332" s="14">
        <v>45219</v>
      </c>
      <c r="G332" s="10">
        <v>4732793482</v>
      </c>
      <c r="H332" s="8" t="str">
        <f>IF(Table2[[#This Row],[Kontraktor]]="", "Tidak Diketahui",Table2[[#This Row],[Kontraktor]])</f>
        <v>PT B</v>
      </c>
      <c r="I332" s="11"/>
    </row>
    <row r="333" spans="1:9" ht="14.25" customHeight="1" x14ac:dyDescent="0.35">
      <c r="A333" s="8" t="s">
        <v>384</v>
      </c>
      <c r="B333" s="8" t="str">
        <f>IF(Table2[[#This Row],[Jenis_Proyek]]="", "Tidak Diketahui", Table2[[#This Row],[Jenis_Proyek]])</f>
        <v>Jembatan</v>
      </c>
      <c r="C333" s="8" t="str">
        <f>IF(Table2[[#This Row],[Lokasi]]="", "Tidak Diketahui", Table2[[#This Row],[Lokasi]])</f>
        <v>Jakarta</v>
      </c>
      <c r="D333" s="8" t="str">
        <f>IF(Table2[[#This Row],[Nama_Proyek]]="", "Tidak Diketahui", Table2[[#This Row],[Nama_Proyek]])</f>
        <v>Pembuatan Jembatan Jakarta</v>
      </c>
      <c r="E333" s="14">
        <v>45163</v>
      </c>
      <c r="F333" s="14">
        <v>45258</v>
      </c>
      <c r="G333" s="10">
        <v>2993133974</v>
      </c>
      <c r="H333" s="8" t="str">
        <f>IF(Table2[[#This Row],[Kontraktor]]="", "Tidak Diketahui",Table2[[#This Row],[Kontraktor]])</f>
        <v>PT B</v>
      </c>
      <c r="I333" s="11"/>
    </row>
    <row r="334" spans="1:9" ht="14.25" customHeight="1" x14ac:dyDescent="0.35">
      <c r="A334" s="8" t="s">
        <v>385</v>
      </c>
      <c r="B334" s="8" t="str">
        <f>IF(Table2[[#This Row],[Jenis_Proyek]]="", "Tidak Diketahui", Table2[[#This Row],[Jenis_Proyek]])</f>
        <v>Flyover</v>
      </c>
      <c r="C334" s="8" t="str">
        <f>IF(Table2[[#This Row],[Lokasi]]="", "Tidak Diketahui", Table2[[#This Row],[Lokasi]])</f>
        <v>Tomohon</v>
      </c>
      <c r="D334" s="8" t="str">
        <f>IF(Table2[[#This Row],[Nama_Proyek]]="", "Tidak Diketahui", Table2[[#This Row],[Nama_Proyek]])</f>
        <v>Pembuatan Flyover Tomohon</v>
      </c>
      <c r="E334" s="14">
        <v>45164</v>
      </c>
      <c r="F334" s="14">
        <v>45456</v>
      </c>
      <c r="G334" s="10">
        <v>4720470438</v>
      </c>
      <c r="H334" s="8" t="str">
        <f>IF(Table2[[#This Row],[Kontraktor]]="", "Tidak Diketahui",Table2[[#This Row],[Kontraktor]])</f>
        <v>PT C</v>
      </c>
      <c r="I334" s="11"/>
    </row>
    <row r="335" spans="1:9" ht="14.25" customHeight="1" x14ac:dyDescent="0.35">
      <c r="A335" s="8" t="s">
        <v>386</v>
      </c>
      <c r="B335" s="8" t="str">
        <f>IF(Table2[[#This Row],[Jenis_Proyek]]="", "Tidak Diketahui", Table2[[#This Row],[Jenis_Proyek]])</f>
        <v>Jembatan</v>
      </c>
      <c r="C335" s="8" t="str">
        <f>IF(Table2[[#This Row],[Lokasi]]="", "Tidak Diketahui", Table2[[#This Row],[Lokasi]])</f>
        <v>Bau-Bau</v>
      </c>
      <c r="D335" s="8" t="str">
        <f>IF(Table2[[#This Row],[Nama_Proyek]]="", "Tidak Diketahui", Table2[[#This Row],[Nama_Proyek]])</f>
        <v>Perbaikan Jembatan Bau-Bau</v>
      </c>
      <c r="E335" s="14">
        <v>45167</v>
      </c>
      <c r="F335" s="14">
        <v>45453</v>
      </c>
      <c r="G335" s="10">
        <v>3999421618</v>
      </c>
      <c r="H335" s="8" t="str">
        <f>IF(Table2[[#This Row],[Kontraktor]]="", "Tidak Diketahui",Table2[[#This Row],[Kontraktor]])</f>
        <v>PT B</v>
      </c>
      <c r="I335" s="11"/>
    </row>
    <row r="336" spans="1:9" ht="14.25" customHeight="1" x14ac:dyDescent="0.35">
      <c r="A336" s="8" t="s">
        <v>387</v>
      </c>
      <c r="B336" s="8" t="str">
        <f>IF(Table2[[#This Row],[Jenis_Proyek]]="", "Tidak Diketahui", Table2[[#This Row],[Jenis_Proyek]])</f>
        <v>Jembatan</v>
      </c>
      <c r="C336" s="8" t="str">
        <f>IF(Table2[[#This Row],[Lokasi]]="", "Tidak Diketahui", Table2[[#This Row],[Lokasi]])</f>
        <v>Makassar</v>
      </c>
      <c r="D336" s="8" t="str">
        <f>IF(Table2[[#This Row],[Nama_Proyek]]="", "Tidak Diketahui", Table2[[#This Row],[Nama_Proyek]])</f>
        <v>Perbaikan Jembatan Makassar</v>
      </c>
      <c r="E336" s="14">
        <v>45168</v>
      </c>
      <c r="F336" s="14">
        <v>45511</v>
      </c>
      <c r="G336" s="10">
        <v>1118159098</v>
      </c>
      <c r="H336" s="8" t="str">
        <f>IF(Table2[[#This Row],[Kontraktor]]="", "Tidak Diketahui",Table2[[#This Row],[Kontraktor]])</f>
        <v>PT A</v>
      </c>
      <c r="I336" s="11"/>
    </row>
    <row r="337" spans="1:9" ht="14.25" customHeight="1" x14ac:dyDescent="0.35">
      <c r="A337" s="8" t="s">
        <v>388</v>
      </c>
      <c r="B337" s="8" t="str">
        <f>IF(Table2[[#This Row],[Jenis_Proyek]]="", "Tidak Diketahui", Table2[[#This Row],[Jenis_Proyek]])</f>
        <v>Gedung</v>
      </c>
      <c r="C337" s="8" t="str">
        <f>IF(Table2[[#This Row],[Lokasi]]="", "Tidak Diketahui", Table2[[#This Row],[Lokasi]])</f>
        <v>Tomohon</v>
      </c>
      <c r="D337" s="8" t="str">
        <f>IF(Table2[[#This Row],[Nama_Proyek]]="", "Tidak Diketahui", Table2[[#This Row],[Nama_Proyek]])</f>
        <v>Perbaikan Gedung Pemerintah Tomohon</v>
      </c>
      <c r="E337" s="14">
        <v>45168</v>
      </c>
      <c r="F337" s="14">
        <v>45530</v>
      </c>
      <c r="G337" s="10">
        <v>9891638971</v>
      </c>
      <c r="H337" s="8" t="str">
        <f>IF(Table2[[#This Row],[Kontraktor]]="", "Tidak Diketahui",Table2[[#This Row],[Kontraktor]])</f>
        <v>Tidak Diketahui</v>
      </c>
      <c r="I337" s="11"/>
    </row>
    <row r="338" spans="1:9" ht="14.25" customHeight="1" x14ac:dyDescent="0.35">
      <c r="A338" s="8" t="s">
        <v>389</v>
      </c>
      <c r="B338" s="8" t="str">
        <f>IF(Table2[[#This Row],[Jenis_Proyek]]="", "Tidak Diketahui", Table2[[#This Row],[Jenis_Proyek]])</f>
        <v>Drainase</v>
      </c>
      <c r="C338" s="8" t="str">
        <f>IF(Table2[[#This Row],[Lokasi]]="", "Tidak Diketahui", Table2[[#This Row],[Lokasi]])</f>
        <v>Jakarta</v>
      </c>
      <c r="D338" s="8" t="str">
        <f>IF(Table2[[#This Row],[Nama_Proyek]]="", "Tidak Diketahui", Table2[[#This Row],[Nama_Proyek]])</f>
        <v>Perbaikan Drainase Jakarta</v>
      </c>
      <c r="E338" s="14">
        <v>45168</v>
      </c>
      <c r="F338" s="14">
        <v>45236</v>
      </c>
      <c r="G338" s="10">
        <v>246997207</v>
      </c>
      <c r="H338" s="8" t="str">
        <f>IF(Table2[[#This Row],[Kontraktor]]="", "Tidak Diketahui",Table2[[#This Row],[Kontraktor]])</f>
        <v>PT D</v>
      </c>
      <c r="I338" s="11"/>
    </row>
    <row r="339" spans="1:9" ht="14.25" customHeight="1" x14ac:dyDescent="0.35">
      <c r="A339" s="8" t="s">
        <v>390</v>
      </c>
      <c r="B339" s="8" t="str">
        <f>IF(Table2[[#This Row],[Jenis_Proyek]]="", "Tidak Diketahui", Table2[[#This Row],[Jenis_Proyek]])</f>
        <v>Flyover</v>
      </c>
      <c r="C339" s="8" t="str">
        <f>IF(Table2[[#This Row],[Lokasi]]="", "Tidak Diketahui", Table2[[#This Row],[Lokasi]])</f>
        <v>Bandung</v>
      </c>
      <c r="D339" s="8" t="str">
        <f>IF(Table2[[#This Row],[Nama_Proyek]]="", "Tidak Diketahui", Table2[[#This Row],[Nama_Proyek]])</f>
        <v>Perbaikan Flyover Bandung</v>
      </c>
      <c r="E339" s="14">
        <v>45169</v>
      </c>
      <c r="F339" s="14">
        <v>45200</v>
      </c>
      <c r="G339" s="10">
        <v>4163473786</v>
      </c>
      <c r="H339" s="8" t="str">
        <f>IF(Table2[[#This Row],[Kontraktor]]="", "Tidak Diketahui",Table2[[#This Row],[Kontraktor]])</f>
        <v>PT C</v>
      </c>
      <c r="I339" s="11"/>
    </row>
    <row r="340" spans="1:9" ht="14.25" customHeight="1" x14ac:dyDescent="0.35">
      <c r="A340" s="8" t="s">
        <v>391</v>
      </c>
      <c r="B340" s="8" t="str">
        <f>IF(Table2[[#This Row],[Jenis_Proyek]]="", "Tidak Diketahui", Table2[[#This Row],[Jenis_Proyek]])</f>
        <v>Gedung</v>
      </c>
      <c r="C340" s="8" t="str">
        <f>IF(Table2[[#This Row],[Lokasi]]="", "Tidak Diketahui", Table2[[#This Row],[Lokasi]])</f>
        <v>Makassar</v>
      </c>
      <c r="D340" s="8" t="str">
        <f>IF(Table2[[#This Row],[Nama_Proyek]]="", "Tidak Diketahui", Table2[[#This Row],[Nama_Proyek]])</f>
        <v>Perbaikan Gedung Pemerintah Makassar</v>
      </c>
      <c r="E340" s="14">
        <v>45169</v>
      </c>
      <c r="F340" s="14">
        <v>45267</v>
      </c>
      <c r="G340" s="10">
        <v>2007900262</v>
      </c>
      <c r="H340" s="8" t="str">
        <f>IF(Table2[[#This Row],[Kontraktor]]="", "Tidak Diketahui",Table2[[#This Row],[Kontraktor]])</f>
        <v>PT. Yuniar Hakim Tbk</v>
      </c>
      <c r="I340" s="11"/>
    </row>
    <row r="341" spans="1:9" ht="14.25" customHeight="1" x14ac:dyDescent="0.35">
      <c r="A341" s="8" t="s">
        <v>392</v>
      </c>
      <c r="B341" s="8" t="str">
        <f>IF(Table2[[#This Row],[Jenis_Proyek]]="", "Tidak Diketahui", Table2[[#This Row],[Jenis_Proyek]])</f>
        <v>Gedung</v>
      </c>
      <c r="C341" s="8" t="str">
        <f>IF(Table2[[#This Row],[Lokasi]]="", "Tidak Diketahui", Table2[[#This Row],[Lokasi]])</f>
        <v>Bau-Bau</v>
      </c>
      <c r="D341" s="8" t="str">
        <f>IF(Table2[[#This Row],[Nama_Proyek]]="", "Tidak Diketahui", Table2[[#This Row],[Nama_Proyek]])</f>
        <v>Perbaikan Gedung Pemerintah Bau-Bau</v>
      </c>
      <c r="E341" s="14">
        <v>45170</v>
      </c>
      <c r="F341" s="14">
        <v>45454</v>
      </c>
      <c r="G341" s="10">
        <v>9921498760</v>
      </c>
      <c r="H341" s="8" t="str">
        <f>IF(Table2[[#This Row],[Kontraktor]]="", "Tidak Diketahui",Table2[[#This Row],[Kontraktor]])</f>
        <v>PT D</v>
      </c>
      <c r="I341" s="11"/>
    </row>
    <row r="342" spans="1:9" ht="14.25" customHeight="1" x14ac:dyDescent="0.35">
      <c r="A342" s="8" t="s">
        <v>393</v>
      </c>
      <c r="B342" s="8" t="str">
        <f>IF(Table2[[#This Row],[Jenis_Proyek]]="", "Tidak Diketahui", Table2[[#This Row],[Jenis_Proyek]])</f>
        <v>Flyover</v>
      </c>
      <c r="C342" s="8" t="str">
        <f>IF(Table2[[#This Row],[Lokasi]]="", "Tidak Diketahui", Table2[[#This Row],[Lokasi]])</f>
        <v>Bandung</v>
      </c>
      <c r="D342" s="8" t="str">
        <f>IF(Table2[[#This Row],[Nama_Proyek]]="", "Tidak Diketahui", Table2[[#This Row],[Nama_Proyek]])</f>
        <v>Perbaikan Flyover Bandung</v>
      </c>
      <c r="E342" s="14">
        <v>45171</v>
      </c>
      <c r="F342" s="14">
        <v>45288</v>
      </c>
      <c r="G342" s="10">
        <v>2562733310</v>
      </c>
      <c r="H342" s="8" t="str">
        <f>IF(Table2[[#This Row],[Kontraktor]]="", "Tidak Diketahui",Table2[[#This Row],[Kontraktor]])</f>
        <v>PT B</v>
      </c>
      <c r="I342" s="11"/>
    </row>
    <row r="343" spans="1:9" ht="14.25" customHeight="1" x14ac:dyDescent="0.35">
      <c r="A343" s="8" t="s">
        <v>394</v>
      </c>
      <c r="B343" s="8" t="str">
        <f>IF(Table2[[#This Row],[Jenis_Proyek]]="", "Tidak Diketahui", Table2[[#This Row],[Jenis_Proyek]])</f>
        <v>Jalan Raya</v>
      </c>
      <c r="C343" s="8" t="str">
        <f>IF(Table2[[#This Row],[Lokasi]]="", "Tidak Diketahui", Table2[[#This Row],[Lokasi]])</f>
        <v>Surabaya</v>
      </c>
      <c r="D343" s="8" t="str">
        <f>IF(Table2[[#This Row],[Nama_Proyek]]="", "Tidak Diketahui", Table2[[#This Row],[Nama_Proyek]])</f>
        <v>Perbaikan Jalan Raya Surabaya</v>
      </c>
      <c r="E343" s="14">
        <v>45172</v>
      </c>
      <c r="F343" s="14">
        <v>45435</v>
      </c>
      <c r="G343" s="10">
        <v>894294565</v>
      </c>
      <c r="H343" s="8" t="str">
        <f>IF(Table2[[#This Row],[Kontraktor]]="", "Tidak Diketahui",Table2[[#This Row],[Kontraktor]])</f>
        <v>PT D</v>
      </c>
      <c r="I343" s="11"/>
    </row>
    <row r="344" spans="1:9" ht="14.25" customHeight="1" x14ac:dyDescent="0.35">
      <c r="A344" s="8" t="s">
        <v>395</v>
      </c>
      <c r="B344" s="8" t="str">
        <f>IF(Table2[[#This Row],[Jenis_Proyek]]="", "Tidak Diketahui", Table2[[#This Row],[Jenis_Proyek]])</f>
        <v>Jembatan</v>
      </c>
      <c r="C344" s="8" t="str">
        <f>IF(Table2[[#This Row],[Lokasi]]="", "Tidak Diketahui", Table2[[#This Row],[Lokasi]])</f>
        <v>Makassar</v>
      </c>
      <c r="D344" s="8" t="str">
        <f>IF(Table2[[#This Row],[Nama_Proyek]]="", "Tidak Diketahui", Table2[[#This Row],[Nama_Proyek]])</f>
        <v>Perbaikan Jembatan Makassar</v>
      </c>
      <c r="E344" s="14">
        <v>45173</v>
      </c>
      <c r="F344" s="14">
        <v>45340</v>
      </c>
      <c r="G344" s="10">
        <v>661378979</v>
      </c>
      <c r="H344" s="8" t="str">
        <f>IF(Table2[[#This Row],[Kontraktor]]="", "Tidak Diketahui",Table2[[#This Row],[Kontraktor]])</f>
        <v>PT. Yuniar Hakim Tbk</v>
      </c>
      <c r="I344" s="11"/>
    </row>
    <row r="345" spans="1:9" ht="14.25" customHeight="1" x14ac:dyDescent="0.35">
      <c r="A345" s="8" t="s">
        <v>396</v>
      </c>
      <c r="B345" s="8" t="str">
        <f>IF(Table2[[#This Row],[Jenis_Proyek]]="", "Tidak Diketahui", Table2[[#This Row],[Jenis_Proyek]])</f>
        <v>Flyover</v>
      </c>
      <c r="C345" s="8" t="str">
        <f>IF(Table2[[#This Row],[Lokasi]]="", "Tidak Diketahui", Table2[[#This Row],[Lokasi]])</f>
        <v>Bandung</v>
      </c>
      <c r="D345" s="8" t="str">
        <f>IF(Table2[[#This Row],[Nama_Proyek]]="", "Tidak Diketahui", Table2[[#This Row],[Nama_Proyek]])</f>
        <v>Perbaikan Flyover Bandung</v>
      </c>
      <c r="E345" s="14">
        <v>45175</v>
      </c>
      <c r="F345" s="14">
        <v>45316</v>
      </c>
      <c r="G345" s="10">
        <v>2081376801</v>
      </c>
      <c r="H345" s="8" t="str">
        <f>IF(Table2[[#This Row],[Kontraktor]]="", "Tidak Diketahui",Table2[[#This Row],[Kontraktor]])</f>
        <v>Tidak Diketahui</v>
      </c>
      <c r="I345" s="11"/>
    </row>
    <row r="346" spans="1:9" ht="14.25" customHeight="1" x14ac:dyDescent="0.35">
      <c r="A346" s="8" t="s">
        <v>397</v>
      </c>
      <c r="B346" s="8" t="str">
        <f>IF(Table2[[#This Row],[Jenis_Proyek]]="", "Tidak Diketahui", Table2[[#This Row],[Jenis_Proyek]])</f>
        <v>Drainase</v>
      </c>
      <c r="C346" s="8" t="str">
        <f>IF(Table2[[#This Row],[Lokasi]]="", "Tidak Diketahui", Table2[[#This Row],[Lokasi]])</f>
        <v>Bau-Bau</v>
      </c>
      <c r="D346" s="8" t="str">
        <f>IF(Table2[[#This Row],[Nama_Proyek]]="", "Tidak Diketahui", Table2[[#This Row],[Nama_Proyek]])</f>
        <v>Perbaikan Drainase Bau-Bau</v>
      </c>
      <c r="E346" s="14">
        <v>45177</v>
      </c>
      <c r="F346" s="14">
        <v>45477</v>
      </c>
      <c r="G346" s="10">
        <v>609956841</v>
      </c>
      <c r="H346" s="8" t="str">
        <f>IF(Table2[[#This Row],[Kontraktor]]="", "Tidak Diketahui",Table2[[#This Row],[Kontraktor]])</f>
        <v>PT B</v>
      </c>
      <c r="I346" s="11"/>
    </row>
    <row r="347" spans="1:9" ht="14.25" customHeight="1" x14ac:dyDescent="0.35">
      <c r="A347" s="8" t="s">
        <v>398</v>
      </c>
      <c r="B347" s="8" t="str">
        <f>IF(Table2[[#This Row],[Jenis_Proyek]]="", "Tidak Diketahui", Table2[[#This Row],[Jenis_Proyek]])</f>
        <v>Gedung</v>
      </c>
      <c r="C347" s="8" t="str">
        <f>IF(Table2[[#This Row],[Lokasi]]="", "Tidak Diketahui", Table2[[#This Row],[Lokasi]])</f>
        <v>Surabaya</v>
      </c>
      <c r="D347" s="8" t="str">
        <f>IF(Table2[[#This Row],[Nama_Proyek]]="", "Tidak Diketahui", Table2[[#This Row],[Nama_Proyek]])</f>
        <v>Perbaikan Gedung Pemerintah Surabaya</v>
      </c>
      <c r="E347" s="14">
        <v>45178</v>
      </c>
      <c r="F347" s="14">
        <v>45449</v>
      </c>
      <c r="G347" s="10">
        <v>4372183615</v>
      </c>
      <c r="H347" s="8" t="str">
        <f>IF(Table2[[#This Row],[Kontraktor]]="", "Tidak Diketahui",Table2[[#This Row],[Kontraktor]])</f>
        <v>PT D</v>
      </c>
      <c r="I347" s="11"/>
    </row>
    <row r="348" spans="1:9" ht="14.25" customHeight="1" x14ac:dyDescent="0.35">
      <c r="A348" s="8" t="s">
        <v>399</v>
      </c>
      <c r="B348" s="8" t="str">
        <f>IF(Table2[[#This Row],[Jenis_Proyek]]="", "Tidak Diketahui", Table2[[#This Row],[Jenis_Proyek]])</f>
        <v>Gedung</v>
      </c>
      <c r="C348" s="8" t="str">
        <f>IF(Table2[[#This Row],[Lokasi]]="", "Tidak Diketahui", Table2[[#This Row],[Lokasi]])</f>
        <v>Tomohon</v>
      </c>
      <c r="D348" s="8" t="str">
        <f>IF(Table2[[#This Row],[Nama_Proyek]]="", "Tidak Diketahui", Table2[[#This Row],[Nama_Proyek]])</f>
        <v>Perbaikan Gedung Pemerintah Tomohon</v>
      </c>
      <c r="E348" s="14">
        <v>45178</v>
      </c>
      <c r="F348" s="14">
        <v>45540</v>
      </c>
      <c r="G348" s="10">
        <v>7734024053</v>
      </c>
      <c r="H348" s="8" t="str">
        <f>IF(Table2[[#This Row],[Kontraktor]]="", "Tidak Diketahui",Table2[[#This Row],[Kontraktor]])</f>
        <v>PT. Yuniar Hakim Tbk</v>
      </c>
      <c r="I348" s="11"/>
    </row>
    <row r="349" spans="1:9" ht="14.25" customHeight="1" x14ac:dyDescent="0.35">
      <c r="A349" s="8" t="s">
        <v>400</v>
      </c>
      <c r="B349" s="8" t="str">
        <f>IF(Table2[[#This Row],[Jenis_Proyek]]="", "Tidak Diketahui", Table2[[#This Row],[Jenis_Proyek]])</f>
        <v>Flyover</v>
      </c>
      <c r="C349" s="8" t="str">
        <f>IF(Table2[[#This Row],[Lokasi]]="", "Tidak Diketahui", Table2[[#This Row],[Lokasi]])</f>
        <v>Tomohon</v>
      </c>
      <c r="D349" s="8" t="str">
        <f>IF(Table2[[#This Row],[Nama_Proyek]]="", "Tidak Diketahui", Table2[[#This Row],[Nama_Proyek]])</f>
        <v>Pembuatan Flyover Tomohon</v>
      </c>
      <c r="E349" s="14">
        <v>45178</v>
      </c>
      <c r="F349" s="14">
        <v>45457</v>
      </c>
      <c r="G349" s="10">
        <v>2237295280</v>
      </c>
      <c r="H349" s="8" t="str">
        <f>IF(Table2[[#This Row],[Kontraktor]]="", "Tidak Diketahui",Table2[[#This Row],[Kontraktor]])</f>
        <v>PT. Lailasari Hariyah (Persero) Tbk</v>
      </c>
      <c r="I349" s="11"/>
    </row>
    <row r="350" spans="1:9" ht="14.25" customHeight="1" x14ac:dyDescent="0.35">
      <c r="A350" s="8" t="s">
        <v>401</v>
      </c>
      <c r="B350" s="8" t="str">
        <f>IF(Table2[[#This Row],[Jenis_Proyek]]="", "Tidak Diketahui", Table2[[#This Row],[Jenis_Proyek]])</f>
        <v>Jembatan</v>
      </c>
      <c r="C350" s="8" t="str">
        <f>IF(Table2[[#This Row],[Lokasi]]="", "Tidak Diketahui", Table2[[#This Row],[Lokasi]])</f>
        <v>Bandung</v>
      </c>
      <c r="D350" s="8" t="str">
        <f>IF(Table2[[#This Row],[Nama_Proyek]]="", "Tidak Diketahui", Table2[[#This Row],[Nama_Proyek]])</f>
        <v>Pembuatan Jembatan Bandung</v>
      </c>
      <c r="E350" s="14">
        <v>45178</v>
      </c>
      <c r="F350" s="14">
        <v>45279</v>
      </c>
      <c r="G350" s="10">
        <v>4595910673</v>
      </c>
      <c r="H350" s="8" t="str">
        <f>IF(Table2[[#This Row],[Kontraktor]]="", "Tidak Diketahui",Table2[[#This Row],[Kontraktor]])</f>
        <v>PT C</v>
      </c>
      <c r="I350" s="11"/>
    </row>
    <row r="351" spans="1:9" ht="14.25" customHeight="1" x14ac:dyDescent="0.35">
      <c r="A351" s="8" t="s">
        <v>402</v>
      </c>
      <c r="B351" s="8" t="str">
        <f>IF(Table2[[#This Row],[Jenis_Proyek]]="", "Tidak Diketahui", Table2[[#This Row],[Jenis_Proyek]])</f>
        <v>Jembatan</v>
      </c>
      <c r="C351" s="8" t="str">
        <f>IF(Table2[[#This Row],[Lokasi]]="", "Tidak Diketahui", Table2[[#This Row],[Lokasi]])</f>
        <v>Makassar</v>
      </c>
      <c r="D351" s="8" t="str">
        <f>IF(Table2[[#This Row],[Nama_Proyek]]="", "Tidak Diketahui", Table2[[#This Row],[Nama_Proyek]])</f>
        <v>Perbaikan Jembatan Makassar</v>
      </c>
      <c r="E351" s="14">
        <v>45179</v>
      </c>
      <c r="F351" s="14">
        <v>45400</v>
      </c>
      <c r="G351" s="10">
        <v>5159672072</v>
      </c>
      <c r="H351" s="8" t="str">
        <f>IF(Table2[[#This Row],[Kontraktor]]="", "Tidak Diketahui",Table2[[#This Row],[Kontraktor]])</f>
        <v>CV Sihombing</v>
      </c>
      <c r="I351" s="11"/>
    </row>
    <row r="352" spans="1:9" ht="14.25" customHeight="1" x14ac:dyDescent="0.35">
      <c r="A352" s="8" t="s">
        <v>403</v>
      </c>
      <c r="B352" s="8" t="str">
        <f>IF(Table2[[#This Row],[Jenis_Proyek]]="", "Tidak Diketahui", Table2[[#This Row],[Jenis_Proyek]])</f>
        <v>Gedung</v>
      </c>
      <c r="C352" s="8" t="str">
        <f>IF(Table2[[#This Row],[Lokasi]]="", "Tidak Diketahui", Table2[[#This Row],[Lokasi]])</f>
        <v>Bau-Bau</v>
      </c>
      <c r="D352" s="8" t="str">
        <f>IF(Table2[[#This Row],[Nama_Proyek]]="", "Tidak Diketahui", Table2[[#This Row],[Nama_Proyek]])</f>
        <v>Perbaikan Gedung Pemerintah Bau-Bau</v>
      </c>
      <c r="E352" s="14">
        <v>45180</v>
      </c>
      <c r="F352" s="14">
        <v>45270</v>
      </c>
      <c r="G352" s="10">
        <v>6721798052</v>
      </c>
      <c r="H352" s="8" t="str">
        <f>IF(Table2[[#This Row],[Kontraktor]]="", "Tidak Diketahui",Table2[[#This Row],[Kontraktor]])</f>
        <v>Tidak Diketahui</v>
      </c>
      <c r="I352" s="11"/>
    </row>
    <row r="353" spans="1:9" ht="14.25" customHeight="1" x14ac:dyDescent="0.35">
      <c r="A353" s="8" t="s">
        <v>404</v>
      </c>
      <c r="B353" s="8" t="str">
        <f>IF(Table2[[#This Row],[Jenis_Proyek]]="", "Tidak Diketahui", Table2[[#This Row],[Jenis_Proyek]])</f>
        <v>Jembatan</v>
      </c>
      <c r="C353" s="8" t="str">
        <f>IF(Table2[[#This Row],[Lokasi]]="", "Tidak Diketahui", Table2[[#This Row],[Lokasi]])</f>
        <v>Bau-Bau</v>
      </c>
      <c r="D353" s="8" t="str">
        <f>IF(Table2[[#This Row],[Nama_Proyek]]="", "Tidak Diketahui", Table2[[#This Row],[Nama_Proyek]])</f>
        <v>Pembuatan Jembatan Bau-Bau</v>
      </c>
      <c r="E353" s="14">
        <v>45181</v>
      </c>
      <c r="F353" s="14">
        <v>45455</v>
      </c>
      <c r="G353" s="10">
        <v>4769425566</v>
      </c>
      <c r="H353" s="8" t="str">
        <f>IF(Table2[[#This Row],[Kontraktor]]="", "Tidak Diketahui",Table2[[#This Row],[Kontraktor]])</f>
        <v>CV Sihombing</v>
      </c>
      <c r="I353" s="11"/>
    </row>
    <row r="354" spans="1:9" ht="14.25" customHeight="1" x14ac:dyDescent="0.35">
      <c r="A354" s="8" t="s">
        <v>405</v>
      </c>
      <c r="B354" s="8" t="str">
        <f>IF(Table2[[#This Row],[Jenis_Proyek]]="", "Tidak Diketahui", Table2[[#This Row],[Jenis_Proyek]])</f>
        <v>Jembatan</v>
      </c>
      <c r="C354" s="8" t="str">
        <f>IF(Table2[[#This Row],[Lokasi]]="", "Tidak Diketahui", Table2[[#This Row],[Lokasi]])</f>
        <v>Depok</v>
      </c>
      <c r="D354" s="8" t="str">
        <f>IF(Table2[[#This Row],[Nama_Proyek]]="", "Tidak Diketahui", Table2[[#This Row],[Nama_Proyek]])</f>
        <v>Pembuatan Jembatan Depok</v>
      </c>
      <c r="E354" s="14">
        <v>45183</v>
      </c>
      <c r="F354" s="14">
        <v>45255</v>
      </c>
      <c r="G354" s="10">
        <v>1336819118</v>
      </c>
      <c r="H354" s="8" t="str">
        <f>IF(Table2[[#This Row],[Kontraktor]]="", "Tidak Diketahui",Table2[[#This Row],[Kontraktor]])</f>
        <v>CV Sihombing</v>
      </c>
      <c r="I354" s="11"/>
    </row>
    <row r="355" spans="1:9" ht="14.25" customHeight="1" x14ac:dyDescent="0.35">
      <c r="A355" s="8" t="s">
        <v>406</v>
      </c>
      <c r="B355" s="8" t="str">
        <f>IF(Table2[[#This Row],[Jenis_Proyek]]="", "Tidak Diketahui", Table2[[#This Row],[Jenis_Proyek]])</f>
        <v>Drainase</v>
      </c>
      <c r="C355" s="8" t="str">
        <f>IF(Table2[[#This Row],[Lokasi]]="", "Tidak Diketahui", Table2[[#This Row],[Lokasi]])</f>
        <v>Depok</v>
      </c>
      <c r="D355" s="8" t="str">
        <f>IF(Table2[[#This Row],[Nama_Proyek]]="", "Tidak Diketahui", Table2[[#This Row],[Nama_Proyek]])</f>
        <v>Perbaikan Drainase Depok</v>
      </c>
      <c r="E355" s="14">
        <v>45184</v>
      </c>
      <c r="F355" s="14">
        <v>45534</v>
      </c>
      <c r="G355" s="10">
        <v>471750376</v>
      </c>
      <c r="H355" s="8" t="str">
        <f>IF(Table2[[#This Row],[Kontraktor]]="", "Tidak Diketahui",Table2[[#This Row],[Kontraktor]])</f>
        <v>PT C</v>
      </c>
      <c r="I355" s="11"/>
    </row>
    <row r="356" spans="1:9" ht="14.25" customHeight="1" x14ac:dyDescent="0.35">
      <c r="A356" s="8" t="s">
        <v>407</v>
      </c>
      <c r="B356" s="8" t="str">
        <f>IF(Table2[[#This Row],[Jenis_Proyek]]="", "Tidak Diketahui", Table2[[#This Row],[Jenis_Proyek]])</f>
        <v>Jalan Raya</v>
      </c>
      <c r="C356" s="8" t="str">
        <f>IF(Table2[[#This Row],[Lokasi]]="", "Tidak Diketahui", Table2[[#This Row],[Lokasi]])</f>
        <v>Bau-Bau</v>
      </c>
      <c r="D356" s="8" t="str">
        <f>IF(Table2[[#This Row],[Nama_Proyek]]="", "Tidak Diketahui", Table2[[#This Row],[Nama_Proyek]])</f>
        <v>Perbaikan Jalan Raya Bau-Bau</v>
      </c>
      <c r="E356" s="14">
        <v>45184</v>
      </c>
      <c r="F356" s="14">
        <v>45239</v>
      </c>
      <c r="G356" s="10">
        <v>628901605</v>
      </c>
      <c r="H356" s="8" t="str">
        <f>IF(Table2[[#This Row],[Kontraktor]]="", "Tidak Diketahui",Table2[[#This Row],[Kontraktor]])</f>
        <v>PT C</v>
      </c>
      <c r="I356" s="11"/>
    </row>
    <row r="357" spans="1:9" ht="14.25" customHeight="1" x14ac:dyDescent="0.35">
      <c r="A357" s="8" t="s">
        <v>408</v>
      </c>
      <c r="B357" s="8" t="str">
        <f>IF(Table2[[#This Row],[Jenis_Proyek]]="", "Tidak Diketahui", Table2[[#This Row],[Jenis_Proyek]])</f>
        <v>Jembatan</v>
      </c>
      <c r="C357" s="8" t="str">
        <f>IF(Table2[[#This Row],[Lokasi]]="", "Tidak Diketahui", Table2[[#This Row],[Lokasi]])</f>
        <v>Medan</v>
      </c>
      <c r="D357" s="8" t="str">
        <f>IF(Table2[[#This Row],[Nama_Proyek]]="", "Tidak Diketahui", Table2[[#This Row],[Nama_Proyek]])</f>
        <v>Perbaikan Jembatan Medan</v>
      </c>
      <c r="E357" s="14">
        <v>45185</v>
      </c>
      <c r="F357" s="14">
        <v>45273</v>
      </c>
      <c r="G357" s="10">
        <v>1251866235</v>
      </c>
      <c r="H357" s="8" t="str">
        <f>IF(Table2[[#This Row],[Kontraktor]]="", "Tidak Diketahui",Table2[[#This Row],[Kontraktor]])</f>
        <v>PT A</v>
      </c>
      <c r="I357" s="11"/>
    </row>
    <row r="358" spans="1:9" ht="14.25" customHeight="1" x14ac:dyDescent="0.35">
      <c r="A358" s="8" t="s">
        <v>409</v>
      </c>
      <c r="B358" s="8" t="str">
        <f>IF(Table2[[#This Row],[Jenis_Proyek]]="", "Tidak Diketahui", Table2[[#This Row],[Jenis_Proyek]])</f>
        <v>Jalan Raya</v>
      </c>
      <c r="C358" s="8" t="str">
        <f>IF(Table2[[#This Row],[Lokasi]]="", "Tidak Diketahui", Table2[[#This Row],[Lokasi]])</f>
        <v>Jakarta</v>
      </c>
      <c r="D358" s="8" t="str">
        <f>IF(Table2[[#This Row],[Nama_Proyek]]="", "Tidak Diketahui", Table2[[#This Row],[Nama_Proyek]])</f>
        <v>Perbaikan Jalan Raya Jakarta</v>
      </c>
      <c r="E358" s="14">
        <v>45185</v>
      </c>
      <c r="F358" s="14">
        <v>45404</v>
      </c>
      <c r="G358" s="10">
        <v>321020182</v>
      </c>
      <c r="H358" s="8" t="str">
        <f>IF(Table2[[#This Row],[Kontraktor]]="", "Tidak Diketahui",Table2[[#This Row],[Kontraktor]])</f>
        <v>PT D</v>
      </c>
      <c r="I358" s="11"/>
    </row>
    <row r="359" spans="1:9" ht="14.25" customHeight="1" x14ac:dyDescent="0.35">
      <c r="A359" s="8" t="s">
        <v>410</v>
      </c>
      <c r="B359" s="8" t="str">
        <f>IF(Table2[[#This Row],[Jenis_Proyek]]="", "Tidak Diketahui", Table2[[#This Row],[Jenis_Proyek]])</f>
        <v>Jembatan</v>
      </c>
      <c r="C359" s="8" t="str">
        <f>IF(Table2[[#This Row],[Lokasi]]="", "Tidak Diketahui", Table2[[#This Row],[Lokasi]])</f>
        <v>Tomohon</v>
      </c>
      <c r="D359" s="8" t="str">
        <f>IF(Table2[[#This Row],[Nama_Proyek]]="", "Tidak Diketahui", Table2[[#This Row],[Nama_Proyek]])</f>
        <v>Perbaikan Jembatan Tomohon</v>
      </c>
      <c r="E359" s="14">
        <v>45186</v>
      </c>
      <c r="F359" s="14">
        <v>45477</v>
      </c>
      <c r="G359" s="10">
        <v>4533278952</v>
      </c>
      <c r="H359" s="8" t="str">
        <f>IF(Table2[[#This Row],[Kontraktor]]="", "Tidak Diketahui",Table2[[#This Row],[Kontraktor]])</f>
        <v>PT. Yuniar Hakim Tbk</v>
      </c>
      <c r="I359" s="11"/>
    </row>
    <row r="360" spans="1:9" ht="14.25" customHeight="1" x14ac:dyDescent="0.35">
      <c r="A360" s="8" t="s">
        <v>411</v>
      </c>
      <c r="B360" s="8" t="str">
        <f>IF(Table2[[#This Row],[Jenis_Proyek]]="", "Tidak Diketahui", Table2[[#This Row],[Jenis_Proyek]])</f>
        <v>Gedung</v>
      </c>
      <c r="C360" s="8" t="str">
        <f>IF(Table2[[#This Row],[Lokasi]]="", "Tidak Diketahui", Table2[[#This Row],[Lokasi]])</f>
        <v>Jakarta</v>
      </c>
      <c r="D360" s="8" t="str">
        <f>IF(Table2[[#This Row],[Nama_Proyek]]="", "Tidak Diketahui", Table2[[#This Row],[Nama_Proyek]])</f>
        <v>Perbaikan Gedung Pemerintah Jakarta</v>
      </c>
      <c r="E360" s="14">
        <v>45187</v>
      </c>
      <c r="F360" s="14">
        <v>45493</v>
      </c>
      <c r="G360" s="10">
        <v>4814287975</v>
      </c>
      <c r="H360" s="8" t="str">
        <f>IF(Table2[[#This Row],[Kontraktor]]="", "Tidak Diketahui",Table2[[#This Row],[Kontraktor]])</f>
        <v>PT. Yuniar Hakim Tbk</v>
      </c>
      <c r="I360" s="11"/>
    </row>
    <row r="361" spans="1:9" ht="14.25" customHeight="1" x14ac:dyDescent="0.35">
      <c r="A361" s="8" t="s">
        <v>412</v>
      </c>
      <c r="B361" s="8" t="str">
        <f>IF(Table2[[#This Row],[Jenis_Proyek]]="", "Tidak Diketahui", Table2[[#This Row],[Jenis_Proyek]])</f>
        <v>Jembatan</v>
      </c>
      <c r="C361" s="8" t="str">
        <f>IF(Table2[[#This Row],[Lokasi]]="", "Tidak Diketahui", Table2[[#This Row],[Lokasi]])</f>
        <v>Depok</v>
      </c>
      <c r="D361" s="8" t="str">
        <f>IF(Table2[[#This Row],[Nama_Proyek]]="", "Tidak Diketahui", Table2[[#This Row],[Nama_Proyek]])</f>
        <v>Perbaikan Jembatan Depok</v>
      </c>
      <c r="E361" s="14">
        <v>45188</v>
      </c>
      <c r="F361" s="14">
        <v>45328</v>
      </c>
      <c r="G361" s="10">
        <v>5011848562</v>
      </c>
      <c r="H361" s="8" t="str">
        <f>IF(Table2[[#This Row],[Kontraktor]]="", "Tidak Diketahui",Table2[[#This Row],[Kontraktor]])</f>
        <v>PT B</v>
      </c>
      <c r="I361" s="11"/>
    </row>
    <row r="362" spans="1:9" ht="14.25" customHeight="1" x14ac:dyDescent="0.35">
      <c r="A362" s="8" t="s">
        <v>413</v>
      </c>
      <c r="B362" s="8" t="str">
        <f>IF(Table2[[#This Row],[Jenis_Proyek]]="", "Tidak Diketahui", Table2[[#This Row],[Jenis_Proyek]])</f>
        <v>Flyover</v>
      </c>
      <c r="C362" s="8" t="str">
        <f>IF(Table2[[#This Row],[Lokasi]]="", "Tidak Diketahui", Table2[[#This Row],[Lokasi]])</f>
        <v>Bandung</v>
      </c>
      <c r="D362" s="8" t="str">
        <f>IF(Table2[[#This Row],[Nama_Proyek]]="", "Tidak Diketahui", Table2[[#This Row],[Nama_Proyek]])</f>
        <v>Pembuatan Flyover Bandung</v>
      </c>
      <c r="E362" s="14">
        <v>45188</v>
      </c>
      <c r="F362" s="14">
        <v>45364</v>
      </c>
      <c r="G362" s="10">
        <v>2187444281</v>
      </c>
      <c r="H362" s="8" t="str">
        <f>IF(Table2[[#This Row],[Kontraktor]]="", "Tidak Diketahui",Table2[[#This Row],[Kontraktor]])</f>
        <v>CV Sihombing</v>
      </c>
      <c r="I362" s="11"/>
    </row>
    <row r="363" spans="1:9" ht="14.25" customHeight="1" x14ac:dyDescent="0.35">
      <c r="A363" s="8" t="s">
        <v>414</v>
      </c>
      <c r="B363" s="8" t="str">
        <f>IF(Table2[[#This Row],[Jenis_Proyek]]="", "Tidak Diketahui", Table2[[#This Row],[Jenis_Proyek]])</f>
        <v>Jembatan</v>
      </c>
      <c r="C363" s="8" t="str">
        <f>IF(Table2[[#This Row],[Lokasi]]="", "Tidak Diketahui", Table2[[#This Row],[Lokasi]])</f>
        <v>Jakarta</v>
      </c>
      <c r="D363" s="8" t="str">
        <f>IF(Table2[[#This Row],[Nama_Proyek]]="", "Tidak Diketahui", Table2[[#This Row],[Nama_Proyek]])</f>
        <v>Perbaikan Jembatan Jakarta</v>
      </c>
      <c r="E363" s="14">
        <v>45188</v>
      </c>
      <c r="F363" s="14">
        <v>45245</v>
      </c>
      <c r="G363" s="10">
        <v>3086567364</v>
      </c>
      <c r="H363" s="8" t="str">
        <f>IF(Table2[[#This Row],[Kontraktor]]="", "Tidak Diketahui",Table2[[#This Row],[Kontraktor]])</f>
        <v>PT D</v>
      </c>
      <c r="I363" s="11"/>
    </row>
    <row r="364" spans="1:9" ht="14.25" customHeight="1" x14ac:dyDescent="0.35">
      <c r="A364" s="8" t="s">
        <v>415</v>
      </c>
      <c r="B364" s="8" t="str">
        <f>IF(Table2[[#This Row],[Jenis_Proyek]]="", "Tidak Diketahui", Table2[[#This Row],[Jenis_Proyek]])</f>
        <v>Jembatan</v>
      </c>
      <c r="C364" s="8" t="str">
        <f>IF(Table2[[#This Row],[Lokasi]]="", "Tidak Diketahui", Table2[[#This Row],[Lokasi]])</f>
        <v>Bau-Bau</v>
      </c>
      <c r="D364" s="8" t="str">
        <f>IF(Table2[[#This Row],[Nama_Proyek]]="", "Tidak Diketahui", Table2[[#This Row],[Nama_Proyek]])</f>
        <v>Perbaikan Jembatan Bau-Bau</v>
      </c>
      <c r="E364" s="14">
        <v>45191</v>
      </c>
      <c r="F364" s="14">
        <v>45375</v>
      </c>
      <c r="G364" s="10">
        <v>3308514312</v>
      </c>
      <c r="H364" s="8" t="str">
        <f>IF(Table2[[#This Row],[Kontraktor]]="", "Tidak Diketahui",Table2[[#This Row],[Kontraktor]])</f>
        <v>PT A</v>
      </c>
      <c r="I364" s="11"/>
    </row>
    <row r="365" spans="1:9" ht="14.25" customHeight="1" x14ac:dyDescent="0.35">
      <c r="A365" s="8" t="s">
        <v>416</v>
      </c>
      <c r="B365" s="8" t="str">
        <f>IF(Table2[[#This Row],[Jenis_Proyek]]="", "Tidak Diketahui", Table2[[#This Row],[Jenis_Proyek]])</f>
        <v>Jalan Raya</v>
      </c>
      <c r="C365" s="8" t="str">
        <f>IF(Table2[[#This Row],[Lokasi]]="", "Tidak Diketahui", Table2[[#This Row],[Lokasi]])</f>
        <v>Medan</v>
      </c>
      <c r="D365" s="8" t="str">
        <f>IF(Table2[[#This Row],[Nama_Proyek]]="", "Tidak Diketahui", Table2[[#This Row],[Nama_Proyek]])</f>
        <v>Perbaikan Jalan Raya Medan</v>
      </c>
      <c r="E365" s="14">
        <v>45192</v>
      </c>
      <c r="F365" s="14">
        <v>45532</v>
      </c>
      <c r="G365" s="10">
        <v>283571018</v>
      </c>
      <c r="H365" s="8" t="str">
        <f>IF(Table2[[#This Row],[Kontraktor]]="", "Tidak Diketahui",Table2[[#This Row],[Kontraktor]])</f>
        <v>PT. Yuniar Hakim Tbk</v>
      </c>
      <c r="I365" s="11"/>
    </row>
    <row r="366" spans="1:9" ht="14.25" customHeight="1" x14ac:dyDescent="0.35">
      <c r="A366" s="8" t="s">
        <v>417</v>
      </c>
      <c r="B366" s="8" t="str">
        <f>IF(Table2[[#This Row],[Jenis_Proyek]]="", "Tidak Diketahui", Table2[[#This Row],[Jenis_Proyek]])</f>
        <v>Gedung</v>
      </c>
      <c r="C366" s="8" t="str">
        <f>IF(Table2[[#This Row],[Lokasi]]="", "Tidak Diketahui", Table2[[#This Row],[Lokasi]])</f>
        <v>Medan</v>
      </c>
      <c r="D366" s="8" t="str">
        <f>IF(Table2[[#This Row],[Nama_Proyek]]="", "Tidak Diketahui", Table2[[#This Row],[Nama_Proyek]])</f>
        <v>Perbaikan Gedung Pemerintah Medan</v>
      </c>
      <c r="E366" s="14">
        <v>45192</v>
      </c>
      <c r="F366" s="14">
        <v>45361</v>
      </c>
      <c r="G366" s="10">
        <v>7071217769</v>
      </c>
      <c r="H366" s="8" t="str">
        <f>IF(Table2[[#This Row],[Kontraktor]]="", "Tidak Diketahui",Table2[[#This Row],[Kontraktor]])</f>
        <v>PT C</v>
      </c>
      <c r="I366" s="11"/>
    </row>
    <row r="367" spans="1:9" ht="14.25" customHeight="1" x14ac:dyDescent="0.35">
      <c r="A367" s="8" t="s">
        <v>418</v>
      </c>
      <c r="B367" s="8" t="str">
        <f>IF(Table2[[#This Row],[Jenis_Proyek]]="", "Tidak Diketahui", Table2[[#This Row],[Jenis_Proyek]])</f>
        <v>Jembatan</v>
      </c>
      <c r="C367" s="8" t="str">
        <f>IF(Table2[[#This Row],[Lokasi]]="", "Tidak Diketahui", Table2[[#This Row],[Lokasi]])</f>
        <v>Medan</v>
      </c>
      <c r="D367" s="8" t="str">
        <f>IF(Table2[[#This Row],[Nama_Proyek]]="", "Tidak Diketahui", Table2[[#This Row],[Nama_Proyek]])</f>
        <v>Pembuatan Jembatan Medan</v>
      </c>
      <c r="E367" s="14">
        <v>45193</v>
      </c>
      <c r="F367" s="14">
        <v>45267</v>
      </c>
      <c r="G367" s="10">
        <v>5103380941</v>
      </c>
      <c r="H367" s="8" t="str">
        <f>IF(Table2[[#This Row],[Kontraktor]]="", "Tidak Diketahui",Table2[[#This Row],[Kontraktor]])</f>
        <v>PT C</v>
      </c>
      <c r="I367" s="11"/>
    </row>
    <row r="368" spans="1:9" ht="14.25" customHeight="1" x14ac:dyDescent="0.35">
      <c r="A368" s="8" t="s">
        <v>419</v>
      </c>
      <c r="B368" s="8" t="str">
        <f>IF(Table2[[#This Row],[Jenis_Proyek]]="", "Tidak Diketahui", Table2[[#This Row],[Jenis_Proyek]])</f>
        <v>Gedung</v>
      </c>
      <c r="C368" s="8" t="str">
        <f>IF(Table2[[#This Row],[Lokasi]]="", "Tidak Diketahui", Table2[[#This Row],[Lokasi]])</f>
        <v>Jakarta</v>
      </c>
      <c r="D368" s="8" t="str">
        <f>IF(Table2[[#This Row],[Nama_Proyek]]="", "Tidak Diketahui", Table2[[#This Row],[Nama_Proyek]])</f>
        <v>Perbaikan Gedung Pemerintah Jakarta</v>
      </c>
      <c r="E368" s="14">
        <v>45194</v>
      </c>
      <c r="F368" s="14">
        <v>45394</v>
      </c>
      <c r="G368" s="10">
        <v>4342819473</v>
      </c>
      <c r="H368" s="8" t="str">
        <f>IF(Table2[[#This Row],[Kontraktor]]="", "Tidak Diketahui",Table2[[#This Row],[Kontraktor]])</f>
        <v>PT D</v>
      </c>
      <c r="I368" s="11"/>
    </row>
    <row r="369" spans="1:9" ht="14.25" customHeight="1" x14ac:dyDescent="0.35">
      <c r="A369" s="8" t="s">
        <v>420</v>
      </c>
      <c r="B369" s="8" t="str">
        <f>IF(Table2[[#This Row],[Jenis_Proyek]]="", "Tidak Diketahui", Table2[[#This Row],[Jenis_Proyek]])</f>
        <v>Jembatan</v>
      </c>
      <c r="C369" s="8" t="str">
        <f>IF(Table2[[#This Row],[Lokasi]]="", "Tidak Diketahui", Table2[[#This Row],[Lokasi]])</f>
        <v>Jakarta</v>
      </c>
      <c r="D369" s="8" t="str">
        <f>IF(Table2[[#This Row],[Nama_Proyek]]="", "Tidak Diketahui", Table2[[#This Row],[Nama_Proyek]])</f>
        <v>Perbaikan Jembatan Jakarta</v>
      </c>
      <c r="E369" s="14">
        <v>45194</v>
      </c>
      <c r="F369" s="14">
        <v>45231</v>
      </c>
      <c r="G369" s="10">
        <v>6977377591</v>
      </c>
      <c r="H369" s="8" t="str">
        <f>IF(Table2[[#This Row],[Kontraktor]]="", "Tidak Diketahui",Table2[[#This Row],[Kontraktor]])</f>
        <v>PT B</v>
      </c>
      <c r="I369" s="11"/>
    </row>
    <row r="370" spans="1:9" ht="14.25" customHeight="1" x14ac:dyDescent="0.35">
      <c r="A370" s="8" t="s">
        <v>421</v>
      </c>
      <c r="B370" s="8" t="str">
        <f>IF(Table2[[#This Row],[Jenis_Proyek]]="", "Tidak Diketahui", Table2[[#This Row],[Jenis_Proyek]])</f>
        <v>Jembatan</v>
      </c>
      <c r="C370" s="8" t="str">
        <f>IF(Table2[[#This Row],[Lokasi]]="", "Tidak Diketahui", Table2[[#This Row],[Lokasi]])</f>
        <v>Tomohon</v>
      </c>
      <c r="D370" s="8" t="str">
        <f>IF(Table2[[#This Row],[Nama_Proyek]]="", "Tidak Diketahui", Table2[[#This Row],[Nama_Proyek]])</f>
        <v>Perbaikan Jembatan Tomohon</v>
      </c>
      <c r="E370" s="14">
        <v>45195</v>
      </c>
      <c r="F370" s="14">
        <v>45460</v>
      </c>
      <c r="G370" s="10">
        <v>5457855102</v>
      </c>
      <c r="H370" s="8" t="str">
        <f>IF(Table2[[#This Row],[Kontraktor]]="", "Tidak Diketahui",Table2[[#This Row],[Kontraktor]])</f>
        <v>PT A</v>
      </c>
      <c r="I370" s="11"/>
    </row>
    <row r="371" spans="1:9" ht="14.25" customHeight="1" x14ac:dyDescent="0.35">
      <c r="A371" s="8" t="s">
        <v>422</v>
      </c>
      <c r="B371" s="8" t="str">
        <f>IF(Table2[[#This Row],[Jenis_Proyek]]="", "Tidak Diketahui", Table2[[#This Row],[Jenis_Proyek]])</f>
        <v>Gedung</v>
      </c>
      <c r="C371" s="8" t="str">
        <f>IF(Table2[[#This Row],[Lokasi]]="", "Tidak Diketahui", Table2[[#This Row],[Lokasi]])</f>
        <v>Bau-Bau</v>
      </c>
      <c r="D371" s="8" t="str">
        <f>IF(Table2[[#This Row],[Nama_Proyek]]="", "Tidak Diketahui", Table2[[#This Row],[Nama_Proyek]])</f>
        <v>Perbaikan Gedung Pemerintah Bau-Bau</v>
      </c>
      <c r="E371" s="14">
        <v>45195</v>
      </c>
      <c r="F371" s="14">
        <v>45533</v>
      </c>
      <c r="G371" s="10">
        <v>2054160295</v>
      </c>
      <c r="H371" s="8" t="str">
        <f>IF(Table2[[#This Row],[Kontraktor]]="", "Tidak Diketahui",Table2[[#This Row],[Kontraktor]])</f>
        <v>CV Sihombing</v>
      </c>
      <c r="I371" s="11"/>
    </row>
    <row r="372" spans="1:9" ht="14.25" customHeight="1" x14ac:dyDescent="0.35">
      <c r="A372" s="8" t="s">
        <v>423</v>
      </c>
      <c r="B372" s="8" t="str">
        <f>IF(Table2[[#This Row],[Jenis_Proyek]]="", "Tidak Diketahui", Table2[[#This Row],[Jenis_Proyek]])</f>
        <v>Gedung</v>
      </c>
      <c r="C372" s="8" t="str">
        <f>IF(Table2[[#This Row],[Lokasi]]="", "Tidak Diketahui", Table2[[#This Row],[Lokasi]])</f>
        <v>Depok</v>
      </c>
      <c r="D372" s="8" t="str">
        <f>IF(Table2[[#This Row],[Nama_Proyek]]="", "Tidak Diketahui", Table2[[#This Row],[Nama_Proyek]])</f>
        <v>Perbaikan Gedung Pemerintah Depok</v>
      </c>
      <c r="E372" s="14">
        <v>45196</v>
      </c>
      <c r="F372" s="14">
        <v>45429</v>
      </c>
      <c r="G372" s="10">
        <v>2343750073</v>
      </c>
      <c r="H372" s="8" t="str">
        <f>IF(Table2[[#This Row],[Kontraktor]]="", "Tidak Diketahui",Table2[[#This Row],[Kontraktor]])</f>
        <v>CV Sihombing</v>
      </c>
      <c r="I372" s="11"/>
    </row>
    <row r="373" spans="1:9" ht="14.25" customHeight="1" x14ac:dyDescent="0.35">
      <c r="A373" s="8" t="s">
        <v>424</v>
      </c>
      <c r="B373" s="8" t="str">
        <f>IF(Table2[[#This Row],[Jenis_Proyek]]="", "Tidak Diketahui", Table2[[#This Row],[Jenis_Proyek]])</f>
        <v>Gedung</v>
      </c>
      <c r="C373" s="8" t="str">
        <f>IF(Table2[[#This Row],[Lokasi]]="", "Tidak Diketahui", Table2[[#This Row],[Lokasi]])</f>
        <v>Bau-Bau</v>
      </c>
      <c r="D373" s="8" t="str">
        <f>IF(Table2[[#This Row],[Nama_Proyek]]="", "Tidak Diketahui", Table2[[#This Row],[Nama_Proyek]])</f>
        <v>Perbaikan Gedung Pemerintah Bau-Bau</v>
      </c>
      <c r="E373" s="14">
        <v>45197</v>
      </c>
      <c r="F373" s="14">
        <v>45426</v>
      </c>
      <c r="G373" s="10">
        <v>1025269810</v>
      </c>
      <c r="H373" s="8" t="str">
        <f>IF(Table2[[#This Row],[Kontraktor]]="", "Tidak Diketahui",Table2[[#This Row],[Kontraktor]])</f>
        <v>PT C</v>
      </c>
      <c r="I373" s="11"/>
    </row>
    <row r="374" spans="1:9" ht="14.25" customHeight="1" x14ac:dyDescent="0.35">
      <c r="A374" s="8" t="s">
        <v>425</v>
      </c>
      <c r="B374" s="8" t="str">
        <f>IF(Table2[[#This Row],[Jenis_Proyek]]="", "Tidak Diketahui", Table2[[#This Row],[Jenis_Proyek]])</f>
        <v>Drainase</v>
      </c>
      <c r="C374" s="8" t="str">
        <f>IF(Table2[[#This Row],[Lokasi]]="", "Tidak Diketahui", Table2[[#This Row],[Lokasi]])</f>
        <v>Tomohon</v>
      </c>
      <c r="D374" s="8" t="str">
        <f>IF(Table2[[#This Row],[Nama_Proyek]]="", "Tidak Diketahui", Table2[[#This Row],[Nama_Proyek]])</f>
        <v>Perbaikan Drainase Tomohon</v>
      </c>
      <c r="E374" s="14">
        <v>45199</v>
      </c>
      <c r="F374" s="14">
        <v>45276</v>
      </c>
      <c r="G374" s="10">
        <v>350434222</v>
      </c>
      <c r="H374" s="8" t="str">
        <f>IF(Table2[[#This Row],[Kontraktor]]="", "Tidak Diketahui",Table2[[#This Row],[Kontraktor]])</f>
        <v>PT B</v>
      </c>
      <c r="I374" s="11"/>
    </row>
    <row r="375" spans="1:9" ht="14.25" customHeight="1" x14ac:dyDescent="0.35">
      <c r="A375" s="8" t="s">
        <v>426</v>
      </c>
      <c r="B375" s="8" t="str">
        <f>IF(Table2[[#This Row],[Jenis_Proyek]]="", "Tidak Diketahui", Table2[[#This Row],[Jenis_Proyek]])</f>
        <v>Jalan Raya</v>
      </c>
      <c r="C375" s="8" t="str">
        <f>IF(Table2[[#This Row],[Lokasi]]="", "Tidak Diketahui", Table2[[#This Row],[Lokasi]])</f>
        <v>Surabaya</v>
      </c>
      <c r="D375" s="8" t="str">
        <f>IF(Table2[[#This Row],[Nama_Proyek]]="", "Tidak Diketahui", Table2[[#This Row],[Nama_Proyek]])</f>
        <v>Perbaikan Jalan Raya Surabaya</v>
      </c>
      <c r="E375" s="14">
        <v>45201</v>
      </c>
      <c r="F375" s="14">
        <v>45418</v>
      </c>
      <c r="G375" s="10">
        <v>497218843</v>
      </c>
      <c r="H375" s="8" t="str">
        <f>IF(Table2[[#This Row],[Kontraktor]]="", "Tidak Diketahui",Table2[[#This Row],[Kontraktor]])</f>
        <v>PT B</v>
      </c>
      <c r="I375" s="11"/>
    </row>
    <row r="376" spans="1:9" ht="14.25" customHeight="1" x14ac:dyDescent="0.35">
      <c r="A376" s="8" t="s">
        <v>427</v>
      </c>
      <c r="B376" s="8" t="str">
        <f>IF(Table2[[#This Row],[Jenis_Proyek]]="", "Tidak Diketahui", Table2[[#This Row],[Jenis_Proyek]])</f>
        <v>Jalan Raya</v>
      </c>
      <c r="C376" s="8" t="str">
        <f>IF(Table2[[#This Row],[Lokasi]]="", "Tidak Diketahui", Table2[[#This Row],[Lokasi]])</f>
        <v>Medan</v>
      </c>
      <c r="D376" s="8" t="str">
        <f>IF(Table2[[#This Row],[Nama_Proyek]]="", "Tidak Diketahui", Table2[[#This Row],[Nama_Proyek]])</f>
        <v>Perbaikan Jalan Raya Medan</v>
      </c>
      <c r="E376" s="14">
        <v>45201</v>
      </c>
      <c r="F376" s="14">
        <v>45499</v>
      </c>
      <c r="G376" s="10">
        <v>872130533</v>
      </c>
      <c r="H376" s="8" t="str">
        <f>IF(Table2[[#This Row],[Kontraktor]]="", "Tidak Diketahui",Table2[[#This Row],[Kontraktor]])</f>
        <v>PT. Lailasari Hariyah (Persero) Tbk</v>
      </c>
      <c r="I376" s="11"/>
    </row>
    <row r="377" spans="1:9" ht="14.25" customHeight="1" x14ac:dyDescent="0.35">
      <c r="A377" s="8" t="s">
        <v>428</v>
      </c>
      <c r="B377" s="8" t="str">
        <f>IF(Table2[[#This Row],[Jenis_Proyek]]="", "Tidak Diketahui", Table2[[#This Row],[Jenis_Proyek]])</f>
        <v>Flyover</v>
      </c>
      <c r="C377" s="8" t="str">
        <f>IF(Table2[[#This Row],[Lokasi]]="", "Tidak Diketahui", Table2[[#This Row],[Lokasi]])</f>
        <v>Depok</v>
      </c>
      <c r="D377" s="8" t="str">
        <f>IF(Table2[[#This Row],[Nama_Proyek]]="", "Tidak Diketahui", Table2[[#This Row],[Nama_Proyek]])</f>
        <v>Pembuatan Flyover Depok</v>
      </c>
      <c r="E377" s="14">
        <v>45202</v>
      </c>
      <c r="F377" s="14">
        <v>45487</v>
      </c>
      <c r="G377" s="10">
        <v>4907012780</v>
      </c>
      <c r="H377" s="8" t="str">
        <f>IF(Table2[[#This Row],[Kontraktor]]="", "Tidak Diketahui",Table2[[#This Row],[Kontraktor]])</f>
        <v>CV Sihombing</v>
      </c>
      <c r="I377" s="11"/>
    </row>
    <row r="378" spans="1:9" ht="14.25" customHeight="1" x14ac:dyDescent="0.35">
      <c r="A378" s="8" t="s">
        <v>429</v>
      </c>
      <c r="B378" s="8" t="str">
        <f>IF(Table2[[#This Row],[Jenis_Proyek]]="", "Tidak Diketahui", Table2[[#This Row],[Jenis_Proyek]])</f>
        <v>Flyover</v>
      </c>
      <c r="C378" s="8" t="str">
        <f>IF(Table2[[#This Row],[Lokasi]]="", "Tidak Diketahui", Table2[[#This Row],[Lokasi]])</f>
        <v>Medan</v>
      </c>
      <c r="D378" s="8" t="str">
        <f>IF(Table2[[#This Row],[Nama_Proyek]]="", "Tidak Diketahui", Table2[[#This Row],[Nama_Proyek]])</f>
        <v>Pembuatan Flyover Medan</v>
      </c>
      <c r="E378" s="14">
        <v>45202</v>
      </c>
      <c r="F378" s="14">
        <v>45456</v>
      </c>
      <c r="G378" s="10">
        <v>3253936748</v>
      </c>
      <c r="H378" s="8" t="str">
        <f>IF(Table2[[#This Row],[Kontraktor]]="", "Tidak Diketahui",Table2[[#This Row],[Kontraktor]])</f>
        <v>PT D</v>
      </c>
      <c r="I378" s="11"/>
    </row>
    <row r="379" spans="1:9" ht="14.25" customHeight="1" x14ac:dyDescent="0.35">
      <c r="A379" s="8" t="s">
        <v>430</v>
      </c>
      <c r="B379" s="8" t="str">
        <f>IF(Table2[[#This Row],[Jenis_Proyek]]="", "Tidak Diketahui", Table2[[#This Row],[Jenis_Proyek]])</f>
        <v>Gedung</v>
      </c>
      <c r="C379" s="8" t="str">
        <f>IF(Table2[[#This Row],[Lokasi]]="", "Tidak Diketahui", Table2[[#This Row],[Lokasi]])</f>
        <v>Tomohon</v>
      </c>
      <c r="D379" s="8" t="str">
        <f>IF(Table2[[#This Row],[Nama_Proyek]]="", "Tidak Diketahui", Table2[[#This Row],[Nama_Proyek]])</f>
        <v>Perbaikan Gedung Pemerintah Tomohon</v>
      </c>
      <c r="E379" s="14">
        <v>45202</v>
      </c>
      <c r="F379" s="14">
        <v>45474</v>
      </c>
      <c r="G379" s="10">
        <v>1125747425</v>
      </c>
      <c r="H379" s="8" t="str">
        <f>IF(Table2[[#This Row],[Kontraktor]]="", "Tidak Diketahui",Table2[[#This Row],[Kontraktor]])</f>
        <v>Tidak Diketahui</v>
      </c>
      <c r="I379" s="11"/>
    </row>
    <row r="380" spans="1:9" ht="14.25" customHeight="1" x14ac:dyDescent="0.35">
      <c r="A380" s="8" t="s">
        <v>431</v>
      </c>
      <c r="B380" s="8" t="str">
        <f>IF(Table2[[#This Row],[Jenis_Proyek]]="", "Tidak Diketahui", Table2[[#This Row],[Jenis_Proyek]])</f>
        <v>Jembatan</v>
      </c>
      <c r="C380" s="8" t="str">
        <f>IF(Table2[[#This Row],[Lokasi]]="", "Tidak Diketahui", Table2[[#This Row],[Lokasi]])</f>
        <v>Medan</v>
      </c>
      <c r="D380" s="8" t="str">
        <f>IF(Table2[[#This Row],[Nama_Proyek]]="", "Tidak Diketahui", Table2[[#This Row],[Nama_Proyek]])</f>
        <v>Pembuatan Jembatan Medan</v>
      </c>
      <c r="E380" s="14">
        <v>45202</v>
      </c>
      <c r="F380" s="14">
        <v>45551</v>
      </c>
      <c r="G380" s="10">
        <v>1635038686</v>
      </c>
      <c r="H380" s="8" t="str">
        <f>IF(Table2[[#This Row],[Kontraktor]]="", "Tidak Diketahui",Table2[[#This Row],[Kontraktor]])</f>
        <v>PT B</v>
      </c>
      <c r="I380" s="11"/>
    </row>
    <row r="381" spans="1:9" ht="14.25" customHeight="1" x14ac:dyDescent="0.35">
      <c r="A381" s="8" t="s">
        <v>432</v>
      </c>
      <c r="B381" s="8" t="str">
        <f>IF(Table2[[#This Row],[Jenis_Proyek]]="", "Tidak Diketahui", Table2[[#This Row],[Jenis_Proyek]])</f>
        <v>Gedung</v>
      </c>
      <c r="C381" s="8" t="str">
        <f>IF(Table2[[#This Row],[Lokasi]]="", "Tidak Diketahui", Table2[[#This Row],[Lokasi]])</f>
        <v>Medan</v>
      </c>
      <c r="D381" s="8" t="str">
        <f>IF(Table2[[#This Row],[Nama_Proyek]]="", "Tidak Diketahui", Table2[[#This Row],[Nama_Proyek]])</f>
        <v>Perbaikan Gedung Pemerintah Medan</v>
      </c>
      <c r="E381" s="14">
        <v>45202</v>
      </c>
      <c r="F381" s="14">
        <v>45532</v>
      </c>
      <c r="G381" s="10">
        <v>9829087531</v>
      </c>
      <c r="H381" s="8" t="str">
        <f>IF(Table2[[#This Row],[Kontraktor]]="", "Tidak Diketahui",Table2[[#This Row],[Kontraktor]])</f>
        <v>PT A</v>
      </c>
      <c r="I381" s="11"/>
    </row>
    <row r="382" spans="1:9" ht="14.25" customHeight="1" x14ac:dyDescent="0.35">
      <c r="A382" s="8" t="s">
        <v>433</v>
      </c>
      <c r="B382" s="8" t="str">
        <f>IF(Table2[[#This Row],[Jenis_Proyek]]="", "Tidak Diketahui", Table2[[#This Row],[Jenis_Proyek]])</f>
        <v>Gedung</v>
      </c>
      <c r="C382" s="8" t="str">
        <f>IF(Table2[[#This Row],[Lokasi]]="", "Tidak Diketahui", Table2[[#This Row],[Lokasi]])</f>
        <v>Surabaya</v>
      </c>
      <c r="D382" s="8" t="str">
        <f>IF(Table2[[#This Row],[Nama_Proyek]]="", "Tidak Diketahui", Table2[[#This Row],[Nama_Proyek]])</f>
        <v>Perbaikan Gedung Pemerintah Surabaya</v>
      </c>
      <c r="E382" s="14">
        <v>45202</v>
      </c>
      <c r="F382" s="14">
        <v>45387</v>
      </c>
      <c r="G382" s="10">
        <v>1057037862</v>
      </c>
      <c r="H382" s="8" t="str">
        <f>IF(Table2[[#This Row],[Kontraktor]]="", "Tidak Diketahui",Table2[[#This Row],[Kontraktor]])</f>
        <v>PT. Lailasari Hariyah (Persero) Tbk</v>
      </c>
      <c r="I382" s="11"/>
    </row>
    <row r="383" spans="1:9" ht="14.25" customHeight="1" x14ac:dyDescent="0.35">
      <c r="A383" s="8" t="s">
        <v>434</v>
      </c>
      <c r="B383" s="8" t="str">
        <f>IF(Table2[[#This Row],[Jenis_Proyek]]="", "Tidak Diketahui", Table2[[#This Row],[Jenis_Proyek]])</f>
        <v>Jembatan</v>
      </c>
      <c r="C383" s="8" t="str">
        <f>IF(Table2[[#This Row],[Lokasi]]="", "Tidak Diketahui", Table2[[#This Row],[Lokasi]])</f>
        <v>Bandung</v>
      </c>
      <c r="D383" s="8" t="str">
        <f>IF(Table2[[#This Row],[Nama_Proyek]]="", "Tidak Diketahui", Table2[[#This Row],[Nama_Proyek]])</f>
        <v>Pembuatan Jembatan Bandung</v>
      </c>
      <c r="E383" s="14">
        <v>45203</v>
      </c>
      <c r="F383" s="14">
        <v>45407</v>
      </c>
      <c r="G383" s="10">
        <v>5469982538</v>
      </c>
      <c r="H383" s="8" t="str">
        <f>IF(Table2[[#This Row],[Kontraktor]]="", "Tidak Diketahui",Table2[[#This Row],[Kontraktor]])</f>
        <v>CV Sihombing</v>
      </c>
      <c r="I383" s="11"/>
    </row>
    <row r="384" spans="1:9" ht="14.25" customHeight="1" x14ac:dyDescent="0.35">
      <c r="A384" s="8" t="s">
        <v>435</v>
      </c>
      <c r="B384" s="8" t="str">
        <f>IF(Table2[[#This Row],[Jenis_Proyek]]="", "Tidak Diketahui", Table2[[#This Row],[Jenis_Proyek]])</f>
        <v>Jembatan</v>
      </c>
      <c r="C384" s="8" t="str">
        <f>IF(Table2[[#This Row],[Lokasi]]="", "Tidak Diketahui", Table2[[#This Row],[Lokasi]])</f>
        <v>Tomohon</v>
      </c>
      <c r="D384" s="8" t="str">
        <f>IF(Table2[[#This Row],[Nama_Proyek]]="", "Tidak Diketahui", Table2[[#This Row],[Nama_Proyek]])</f>
        <v>Perbaikan Jembatan Tomohon</v>
      </c>
      <c r="E384" s="14">
        <v>45204</v>
      </c>
      <c r="F384" s="14">
        <v>45308</v>
      </c>
      <c r="G384" s="10">
        <v>5055515290</v>
      </c>
      <c r="H384" s="8" t="str">
        <f>IF(Table2[[#This Row],[Kontraktor]]="", "Tidak Diketahui",Table2[[#This Row],[Kontraktor]])</f>
        <v>PT B</v>
      </c>
      <c r="I384" s="11"/>
    </row>
    <row r="385" spans="1:9" ht="14.25" customHeight="1" x14ac:dyDescent="0.35">
      <c r="A385" s="8" t="s">
        <v>436</v>
      </c>
      <c r="B385" s="8" t="str">
        <f>IF(Table2[[#This Row],[Jenis_Proyek]]="", "Tidak Diketahui", Table2[[#This Row],[Jenis_Proyek]])</f>
        <v>Gedung</v>
      </c>
      <c r="C385" s="8" t="str">
        <f>IF(Table2[[#This Row],[Lokasi]]="", "Tidak Diketahui", Table2[[#This Row],[Lokasi]])</f>
        <v>Surabaya</v>
      </c>
      <c r="D385" s="8" t="str">
        <f>IF(Table2[[#This Row],[Nama_Proyek]]="", "Tidak Diketahui", Table2[[#This Row],[Nama_Proyek]])</f>
        <v>Perbaikan Gedung Pemerintah Surabaya</v>
      </c>
      <c r="E385" s="14">
        <v>45205</v>
      </c>
      <c r="F385" s="14">
        <v>45463</v>
      </c>
      <c r="G385" s="10">
        <v>2556364237</v>
      </c>
      <c r="H385" s="8" t="str">
        <f>IF(Table2[[#This Row],[Kontraktor]]="", "Tidak Diketahui",Table2[[#This Row],[Kontraktor]])</f>
        <v>Tidak Diketahui</v>
      </c>
      <c r="I385" s="11"/>
    </row>
    <row r="386" spans="1:9" ht="14.25" customHeight="1" x14ac:dyDescent="0.35">
      <c r="A386" s="8" t="s">
        <v>437</v>
      </c>
      <c r="B386" s="8" t="str">
        <f>IF(Table2[[#This Row],[Jenis_Proyek]]="", "Tidak Diketahui", Table2[[#This Row],[Jenis_Proyek]])</f>
        <v>Jembatan</v>
      </c>
      <c r="C386" s="8" t="str">
        <f>IF(Table2[[#This Row],[Lokasi]]="", "Tidak Diketahui", Table2[[#This Row],[Lokasi]])</f>
        <v>Bandung</v>
      </c>
      <c r="D386" s="8" t="str">
        <f>IF(Table2[[#This Row],[Nama_Proyek]]="", "Tidak Diketahui", Table2[[#This Row],[Nama_Proyek]])</f>
        <v>Perbaikan Jembatan Bandung</v>
      </c>
      <c r="E386" s="14">
        <v>45205</v>
      </c>
      <c r="F386" s="14">
        <v>45384</v>
      </c>
      <c r="G386" s="10">
        <v>6904869726</v>
      </c>
      <c r="H386" s="8" t="str">
        <f>IF(Table2[[#This Row],[Kontraktor]]="", "Tidak Diketahui",Table2[[#This Row],[Kontraktor]])</f>
        <v>PT. Lailasari Hariyah (Persero) Tbk</v>
      </c>
      <c r="I386" s="11"/>
    </row>
    <row r="387" spans="1:9" ht="14.25" customHeight="1" x14ac:dyDescent="0.35">
      <c r="A387" s="8" t="s">
        <v>438</v>
      </c>
      <c r="B387" s="8" t="str">
        <f>IF(Table2[[#This Row],[Jenis_Proyek]]="", "Tidak Diketahui", Table2[[#This Row],[Jenis_Proyek]])</f>
        <v>Jembatan</v>
      </c>
      <c r="C387" s="8" t="str">
        <f>IF(Table2[[#This Row],[Lokasi]]="", "Tidak Diketahui", Table2[[#This Row],[Lokasi]])</f>
        <v>Jakarta</v>
      </c>
      <c r="D387" s="8" t="str">
        <f>IF(Table2[[#This Row],[Nama_Proyek]]="", "Tidak Diketahui", Table2[[#This Row],[Nama_Proyek]])</f>
        <v>Perbaikan Jembatan Jakarta</v>
      </c>
      <c r="E387" s="14">
        <v>45205</v>
      </c>
      <c r="F387" s="14">
        <v>45503</v>
      </c>
      <c r="G387" s="10">
        <v>3882607118</v>
      </c>
      <c r="H387" s="8" t="str">
        <f>IF(Table2[[#This Row],[Kontraktor]]="", "Tidak Diketahui",Table2[[#This Row],[Kontraktor]])</f>
        <v>Tidak Diketahui</v>
      </c>
      <c r="I387" s="11"/>
    </row>
    <row r="388" spans="1:9" ht="14.25" customHeight="1" x14ac:dyDescent="0.35">
      <c r="A388" s="8" t="s">
        <v>439</v>
      </c>
      <c r="B388" s="8" t="str">
        <f>IF(Table2[[#This Row],[Jenis_Proyek]]="", "Tidak Diketahui", Table2[[#This Row],[Jenis_Proyek]])</f>
        <v>Jalan Raya</v>
      </c>
      <c r="C388" s="8" t="str">
        <f>IF(Table2[[#This Row],[Lokasi]]="", "Tidak Diketahui", Table2[[#This Row],[Lokasi]])</f>
        <v>Bandung</v>
      </c>
      <c r="D388" s="8" t="str">
        <f>IF(Table2[[#This Row],[Nama_Proyek]]="", "Tidak Diketahui", Table2[[#This Row],[Nama_Proyek]])</f>
        <v>Perbaikan Jalan Raya Bandung</v>
      </c>
      <c r="E388" s="14">
        <v>45205</v>
      </c>
      <c r="F388" s="14">
        <v>45535</v>
      </c>
      <c r="G388" s="10">
        <v>888436167</v>
      </c>
      <c r="H388" s="8" t="str">
        <f>IF(Table2[[#This Row],[Kontraktor]]="", "Tidak Diketahui",Table2[[#This Row],[Kontraktor]])</f>
        <v>PT. Lailasari Hariyah (Persero) Tbk</v>
      </c>
      <c r="I388" s="11"/>
    </row>
    <row r="389" spans="1:9" ht="14.25" customHeight="1" x14ac:dyDescent="0.35">
      <c r="A389" s="8" t="s">
        <v>440</v>
      </c>
      <c r="B389" s="8" t="str">
        <f>IF(Table2[[#This Row],[Jenis_Proyek]]="", "Tidak Diketahui", Table2[[#This Row],[Jenis_Proyek]])</f>
        <v>Jembatan</v>
      </c>
      <c r="C389" s="8" t="str">
        <f>IF(Table2[[#This Row],[Lokasi]]="", "Tidak Diketahui", Table2[[#This Row],[Lokasi]])</f>
        <v>Jakarta</v>
      </c>
      <c r="D389" s="8" t="str">
        <f>IF(Table2[[#This Row],[Nama_Proyek]]="", "Tidak Diketahui", Table2[[#This Row],[Nama_Proyek]])</f>
        <v>Pembuatan Jembatan Jakarta</v>
      </c>
      <c r="E389" s="14">
        <v>45205</v>
      </c>
      <c r="F389" s="14">
        <v>45283</v>
      </c>
      <c r="G389" s="10">
        <v>1354806627</v>
      </c>
      <c r="H389" s="8" t="str">
        <f>IF(Table2[[#This Row],[Kontraktor]]="", "Tidak Diketahui",Table2[[#This Row],[Kontraktor]])</f>
        <v>CV Sihombing</v>
      </c>
      <c r="I389" s="11"/>
    </row>
    <row r="390" spans="1:9" ht="14.25" customHeight="1" x14ac:dyDescent="0.35">
      <c r="A390" s="8" t="s">
        <v>441</v>
      </c>
      <c r="B390" s="8" t="str">
        <f>IF(Table2[[#This Row],[Jenis_Proyek]]="", "Tidak Diketahui", Table2[[#This Row],[Jenis_Proyek]])</f>
        <v>Jalan Raya</v>
      </c>
      <c r="C390" s="8" t="str">
        <f>IF(Table2[[#This Row],[Lokasi]]="", "Tidak Diketahui", Table2[[#This Row],[Lokasi]])</f>
        <v>Bau-Bau</v>
      </c>
      <c r="D390" s="8" t="str">
        <f>IF(Table2[[#This Row],[Nama_Proyek]]="", "Tidak Diketahui", Table2[[#This Row],[Nama_Proyek]])</f>
        <v>Perbaikan Jalan Raya Bau-Bau</v>
      </c>
      <c r="E390" s="14">
        <v>45206</v>
      </c>
      <c r="F390" s="14">
        <v>45293</v>
      </c>
      <c r="G390" s="10">
        <v>984605716</v>
      </c>
      <c r="H390" s="8" t="str">
        <f>IF(Table2[[#This Row],[Kontraktor]]="", "Tidak Diketahui",Table2[[#This Row],[Kontraktor]])</f>
        <v>PT D</v>
      </c>
      <c r="I390" s="11"/>
    </row>
    <row r="391" spans="1:9" ht="14.25" customHeight="1" x14ac:dyDescent="0.35">
      <c r="A391" s="8" t="s">
        <v>442</v>
      </c>
      <c r="B391" s="8" t="str">
        <f>IF(Table2[[#This Row],[Jenis_Proyek]]="", "Tidak Diketahui", Table2[[#This Row],[Jenis_Proyek]])</f>
        <v>Jalan Raya</v>
      </c>
      <c r="C391" s="8" t="str">
        <f>IF(Table2[[#This Row],[Lokasi]]="", "Tidak Diketahui", Table2[[#This Row],[Lokasi]])</f>
        <v>Bandung</v>
      </c>
      <c r="D391" s="8" t="str">
        <f>IF(Table2[[#This Row],[Nama_Proyek]]="", "Tidak Diketahui", Table2[[#This Row],[Nama_Proyek]])</f>
        <v>Perbaikan Jalan Raya Bandung</v>
      </c>
      <c r="E391" s="14">
        <v>45207</v>
      </c>
      <c r="F391" s="14">
        <v>45507</v>
      </c>
      <c r="G391" s="10">
        <v>371601786</v>
      </c>
      <c r="H391" s="8" t="str">
        <f>IF(Table2[[#This Row],[Kontraktor]]="", "Tidak Diketahui",Table2[[#This Row],[Kontraktor]])</f>
        <v>PT. Lailasari Hariyah (Persero) Tbk</v>
      </c>
      <c r="I391" s="11"/>
    </row>
    <row r="392" spans="1:9" ht="14.25" customHeight="1" x14ac:dyDescent="0.35">
      <c r="A392" s="8" t="s">
        <v>443</v>
      </c>
      <c r="B392" s="8" t="str">
        <f>IF(Table2[[#This Row],[Jenis_Proyek]]="", "Tidak Diketahui", Table2[[#This Row],[Jenis_Proyek]])</f>
        <v>Jalan Raya</v>
      </c>
      <c r="C392" s="8" t="str">
        <f>IF(Table2[[#This Row],[Lokasi]]="", "Tidak Diketahui", Table2[[#This Row],[Lokasi]])</f>
        <v>Depok</v>
      </c>
      <c r="D392" s="8" t="str">
        <f>IF(Table2[[#This Row],[Nama_Proyek]]="", "Tidak Diketahui", Table2[[#This Row],[Nama_Proyek]])</f>
        <v>Perbaikan Jalan Raya Depok</v>
      </c>
      <c r="E392" s="14">
        <v>45207</v>
      </c>
      <c r="F392" s="14">
        <v>45396</v>
      </c>
      <c r="G392" s="10">
        <v>516197294</v>
      </c>
      <c r="H392" s="8" t="str">
        <f>IF(Table2[[#This Row],[Kontraktor]]="", "Tidak Diketahui",Table2[[#This Row],[Kontraktor]])</f>
        <v>PT A</v>
      </c>
      <c r="I392" s="11"/>
    </row>
    <row r="393" spans="1:9" ht="14.25" customHeight="1" x14ac:dyDescent="0.35">
      <c r="A393" s="8" t="s">
        <v>444</v>
      </c>
      <c r="B393" s="8" t="str">
        <f>IF(Table2[[#This Row],[Jenis_Proyek]]="", "Tidak Diketahui", Table2[[#This Row],[Jenis_Proyek]])</f>
        <v>Jalan Raya</v>
      </c>
      <c r="C393" s="8" t="str">
        <f>IF(Table2[[#This Row],[Lokasi]]="", "Tidak Diketahui", Table2[[#This Row],[Lokasi]])</f>
        <v>Surabaya</v>
      </c>
      <c r="D393" s="8" t="str">
        <f>IF(Table2[[#This Row],[Nama_Proyek]]="", "Tidak Diketahui", Table2[[#This Row],[Nama_Proyek]])</f>
        <v>Perbaikan Jalan Raya Surabaya</v>
      </c>
      <c r="E393" s="14">
        <v>45207</v>
      </c>
      <c r="F393" s="14">
        <v>45572</v>
      </c>
      <c r="G393" s="10">
        <v>540697362</v>
      </c>
      <c r="H393" s="8" t="str">
        <f>IF(Table2[[#This Row],[Kontraktor]]="", "Tidak Diketahui",Table2[[#This Row],[Kontraktor]])</f>
        <v>PT B</v>
      </c>
      <c r="I393" s="11"/>
    </row>
    <row r="394" spans="1:9" ht="14.25" customHeight="1" x14ac:dyDescent="0.35">
      <c r="A394" s="8" t="s">
        <v>445</v>
      </c>
      <c r="B394" s="8" t="str">
        <f>IF(Table2[[#This Row],[Jenis_Proyek]]="", "Tidak Diketahui", Table2[[#This Row],[Jenis_Proyek]])</f>
        <v>Gedung</v>
      </c>
      <c r="C394" s="8" t="str">
        <f>IF(Table2[[#This Row],[Lokasi]]="", "Tidak Diketahui", Table2[[#This Row],[Lokasi]])</f>
        <v>Depok</v>
      </c>
      <c r="D394" s="8" t="str">
        <f>IF(Table2[[#This Row],[Nama_Proyek]]="", "Tidak Diketahui", Table2[[#This Row],[Nama_Proyek]])</f>
        <v>Perbaikan Gedung Pemerintah Depok</v>
      </c>
      <c r="E394" s="14">
        <v>45208</v>
      </c>
      <c r="F394" s="14">
        <v>45388</v>
      </c>
      <c r="G394" s="10">
        <v>6374609108</v>
      </c>
      <c r="H394" s="8" t="str">
        <f>IF(Table2[[#This Row],[Kontraktor]]="", "Tidak Diketahui",Table2[[#This Row],[Kontraktor]])</f>
        <v>PT A</v>
      </c>
      <c r="I394" s="11"/>
    </row>
    <row r="395" spans="1:9" ht="14.25" customHeight="1" x14ac:dyDescent="0.35">
      <c r="A395" s="8" t="s">
        <v>446</v>
      </c>
      <c r="B395" s="8" t="str">
        <f>IF(Table2[[#This Row],[Jenis_Proyek]]="", "Tidak Diketahui", Table2[[#This Row],[Jenis_Proyek]])</f>
        <v>Jembatan</v>
      </c>
      <c r="C395" s="8" t="str">
        <f>IF(Table2[[#This Row],[Lokasi]]="", "Tidak Diketahui", Table2[[#This Row],[Lokasi]])</f>
        <v>Surabaya</v>
      </c>
      <c r="D395" s="8" t="str">
        <f>IF(Table2[[#This Row],[Nama_Proyek]]="", "Tidak Diketahui", Table2[[#This Row],[Nama_Proyek]])</f>
        <v>Perbaikan Jembatan Surabaya</v>
      </c>
      <c r="E395" s="14">
        <v>45208</v>
      </c>
      <c r="F395" s="14">
        <v>45271</v>
      </c>
      <c r="G395" s="10">
        <v>2805083829</v>
      </c>
      <c r="H395" s="8" t="str">
        <f>IF(Table2[[#This Row],[Kontraktor]]="", "Tidak Diketahui",Table2[[#This Row],[Kontraktor]])</f>
        <v>PT. Yuniar Hakim Tbk</v>
      </c>
      <c r="I395" s="11"/>
    </row>
    <row r="396" spans="1:9" ht="14.25" customHeight="1" x14ac:dyDescent="0.35">
      <c r="A396" s="8" t="s">
        <v>447</v>
      </c>
      <c r="B396" s="8" t="str">
        <f>IF(Table2[[#This Row],[Jenis_Proyek]]="", "Tidak Diketahui", Table2[[#This Row],[Jenis_Proyek]])</f>
        <v>Gedung</v>
      </c>
      <c r="C396" s="8" t="str">
        <f>IF(Table2[[#This Row],[Lokasi]]="", "Tidak Diketahui", Table2[[#This Row],[Lokasi]])</f>
        <v>Tomohon</v>
      </c>
      <c r="D396" s="8" t="str">
        <f>IF(Table2[[#This Row],[Nama_Proyek]]="", "Tidak Diketahui", Table2[[#This Row],[Nama_Proyek]])</f>
        <v>Perbaikan Gedung Pemerintah Tomohon</v>
      </c>
      <c r="E396" s="14">
        <v>45210</v>
      </c>
      <c r="F396" s="14">
        <v>45557</v>
      </c>
      <c r="G396" s="10">
        <v>7779607484</v>
      </c>
      <c r="H396" s="8" t="str">
        <f>IF(Table2[[#This Row],[Kontraktor]]="", "Tidak Diketahui",Table2[[#This Row],[Kontraktor]])</f>
        <v>PT. Lailasari Hariyah (Persero) Tbk</v>
      </c>
      <c r="I396" s="11"/>
    </row>
    <row r="397" spans="1:9" ht="14.25" customHeight="1" x14ac:dyDescent="0.35">
      <c r="A397" s="8" t="s">
        <v>448</v>
      </c>
      <c r="B397" s="8" t="str">
        <f>IF(Table2[[#This Row],[Jenis_Proyek]]="", "Tidak Diketahui", Table2[[#This Row],[Jenis_Proyek]])</f>
        <v>Jembatan</v>
      </c>
      <c r="C397" s="8" t="str">
        <f>IF(Table2[[#This Row],[Lokasi]]="", "Tidak Diketahui", Table2[[#This Row],[Lokasi]])</f>
        <v>Tomohon</v>
      </c>
      <c r="D397" s="8" t="str">
        <f>IF(Table2[[#This Row],[Nama_Proyek]]="", "Tidak Diketahui", Table2[[#This Row],[Nama_Proyek]])</f>
        <v>Perbaikan Jembatan Tomohon</v>
      </c>
      <c r="E397" s="14">
        <v>45211</v>
      </c>
      <c r="F397" s="14">
        <v>45297</v>
      </c>
      <c r="G397" s="10">
        <v>1204572808</v>
      </c>
      <c r="H397" s="8" t="str">
        <f>IF(Table2[[#This Row],[Kontraktor]]="", "Tidak Diketahui",Table2[[#This Row],[Kontraktor]])</f>
        <v>Tidak Diketahui</v>
      </c>
      <c r="I397" s="11"/>
    </row>
    <row r="398" spans="1:9" ht="14.25" customHeight="1" x14ac:dyDescent="0.35">
      <c r="A398" s="8" t="s">
        <v>449</v>
      </c>
      <c r="B398" s="8" t="str">
        <f>IF(Table2[[#This Row],[Jenis_Proyek]]="", "Tidak Diketahui", Table2[[#This Row],[Jenis_Proyek]])</f>
        <v>Jalan Raya</v>
      </c>
      <c r="C398" s="8" t="str">
        <f>IF(Table2[[#This Row],[Lokasi]]="", "Tidak Diketahui", Table2[[#This Row],[Lokasi]])</f>
        <v>Depok</v>
      </c>
      <c r="D398" s="8" t="str">
        <f>IF(Table2[[#This Row],[Nama_Proyek]]="", "Tidak Diketahui", Table2[[#This Row],[Nama_Proyek]])</f>
        <v>Perbaikan Jalan Raya Depok</v>
      </c>
      <c r="E398" s="14">
        <v>45214</v>
      </c>
      <c r="F398" s="14">
        <v>45488</v>
      </c>
      <c r="G398" s="10">
        <v>909945479</v>
      </c>
      <c r="H398" s="8" t="str">
        <f>IF(Table2[[#This Row],[Kontraktor]]="", "Tidak Diketahui",Table2[[#This Row],[Kontraktor]])</f>
        <v>CV Sihombing</v>
      </c>
      <c r="I398" s="11"/>
    </row>
    <row r="399" spans="1:9" ht="14.25" customHeight="1" x14ac:dyDescent="0.35">
      <c r="A399" s="8" t="s">
        <v>450</v>
      </c>
      <c r="B399" s="8" t="str">
        <f>IF(Table2[[#This Row],[Jenis_Proyek]]="", "Tidak Diketahui", Table2[[#This Row],[Jenis_Proyek]])</f>
        <v>Gedung</v>
      </c>
      <c r="C399" s="8" t="str">
        <f>IF(Table2[[#This Row],[Lokasi]]="", "Tidak Diketahui", Table2[[#This Row],[Lokasi]])</f>
        <v>Jakarta</v>
      </c>
      <c r="D399" s="8" t="str">
        <f>IF(Table2[[#This Row],[Nama_Proyek]]="", "Tidak Diketahui", Table2[[#This Row],[Nama_Proyek]])</f>
        <v>Perbaikan Gedung Pemerintah Jakarta</v>
      </c>
      <c r="E399" s="14">
        <v>45214</v>
      </c>
      <c r="F399" s="14">
        <v>45410</v>
      </c>
      <c r="G399" s="10">
        <v>5167811974</v>
      </c>
      <c r="H399" s="8" t="str">
        <f>IF(Table2[[#This Row],[Kontraktor]]="", "Tidak Diketahui",Table2[[#This Row],[Kontraktor]])</f>
        <v>Tidak Diketahui</v>
      </c>
      <c r="I399" s="11"/>
    </row>
    <row r="400" spans="1:9" ht="14.25" customHeight="1" x14ac:dyDescent="0.35">
      <c r="A400" s="8" t="s">
        <v>451</v>
      </c>
      <c r="B400" s="8" t="str">
        <f>IF(Table2[[#This Row],[Jenis_Proyek]]="", "Tidak Diketahui", Table2[[#This Row],[Jenis_Proyek]])</f>
        <v>Drainase</v>
      </c>
      <c r="C400" s="8" t="str">
        <f>IF(Table2[[#This Row],[Lokasi]]="", "Tidak Diketahui", Table2[[#This Row],[Lokasi]])</f>
        <v>Jakarta</v>
      </c>
      <c r="D400" s="8" t="str">
        <f>IF(Table2[[#This Row],[Nama_Proyek]]="", "Tidak Diketahui", Table2[[#This Row],[Nama_Proyek]])</f>
        <v>Perbaikan Drainase Jakarta</v>
      </c>
      <c r="E400" s="14">
        <v>45217</v>
      </c>
      <c r="F400" s="14">
        <v>45469</v>
      </c>
      <c r="G400" s="10">
        <v>320968841</v>
      </c>
      <c r="H400" s="8" t="str">
        <f>IF(Table2[[#This Row],[Kontraktor]]="", "Tidak Diketahui",Table2[[#This Row],[Kontraktor]])</f>
        <v>PT A</v>
      </c>
      <c r="I400" s="11"/>
    </row>
    <row r="401" spans="1:9" ht="14.25" customHeight="1" x14ac:dyDescent="0.35">
      <c r="A401" s="8" t="s">
        <v>452</v>
      </c>
      <c r="B401" s="8" t="str">
        <f>IF(Table2[[#This Row],[Jenis_Proyek]]="", "Tidak Diketahui", Table2[[#This Row],[Jenis_Proyek]])</f>
        <v>Flyover</v>
      </c>
      <c r="C401" s="8" t="str">
        <f>IF(Table2[[#This Row],[Lokasi]]="", "Tidak Diketahui", Table2[[#This Row],[Lokasi]])</f>
        <v>Jakarta</v>
      </c>
      <c r="D401" s="8" t="str">
        <f>IF(Table2[[#This Row],[Nama_Proyek]]="", "Tidak Diketahui", Table2[[#This Row],[Nama_Proyek]])</f>
        <v>Pembuatan Flyover Jakarta</v>
      </c>
      <c r="E401" s="14">
        <v>45217</v>
      </c>
      <c r="F401" s="14">
        <v>45524</v>
      </c>
      <c r="G401" s="10">
        <v>2879285863</v>
      </c>
      <c r="H401" s="8" t="str">
        <f>IF(Table2[[#This Row],[Kontraktor]]="", "Tidak Diketahui",Table2[[#This Row],[Kontraktor]])</f>
        <v>PT D</v>
      </c>
      <c r="I401" s="11"/>
    </row>
    <row r="402" spans="1:9" ht="14.25" customHeight="1" x14ac:dyDescent="0.35">
      <c r="A402" s="8" t="s">
        <v>453</v>
      </c>
      <c r="B402" s="8" t="str">
        <f>IF(Table2[[#This Row],[Jenis_Proyek]]="", "Tidak Diketahui", Table2[[#This Row],[Jenis_Proyek]])</f>
        <v>Flyover</v>
      </c>
      <c r="C402" s="8" t="str">
        <f>IF(Table2[[#This Row],[Lokasi]]="", "Tidak Diketahui", Table2[[#This Row],[Lokasi]])</f>
        <v>Tomohon</v>
      </c>
      <c r="D402" s="8" t="str">
        <f>IF(Table2[[#This Row],[Nama_Proyek]]="", "Tidak Diketahui", Table2[[#This Row],[Nama_Proyek]])</f>
        <v>Pembuatan Flyover Tomohon</v>
      </c>
      <c r="E402" s="14">
        <v>45219</v>
      </c>
      <c r="F402" s="14">
        <v>45583</v>
      </c>
      <c r="G402" s="10">
        <v>4595916165</v>
      </c>
      <c r="H402" s="8" t="str">
        <f>IF(Table2[[#This Row],[Kontraktor]]="", "Tidak Diketahui",Table2[[#This Row],[Kontraktor]])</f>
        <v>PT C</v>
      </c>
      <c r="I402" s="11"/>
    </row>
    <row r="403" spans="1:9" ht="14.25" customHeight="1" x14ac:dyDescent="0.35">
      <c r="A403" s="8" t="s">
        <v>454</v>
      </c>
      <c r="B403" s="8" t="str">
        <f>IF(Table2[[#This Row],[Jenis_Proyek]]="", "Tidak Diketahui", Table2[[#This Row],[Jenis_Proyek]])</f>
        <v>Jembatan</v>
      </c>
      <c r="C403" s="8" t="str">
        <f>IF(Table2[[#This Row],[Lokasi]]="", "Tidak Diketahui", Table2[[#This Row],[Lokasi]])</f>
        <v>Surabaya</v>
      </c>
      <c r="D403" s="8" t="str">
        <f>IF(Table2[[#This Row],[Nama_Proyek]]="", "Tidak Diketahui", Table2[[#This Row],[Nama_Proyek]])</f>
        <v>Perbaikan Jembatan Surabaya</v>
      </c>
      <c r="E403" s="14">
        <v>45220</v>
      </c>
      <c r="F403" s="14">
        <v>45327</v>
      </c>
      <c r="G403" s="10">
        <v>1299848740</v>
      </c>
      <c r="H403" s="8" t="str">
        <f>IF(Table2[[#This Row],[Kontraktor]]="", "Tidak Diketahui",Table2[[#This Row],[Kontraktor]])</f>
        <v>PT B</v>
      </c>
      <c r="I403" s="11"/>
    </row>
    <row r="404" spans="1:9" ht="14.25" customHeight="1" x14ac:dyDescent="0.35">
      <c r="A404" s="8" t="s">
        <v>455</v>
      </c>
      <c r="B404" s="8" t="str">
        <f>IF(Table2[[#This Row],[Jenis_Proyek]]="", "Tidak Diketahui", Table2[[#This Row],[Jenis_Proyek]])</f>
        <v>Gedung</v>
      </c>
      <c r="C404" s="8" t="str">
        <f>IF(Table2[[#This Row],[Lokasi]]="", "Tidak Diketahui", Table2[[#This Row],[Lokasi]])</f>
        <v>Surabaya</v>
      </c>
      <c r="D404" s="8" t="str">
        <f>IF(Table2[[#This Row],[Nama_Proyek]]="", "Tidak Diketahui", Table2[[#This Row],[Nama_Proyek]])</f>
        <v>Perbaikan Gedung Pemerintah Surabaya</v>
      </c>
      <c r="E404" s="14">
        <v>45221</v>
      </c>
      <c r="F404" s="14">
        <v>45307</v>
      </c>
      <c r="G404" s="10">
        <v>3206827076</v>
      </c>
      <c r="H404" s="8" t="str">
        <f>IF(Table2[[#This Row],[Kontraktor]]="", "Tidak Diketahui",Table2[[#This Row],[Kontraktor]])</f>
        <v>PT D</v>
      </c>
      <c r="I404" s="11"/>
    </row>
    <row r="405" spans="1:9" ht="14.25" customHeight="1" x14ac:dyDescent="0.35">
      <c r="A405" s="8" t="s">
        <v>456</v>
      </c>
      <c r="B405" s="8" t="str">
        <f>IF(Table2[[#This Row],[Jenis_Proyek]]="", "Tidak Diketahui", Table2[[#This Row],[Jenis_Proyek]])</f>
        <v>Drainase</v>
      </c>
      <c r="C405" s="8" t="str">
        <f>IF(Table2[[#This Row],[Lokasi]]="", "Tidak Diketahui", Table2[[#This Row],[Lokasi]])</f>
        <v>Bau-Bau</v>
      </c>
      <c r="D405" s="8" t="str">
        <f>IF(Table2[[#This Row],[Nama_Proyek]]="", "Tidak Diketahui", Table2[[#This Row],[Nama_Proyek]])</f>
        <v>Perbaikan Drainase Bau-Bau</v>
      </c>
      <c r="E405" s="14">
        <v>45222</v>
      </c>
      <c r="F405" s="14">
        <v>45341</v>
      </c>
      <c r="G405" s="10">
        <v>559804949</v>
      </c>
      <c r="H405" s="8" t="str">
        <f>IF(Table2[[#This Row],[Kontraktor]]="", "Tidak Diketahui",Table2[[#This Row],[Kontraktor]])</f>
        <v>PT. Yuniar Hakim Tbk</v>
      </c>
      <c r="I405" s="11"/>
    </row>
    <row r="406" spans="1:9" ht="14.25" customHeight="1" x14ac:dyDescent="0.35">
      <c r="A406" s="8" t="s">
        <v>457</v>
      </c>
      <c r="B406" s="8" t="str">
        <f>IF(Table2[[#This Row],[Jenis_Proyek]]="", "Tidak Diketahui", Table2[[#This Row],[Jenis_Proyek]])</f>
        <v>Drainase</v>
      </c>
      <c r="C406" s="8" t="str">
        <f>IF(Table2[[#This Row],[Lokasi]]="", "Tidak Diketahui", Table2[[#This Row],[Lokasi]])</f>
        <v>Makassar</v>
      </c>
      <c r="D406" s="8" t="str">
        <f>IF(Table2[[#This Row],[Nama_Proyek]]="", "Tidak Diketahui", Table2[[#This Row],[Nama_Proyek]])</f>
        <v>Perbaikan Drainase Makassar</v>
      </c>
      <c r="E406" s="14">
        <v>45223</v>
      </c>
      <c r="F406" s="14">
        <v>45586</v>
      </c>
      <c r="G406" s="10">
        <v>582067969</v>
      </c>
      <c r="H406" s="8" t="str">
        <f>IF(Table2[[#This Row],[Kontraktor]]="", "Tidak Diketahui",Table2[[#This Row],[Kontraktor]])</f>
        <v>Tidak Diketahui</v>
      </c>
      <c r="I406" s="11"/>
    </row>
    <row r="407" spans="1:9" ht="14.25" customHeight="1" x14ac:dyDescent="0.35">
      <c r="A407" s="8" t="s">
        <v>458</v>
      </c>
      <c r="B407" s="8" t="str">
        <f>IF(Table2[[#This Row],[Jenis_Proyek]]="", "Tidak Diketahui", Table2[[#This Row],[Jenis_Proyek]])</f>
        <v>Jalan Raya</v>
      </c>
      <c r="C407" s="8" t="str">
        <f>IF(Table2[[#This Row],[Lokasi]]="", "Tidak Diketahui", Table2[[#This Row],[Lokasi]])</f>
        <v>Tomohon</v>
      </c>
      <c r="D407" s="8" t="str">
        <f>IF(Table2[[#This Row],[Nama_Proyek]]="", "Tidak Diketahui", Table2[[#This Row],[Nama_Proyek]])</f>
        <v>Perbaikan Jalan Raya Tomohon</v>
      </c>
      <c r="E407" s="14">
        <v>45223</v>
      </c>
      <c r="F407" s="14">
        <v>45484</v>
      </c>
      <c r="G407" s="10">
        <v>685929486</v>
      </c>
      <c r="H407" s="8" t="str">
        <f>IF(Table2[[#This Row],[Kontraktor]]="", "Tidak Diketahui",Table2[[#This Row],[Kontraktor]])</f>
        <v>PT A</v>
      </c>
      <c r="I407" s="11"/>
    </row>
    <row r="408" spans="1:9" ht="14.25" customHeight="1" x14ac:dyDescent="0.35">
      <c r="A408" s="8" t="s">
        <v>459</v>
      </c>
      <c r="B408" s="8" t="str">
        <f>IF(Table2[[#This Row],[Jenis_Proyek]]="", "Tidak Diketahui", Table2[[#This Row],[Jenis_Proyek]])</f>
        <v>Gedung</v>
      </c>
      <c r="C408" s="8" t="str">
        <f>IF(Table2[[#This Row],[Lokasi]]="", "Tidak Diketahui", Table2[[#This Row],[Lokasi]])</f>
        <v>Jakarta</v>
      </c>
      <c r="D408" s="8" t="str">
        <f>IF(Table2[[#This Row],[Nama_Proyek]]="", "Tidak Diketahui", Table2[[#This Row],[Nama_Proyek]])</f>
        <v>Perbaikan Gedung Pemerintah Jakarta</v>
      </c>
      <c r="E408" s="14">
        <v>45225</v>
      </c>
      <c r="F408" s="14">
        <v>45551</v>
      </c>
      <c r="G408" s="10">
        <v>2626084542</v>
      </c>
      <c r="H408" s="8" t="str">
        <f>IF(Table2[[#This Row],[Kontraktor]]="", "Tidak Diketahui",Table2[[#This Row],[Kontraktor]])</f>
        <v>PT. Yuniar Hakim Tbk</v>
      </c>
      <c r="I408" s="11"/>
    </row>
    <row r="409" spans="1:9" ht="14.25" customHeight="1" x14ac:dyDescent="0.35">
      <c r="A409" s="8" t="s">
        <v>460</v>
      </c>
      <c r="B409" s="8" t="str">
        <f>IF(Table2[[#This Row],[Jenis_Proyek]]="", "Tidak Diketahui", Table2[[#This Row],[Jenis_Proyek]])</f>
        <v>Jalan Raya</v>
      </c>
      <c r="C409" s="8" t="str">
        <f>IF(Table2[[#This Row],[Lokasi]]="", "Tidak Diketahui", Table2[[#This Row],[Lokasi]])</f>
        <v>Depok</v>
      </c>
      <c r="D409" s="8" t="str">
        <f>IF(Table2[[#This Row],[Nama_Proyek]]="", "Tidak Diketahui", Table2[[#This Row],[Nama_Proyek]])</f>
        <v>Perbaikan Jalan Raya Depok</v>
      </c>
      <c r="E409" s="14">
        <v>45226</v>
      </c>
      <c r="F409" s="14">
        <v>45403</v>
      </c>
      <c r="G409" s="10">
        <v>893411259</v>
      </c>
      <c r="H409" s="8" t="str">
        <f>IF(Table2[[#This Row],[Kontraktor]]="", "Tidak Diketahui",Table2[[#This Row],[Kontraktor]])</f>
        <v>PT A</v>
      </c>
      <c r="I409" s="11"/>
    </row>
    <row r="410" spans="1:9" ht="14.25" customHeight="1" x14ac:dyDescent="0.35">
      <c r="A410" s="8" t="s">
        <v>461</v>
      </c>
      <c r="B410" s="8" t="str">
        <f>IF(Table2[[#This Row],[Jenis_Proyek]]="", "Tidak Diketahui", Table2[[#This Row],[Jenis_Proyek]])</f>
        <v>Drainase</v>
      </c>
      <c r="C410" s="8" t="str">
        <f>IF(Table2[[#This Row],[Lokasi]]="", "Tidak Diketahui", Table2[[#This Row],[Lokasi]])</f>
        <v>Medan</v>
      </c>
      <c r="D410" s="8" t="str">
        <f>IF(Table2[[#This Row],[Nama_Proyek]]="", "Tidak Diketahui", Table2[[#This Row],[Nama_Proyek]])</f>
        <v>Perbaikan Drainase Medan</v>
      </c>
      <c r="E410" s="14">
        <v>45226</v>
      </c>
      <c r="F410" s="14">
        <v>45467</v>
      </c>
      <c r="G410" s="10">
        <v>264833844</v>
      </c>
      <c r="H410" s="8" t="str">
        <f>IF(Table2[[#This Row],[Kontraktor]]="", "Tidak Diketahui",Table2[[#This Row],[Kontraktor]])</f>
        <v>PT A</v>
      </c>
      <c r="I410" s="11"/>
    </row>
    <row r="411" spans="1:9" ht="14.25" customHeight="1" x14ac:dyDescent="0.35">
      <c r="A411" s="8" t="s">
        <v>462</v>
      </c>
      <c r="B411" s="8" t="str">
        <f>IF(Table2[[#This Row],[Jenis_Proyek]]="", "Tidak Diketahui", Table2[[#This Row],[Jenis_Proyek]])</f>
        <v>Drainase</v>
      </c>
      <c r="C411" s="8" t="str">
        <f>IF(Table2[[#This Row],[Lokasi]]="", "Tidak Diketahui", Table2[[#This Row],[Lokasi]])</f>
        <v>Jakarta</v>
      </c>
      <c r="D411" s="8" t="str">
        <f>IF(Table2[[#This Row],[Nama_Proyek]]="", "Tidak Diketahui", Table2[[#This Row],[Nama_Proyek]])</f>
        <v>Perbaikan Drainase Jakarta</v>
      </c>
      <c r="E411" s="14">
        <v>45226</v>
      </c>
      <c r="F411" s="14">
        <v>45426</v>
      </c>
      <c r="G411" s="10">
        <v>588269229</v>
      </c>
      <c r="H411" s="8" t="str">
        <f>IF(Table2[[#This Row],[Kontraktor]]="", "Tidak Diketahui",Table2[[#This Row],[Kontraktor]])</f>
        <v>PT D</v>
      </c>
      <c r="I411" s="11"/>
    </row>
    <row r="412" spans="1:9" ht="14.25" customHeight="1" x14ac:dyDescent="0.35">
      <c r="A412" s="8" t="s">
        <v>463</v>
      </c>
      <c r="B412" s="8" t="str">
        <f>IF(Table2[[#This Row],[Jenis_Proyek]]="", "Tidak Diketahui", Table2[[#This Row],[Jenis_Proyek]])</f>
        <v>Drainase</v>
      </c>
      <c r="C412" s="8" t="str">
        <f>IF(Table2[[#This Row],[Lokasi]]="", "Tidak Diketahui", Table2[[#This Row],[Lokasi]])</f>
        <v>Bau-Bau</v>
      </c>
      <c r="D412" s="8" t="str">
        <f>IF(Table2[[#This Row],[Nama_Proyek]]="", "Tidak Diketahui", Table2[[#This Row],[Nama_Proyek]])</f>
        <v>Perbaikan Drainase Bau-Bau</v>
      </c>
      <c r="E412" s="14">
        <v>45227</v>
      </c>
      <c r="F412" s="14">
        <v>45478</v>
      </c>
      <c r="G412" s="10">
        <v>691409314</v>
      </c>
      <c r="H412" s="8" t="str">
        <f>IF(Table2[[#This Row],[Kontraktor]]="", "Tidak Diketahui",Table2[[#This Row],[Kontraktor]])</f>
        <v>PT C</v>
      </c>
      <c r="I412" s="11"/>
    </row>
    <row r="413" spans="1:9" ht="14.25" customHeight="1" x14ac:dyDescent="0.35">
      <c r="A413" s="8" t="s">
        <v>464</v>
      </c>
      <c r="B413" s="8" t="str">
        <f>IF(Table2[[#This Row],[Jenis_Proyek]]="", "Tidak Diketahui", Table2[[#This Row],[Jenis_Proyek]])</f>
        <v>Jalan Raya</v>
      </c>
      <c r="C413" s="8" t="str">
        <f>IF(Table2[[#This Row],[Lokasi]]="", "Tidak Diketahui", Table2[[#This Row],[Lokasi]])</f>
        <v>Medan</v>
      </c>
      <c r="D413" s="8" t="str">
        <f>IF(Table2[[#This Row],[Nama_Proyek]]="", "Tidak Diketahui", Table2[[#This Row],[Nama_Proyek]])</f>
        <v>Perbaikan Jalan Raya Medan</v>
      </c>
      <c r="E413" s="14">
        <v>45228</v>
      </c>
      <c r="F413" s="14">
        <v>45583</v>
      </c>
      <c r="G413" s="10">
        <v>242272002</v>
      </c>
      <c r="H413" s="8" t="str">
        <f>IF(Table2[[#This Row],[Kontraktor]]="", "Tidak Diketahui",Table2[[#This Row],[Kontraktor]])</f>
        <v>Tidak Diketahui</v>
      </c>
      <c r="I413" s="11"/>
    </row>
    <row r="414" spans="1:9" ht="14.25" customHeight="1" x14ac:dyDescent="0.35">
      <c r="A414" s="8" t="s">
        <v>465</v>
      </c>
      <c r="B414" s="8" t="str">
        <f>IF(Table2[[#This Row],[Jenis_Proyek]]="", "Tidak Diketahui", Table2[[#This Row],[Jenis_Proyek]])</f>
        <v>Jembatan</v>
      </c>
      <c r="C414" s="8" t="str">
        <f>IF(Table2[[#This Row],[Lokasi]]="", "Tidak Diketahui", Table2[[#This Row],[Lokasi]])</f>
        <v>Surabaya</v>
      </c>
      <c r="D414" s="8" t="str">
        <f>IF(Table2[[#This Row],[Nama_Proyek]]="", "Tidak Diketahui", Table2[[#This Row],[Nama_Proyek]])</f>
        <v>Pembuatan Jembatan Surabaya</v>
      </c>
      <c r="E414" s="14">
        <v>45228</v>
      </c>
      <c r="F414" s="14">
        <v>45515</v>
      </c>
      <c r="G414" s="10">
        <v>1906777116</v>
      </c>
      <c r="H414" s="8" t="str">
        <f>IF(Table2[[#This Row],[Kontraktor]]="", "Tidak Diketahui",Table2[[#This Row],[Kontraktor]])</f>
        <v>CV Sihombing</v>
      </c>
      <c r="I414" s="11"/>
    </row>
    <row r="415" spans="1:9" ht="14.25" customHeight="1" x14ac:dyDescent="0.35">
      <c r="A415" s="8" t="s">
        <v>466</v>
      </c>
      <c r="B415" s="8" t="str">
        <f>IF(Table2[[#This Row],[Jenis_Proyek]]="", "Tidak Diketahui", Table2[[#This Row],[Jenis_Proyek]])</f>
        <v>Drainase</v>
      </c>
      <c r="C415" s="8" t="str">
        <f>IF(Table2[[#This Row],[Lokasi]]="", "Tidak Diketahui", Table2[[#This Row],[Lokasi]])</f>
        <v>Depok</v>
      </c>
      <c r="D415" s="8" t="str">
        <f>IF(Table2[[#This Row],[Nama_Proyek]]="", "Tidak Diketahui", Table2[[#This Row],[Nama_Proyek]])</f>
        <v>Perbaikan Drainase Depok</v>
      </c>
      <c r="E415" s="14">
        <v>45229</v>
      </c>
      <c r="F415" s="14">
        <v>45334</v>
      </c>
      <c r="G415" s="10">
        <v>325400177</v>
      </c>
      <c r="H415" s="8" t="str">
        <f>IF(Table2[[#This Row],[Kontraktor]]="", "Tidak Diketahui",Table2[[#This Row],[Kontraktor]])</f>
        <v>Tidak Diketahui</v>
      </c>
      <c r="I415" s="11"/>
    </row>
    <row r="416" spans="1:9" ht="14.25" customHeight="1" x14ac:dyDescent="0.35">
      <c r="A416" s="8" t="s">
        <v>467</v>
      </c>
      <c r="B416" s="8" t="str">
        <f>IF(Table2[[#This Row],[Jenis_Proyek]]="", "Tidak Diketahui", Table2[[#This Row],[Jenis_Proyek]])</f>
        <v>Jalan Raya</v>
      </c>
      <c r="C416" s="8" t="str">
        <f>IF(Table2[[#This Row],[Lokasi]]="", "Tidak Diketahui", Table2[[#This Row],[Lokasi]])</f>
        <v>Medan</v>
      </c>
      <c r="D416" s="8" t="str">
        <f>IF(Table2[[#This Row],[Nama_Proyek]]="", "Tidak Diketahui", Table2[[#This Row],[Nama_Proyek]])</f>
        <v>Perbaikan Jalan Raya Medan</v>
      </c>
      <c r="E416" s="14">
        <v>45230</v>
      </c>
      <c r="F416" s="14">
        <v>45529</v>
      </c>
      <c r="G416" s="10">
        <v>131415829</v>
      </c>
      <c r="H416" s="8" t="str">
        <f>IF(Table2[[#This Row],[Kontraktor]]="", "Tidak Diketahui",Table2[[#This Row],[Kontraktor]])</f>
        <v>PT D</v>
      </c>
      <c r="I416" s="11"/>
    </row>
    <row r="417" spans="1:9" ht="14.25" customHeight="1" x14ac:dyDescent="0.35">
      <c r="A417" s="8" t="s">
        <v>468</v>
      </c>
      <c r="B417" s="8" t="str">
        <f>IF(Table2[[#This Row],[Jenis_Proyek]]="", "Tidak Diketahui", Table2[[#This Row],[Jenis_Proyek]])</f>
        <v>Drainase</v>
      </c>
      <c r="C417" s="8" t="str">
        <f>IF(Table2[[#This Row],[Lokasi]]="", "Tidak Diketahui", Table2[[#This Row],[Lokasi]])</f>
        <v>Makassar</v>
      </c>
      <c r="D417" s="8" t="str">
        <f>IF(Table2[[#This Row],[Nama_Proyek]]="", "Tidak Diketahui", Table2[[#This Row],[Nama_Proyek]])</f>
        <v>Perbaikan Drainase Makassar</v>
      </c>
      <c r="E417" s="14">
        <v>45230</v>
      </c>
      <c r="F417" s="14">
        <v>45310</v>
      </c>
      <c r="G417" s="10">
        <v>435534089</v>
      </c>
      <c r="H417" s="8" t="str">
        <f>IF(Table2[[#This Row],[Kontraktor]]="", "Tidak Diketahui",Table2[[#This Row],[Kontraktor]])</f>
        <v>PT B</v>
      </c>
      <c r="I417" s="11"/>
    </row>
    <row r="418" spans="1:9" ht="14.25" customHeight="1" x14ac:dyDescent="0.35">
      <c r="A418" s="8" t="s">
        <v>469</v>
      </c>
      <c r="B418" s="8" t="str">
        <f>IF(Table2[[#This Row],[Jenis_Proyek]]="", "Tidak Diketahui", Table2[[#This Row],[Jenis_Proyek]])</f>
        <v>Gedung</v>
      </c>
      <c r="C418" s="8" t="str">
        <f>IF(Table2[[#This Row],[Lokasi]]="", "Tidak Diketahui", Table2[[#This Row],[Lokasi]])</f>
        <v>Jakarta</v>
      </c>
      <c r="D418" s="8" t="str">
        <f>IF(Table2[[#This Row],[Nama_Proyek]]="", "Tidak Diketahui", Table2[[#This Row],[Nama_Proyek]])</f>
        <v>Perbaikan Gedung Pemerintah Jakarta</v>
      </c>
      <c r="E418" s="14">
        <v>45231</v>
      </c>
      <c r="F418" s="14">
        <v>45268</v>
      </c>
      <c r="G418" s="10">
        <v>1107624052</v>
      </c>
      <c r="H418" s="8" t="str">
        <f>IF(Table2[[#This Row],[Kontraktor]]="", "Tidak Diketahui",Table2[[#This Row],[Kontraktor]])</f>
        <v>CV Sihombing</v>
      </c>
      <c r="I418" s="11"/>
    </row>
    <row r="419" spans="1:9" ht="14.25" customHeight="1" x14ac:dyDescent="0.35">
      <c r="A419" s="8" t="s">
        <v>470</v>
      </c>
      <c r="B419" s="8" t="str">
        <f>IF(Table2[[#This Row],[Jenis_Proyek]]="", "Tidak Diketahui", Table2[[#This Row],[Jenis_Proyek]])</f>
        <v>Jembatan</v>
      </c>
      <c r="C419" s="8" t="str">
        <f>IF(Table2[[#This Row],[Lokasi]]="", "Tidak Diketahui", Table2[[#This Row],[Lokasi]])</f>
        <v>Makassar</v>
      </c>
      <c r="D419" s="8" t="str">
        <f>IF(Table2[[#This Row],[Nama_Proyek]]="", "Tidak Diketahui", Table2[[#This Row],[Nama_Proyek]])</f>
        <v>Perbaikan Jembatan Makassar</v>
      </c>
      <c r="E419" s="14">
        <v>45231</v>
      </c>
      <c r="F419" s="14">
        <v>45434</v>
      </c>
      <c r="G419" s="10">
        <v>4913634320</v>
      </c>
      <c r="H419" s="8" t="str">
        <f>IF(Table2[[#This Row],[Kontraktor]]="", "Tidak Diketahui",Table2[[#This Row],[Kontraktor]])</f>
        <v>Tidak Diketahui</v>
      </c>
      <c r="I419" s="11"/>
    </row>
    <row r="420" spans="1:9" ht="14.25" customHeight="1" x14ac:dyDescent="0.35">
      <c r="A420" s="8" t="s">
        <v>471</v>
      </c>
      <c r="B420" s="8" t="str">
        <f>IF(Table2[[#This Row],[Jenis_Proyek]]="", "Tidak Diketahui", Table2[[#This Row],[Jenis_Proyek]])</f>
        <v>Gedung</v>
      </c>
      <c r="C420" s="8" t="str">
        <f>IF(Table2[[#This Row],[Lokasi]]="", "Tidak Diketahui", Table2[[#This Row],[Lokasi]])</f>
        <v>Tomohon</v>
      </c>
      <c r="D420" s="8" t="str">
        <f>IF(Table2[[#This Row],[Nama_Proyek]]="", "Tidak Diketahui", Table2[[#This Row],[Nama_Proyek]])</f>
        <v>Perbaikan Gedung Pemerintah Tomohon</v>
      </c>
      <c r="E420" s="14">
        <v>45231</v>
      </c>
      <c r="F420" s="14">
        <v>45567</v>
      </c>
      <c r="G420" s="10">
        <v>2100848894</v>
      </c>
      <c r="H420" s="8" t="str">
        <f>IF(Table2[[#This Row],[Kontraktor]]="", "Tidak Diketahui",Table2[[#This Row],[Kontraktor]])</f>
        <v>PT. Lailasari Hariyah (Persero) Tbk</v>
      </c>
      <c r="I420" s="11"/>
    </row>
    <row r="421" spans="1:9" ht="14.25" customHeight="1" x14ac:dyDescent="0.35">
      <c r="A421" s="8" t="s">
        <v>472</v>
      </c>
      <c r="B421" s="8" t="str">
        <f>IF(Table2[[#This Row],[Jenis_Proyek]]="", "Tidak Diketahui", Table2[[#This Row],[Jenis_Proyek]])</f>
        <v>Jalan Raya</v>
      </c>
      <c r="C421" s="8" t="str">
        <f>IF(Table2[[#This Row],[Lokasi]]="", "Tidak Diketahui", Table2[[#This Row],[Lokasi]])</f>
        <v>Bandung</v>
      </c>
      <c r="D421" s="8" t="str">
        <f>IF(Table2[[#This Row],[Nama_Proyek]]="", "Tidak Diketahui", Table2[[#This Row],[Nama_Proyek]])</f>
        <v>Perbaikan Jalan Raya Bandung</v>
      </c>
      <c r="E421" s="14">
        <v>45234</v>
      </c>
      <c r="F421" s="14">
        <v>45348</v>
      </c>
      <c r="G421" s="10">
        <v>505388172</v>
      </c>
      <c r="H421" s="8" t="str">
        <f>IF(Table2[[#This Row],[Kontraktor]]="", "Tidak Diketahui",Table2[[#This Row],[Kontraktor]])</f>
        <v>CV Sihombing</v>
      </c>
      <c r="I421" s="11"/>
    </row>
    <row r="422" spans="1:9" ht="14.25" customHeight="1" x14ac:dyDescent="0.35">
      <c r="A422" s="8" t="s">
        <v>473</v>
      </c>
      <c r="B422" s="8" t="str">
        <f>IF(Table2[[#This Row],[Jenis_Proyek]]="", "Tidak Diketahui", Table2[[#This Row],[Jenis_Proyek]])</f>
        <v>Jalan Raya</v>
      </c>
      <c r="C422" s="8" t="str">
        <f>IF(Table2[[#This Row],[Lokasi]]="", "Tidak Diketahui", Table2[[#This Row],[Lokasi]])</f>
        <v>Bau-Bau</v>
      </c>
      <c r="D422" s="8" t="str">
        <f>IF(Table2[[#This Row],[Nama_Proyek]]="", "Tidak Diketahui", Table2[[#This Row],[Nama_Proyek]])</f>
        <v>Perbaikan Jalan Raya Bau-Bau</v>
      </c>
      <c r="E422" s="14">
        <v>45234</v>
      </c>
      <c r="F422" s="14">
        <v>45426</v>
      </c>
      <c r="G422" s="10">
        <v>574563455</v>
      </c>
      <c r="H422" s="8" t="str">
        <f>IF(Table2[[#This Row],[Kontraktor]]="", "Tidak Diketahui",Table2[[#This Row],[Kontraktor]])</f>
        <v>PT. Lailasari Hariyah (Persero) Tbk</v>
      </c>
      <c r="I422" s="11"/>
    </row>
    <row r="423" spans="1:9" ht="14.25" customHeight="1" x14ac:dyDescent="0.35">
      <c r="A423" s="8" t="s">
        <v>474</v>
      </c>
      <c r="B423" s="8" t="str">
        <f>IF(Table2[[#This Row],[Jenis_Proyek]]="", "Tidak Diketahui", Table2[[#This Row],[Jenis_Proyek]])</f>
        <v>Jalan Raya</v>
      </c>
      <c r="C423" s="8" t="str">
        <f>IF(Table2[[#This Row],[Lokasi]]="", "Tidak Diketahui", Table2[[#This Row],[Lokasi]])</f>
        <v>Depok</v>
      </c>
      <c r="D423" s="8" t="str">
        <f>IF(Table2[[#This Row],[Nama_Proyek]]="", "Tidak Diketahui", Table2[[#This Row],[Nama_Proyek]])</f>
        <v>Perbaikan Jalan Raya Depok</v>
      </c>
      <c r="E423" s="14">
        <v>45234</v>
      </c>
      <c r="F423" s="14">
        <v>45264</v>
      </c>
      <c r="G423" s="10">
        <v>445199395</v>
      </c>
      <c r="H423" s="8" t="str">
        <f>IF(Table2[[#This Row],[Kontraktor]]="", "Tidak Diketahui",Table2[[#This Row],[Kontraktor]])</f>
        <v>CV Sihombing</v>
      </c>
      <c r="I423" s="11"/>
    </row>
    <row r="424" spans="1:9" ht="14.25" customHeight="1" x14ac:dyDescent="0.35">
      <c r="A424" s="8" t="s">
        <v>475</v>
      </c>
      <c r="B424" s="8" t="str">
        <f>IF(Table2[[#This Row],[Jenis_Proyek]]="", "Tidak Diketahui", Table2[[#This Row],[Jenis_Proyek]])</f>
        <v>Jalan Raya</v>
      </c>
      <c r="C424" s="8" t="str">
        <f>IF(Table2[[#This Row],[Lokasi]]="", "Tidak Diketahui", Table2[[#This Row],[Lokasi]])</f>
        <v>Jakarta</v>
      </c>
      <c r="D424" s="8" t="str">
        <f>IF(Table2[[#This Row],[Nama_Proyek]]="", "Tidak Diketahui", Table2[[#This Row],[Nama_Proyek]])</f>
        <v>Perbaikan Jalan Raya Jakarta</v>
      </c>
      <c r="E424" s="14">
        <v>45235</v>
      </c>
      <c r="F424" s="14">
        <v>45313</v>
      </c>
      <c r="G424" s="10">
        <v>849005913</v>
      </c>
      <c r="H424" s="8" t="str">
        <f>IF(Table2[[#This Row],[Kontraktor]]="", "Tidak Diketahui",Table2[[#This Row],[Kontraktor]])</f>
        <v>CV Sihombing</v>
      </c>
      <c r="I424" s="11"/>
    </row>
    <row r="425" spans="1:9" ht="14.25" customHeight="1" x14ac:dyDescent="0.35">
      <c r="A425" s="8" t="s">
        <v>476</v>
      </c>
      <c r="B425" s="8" t="str">
        <f>IF(Table2[[#This Row],[Jenis_Proyek]]="", "Tidak Diketahui", Table2[[#This Row],[Jenis_Proyek]])</f>
        <v>Jembatan</v>
      </c>
      <c r="C425" s="8" t="str">
        <f>IF(Table2[[#This Row],[Lokasi]]="", "Tidak Diketahui", Table2[[#This Row],[Lokasi]])</f>
        <v>Medan</v>
      </c>
      <c r="D425" s="8" t="str">
        <f>IF(Table2[[#This Row],[Nama_Proyek]]="", "Tidak Diketahui", Table2[[#This Row],[Nama_Proyek]])</f>
        <v>Pembuatan Jembatan Medan</v>
      </c>
      <c r="E425" s="14">
        <v>45236</v>
      </c>
      <c r="F425" s="14">
        <v>45266</v>
      </c>
      <c r="G425" s="10">
        <v>3098364960</v>
      </c>
      <c r="H425" s="8" t="str">
        <f>IF(Table2[[#This Row],[Kontraktor]]="", "Tidak Diketahui",Table2[[#This Row],[Kontraktor]])</f>
        <v>PT. Yuniar Hakim Tbk</v>
      </c>
      <c r="I425" s="11"/>
    </row>
    <row r="426" spans="1:9" ht="14.25" customHeight="1" x14ac:dyDescent="0.35">
      <c r="A426" s="8" t="s">
        <v>477</v>
      </c>
      <c r="B426" s="8" t="str">
        <f>IF(Table2[[#This Row],[Jenis_Proyek]]="", "Tidak Diketahui", Table2[[#This Row],[Jenis_Proyek]])</f>
        <v>Flyover</v>
      </c>
      <c r="C426" s="8" t="str">
        <f>IF(Table2[[#This Row],[Lokasi]]="", "Tidak Diketahui", Table2[[#This Row],[Lokasi]])</f>
        <v>Medan</v>
      </c>
      <c r="D426" s="8" t="str">
        <f>IF(Table2[[#This Row],[Nama_Proyek]]="", "Tidak Diketahui", Table2[[#This Row],[Nama_Proyek]])</f>
        <v>Perbaikan Flyover Medan</v>
      </c>
      <c r="E426" s="14">
        <v>45237</v>
      </c>
      <c r="F426" s="14">
        <v>45413</v>
      </c>
      <c r="G426" s="10">
        <v>1607071599</v>
      </c>
      <c r="H426" s="8" t="str">
        <f>IF(Table2[[#This Row],[Kontraktor]]="", "Tidak Diketahui",Table2[[#This Row],[Kontraktor]])</f>
        <v>PT. Lailasari Hariyah (Persero) Tbk</v>
      </c>
      <c r="I426" s="11"/>
    </row>
    <row r="427" spans="1:9" ht="14.25" customHeight="1" x14ac:dyDescent="0.35">
      <c r="A427" s="8" t="s">
        <v>478</v>
      </c>
      <c r="B427" s="8" t="str">
        <f>IF(Table2[[#This Row],[Jenis_Proyek]]="", "Tidak Diketahui", Table2[[#This Row],[Jenis_Proyek]])</f>
        <v>Jembatan</v>
      </c>
      <c r="C427" s="8" t="str">
        <f>IF(Table2[[#This Row],[Lokasi]]="", "Tidak Diketahui", Table2[[#This Row],[Lokasi]])</f>
        <v>Bandung</v>
      </c>
      <c r="D427" s="8" t="str">
        <f>IF(Table2[[#This Row],[Nama_Proyek]]="", "Tidak Diketahui", Table2[[#This Row],[Nama_Proyek]])</f>
        <v>Pembuatan Jembatan Bandung</v>
      </c>
      <c r="E427" s="14">
        <v>45240</v>
      </c>
      <c r="F427" s="14">
        <v>45361</v>
      </c>
      <c r="G427" s="10">
        <v>2771182474</v>
      </c>
      <c r="H427" s="8" t="str">
        <f>IF(Table2[[#This Row],[Kontraktor]]="", "Tidak Diketahui",Table2[[#This Row],[Kontraktor]])</f>
        <v>PT D</v>
      </c>
      <c r="I427" s="11"/>
    </row>
    <row r="428" spans="1:9" ht="14.25" customHeight="1" x14ac:dyDescent="0.35">
      <c r="A428" s="8" t="s">
        <v>479</v>
      </c>
      <c r="B428" s="8" t="str">
        <f>IF(Table2[[#This Row],[Jenis_Proyek]]="", "Tidak Diketahui", Table2[[#This Row],[Jenis_Proyek]])</f>
        <v>Jalan Raya</v>
      </c>
      <c r="C428" s="8" t="str">
        <f>IF(Table2[[#This Row],[Lokasi]]="", "Tidak Diketahui", Table2[[#This Row],[Lokasi]])</f>
        <v>Surabaya</v>
      </c>
      <c r="D428" s="8" t="str">
        <f>IF(Table2[[#This Row],[Nama_Proyek]]="", "Tidak Diketahui", Table2[[#This Row],[Nama_Proyek]])</f>
        <v>Perbaikan Jalan Raya Surabaya</v>
      </c>
      <c r="E428" s="14">
        <v>45240</v>
      </c>
      <c r="F428" s="14">
        <v>45532</v>
      </c>
      <c r="G428" s="10">
        <v>153884086</v>
      </c>
      <c r="H428" s="8" t="str">
        <f>IF(Table2[[#This Row],[Kontraktor]]="", "Tidak Diketahui",Table2[[#This Row],[Kontraktor]])</f>
        <v>PT D</v>
      </c>
      <c r="I428" s="11"/>
    </row>
    <row r="429" spans="1:9" ht="14.25" customHeight="1" x14ac:dyDescent="0.35">
      <c r="A429" s="8" t="s">
        <v>480</v>
      </c>
      <c r="B429" s="8" t="str">
        <f>IF(Table2[[#This Row],[Jenis_Proyek]]="", "Tidak Diketahui", Table2[[#This Row],[Jenis_Proyek]])</f>
        <v>Jalan Raya</v>
      </c>
      <c r="C429" s="8" t="str">
        <f>IF(Table2[[#This Row],[Lokasi]]="", "Tidak Diketahui", Table2[[#This Row],[Lokasi]])</f>
        <v>Depok</v>
      </c>
      <c r="D429" s="8" t="str">
        <f>IF(Table2[[#This Row],[Nama_Proyek]]="", "Tidak Diketahui", Table2[[#This Row],[Nama_Proyek]])</f>
        <v>Perbaikan Jalan Raya Depok</v>
      </c>
      <c r="E429" s="14">
        <v>45240</v>
      </c>
      <c r="F429" s="14">
        <v>45434</v>
      </c>
      <c r="G429" s="10">
        <v>545725479</v>
      </c>
      <c r="H429" s="8" t="str">
        <f>IF(Table2[[#This Row],[Kontraktor]]="", "Tidak Diketahui",Table2[[#This Row],[Kontraktor]])</f>
        <v>Tidak Diketahui</v>
      </c>
      <c r="I429" s="11"/>
    </row>
    <row r="430" spans="1:9" ht="14.25" customHeight="1" x14ac:dyDescent="0.35">
      <c r="A430" s="8" t="s">
        <v>481</v>
      </c>
      <c r="B430" s="8" t="str">
        <f>IF(Table2[[#This Row],[Jenis_Proyek]]="", "Tidak Diketahui", Table2[[#This Row],[Jenis_Proyek]])</f>
        <v>Flyover</v>
      </c>
      <c r="C430" s="8" t="str">
        <f>IF(Table2[[#This Row],[Lokasi]]="", "Tidak Diketahui", Table2[[#This Row],[Lokasi]])</f>
        <v>Jakarta</v>
      </c>
      <c r="D430" s="8" t="str">
        <f>IF(Table2[[#This Row],[Nama_Proyek]]="", "Tidak Diketahui", Table2[[#This Row],[Nama_Proyek]])</f>
        <v>Pembuatan Flyover Jakarta</v>
      </c>
      <c r="E430" s="14">
        <v>45240</v>
      </c>
      <c r="F430" s="14">
        <v>45440</v>
      </c>
      <c r="G430" s="10">
        <v>4659030076</v>
      </c>
      <c r="H430" s="8" t="str">
        <f>IF(Table2[[#This Row],[Kontraktor]]="", "Tidak Diketahui",Table2[[#This Row],[Kontraktor]])</f>
        <v>Tidak Diketahui</v>
      </c>
      <c r="I430" s="11"/>
    </row>
    <row r="431" spans="1:9" ht="14.25" customHeight="1" x14ac:dyDescent="0.35">
      <c r="A431" s="8" t="s">
        <v>482</v>
      </c>
      <c r="B431" s="8" t="str">
        <f>IF(Table2[[#This Row],[Jenis_Proyek]]="", "Tidak Diketahui", Table2[[#This Row],[Jenis_Proyek]])</f>
        <v>Jembatan</v>
      </c>
      <c r="C431" s="8" t="str">
        <f>IF(Table2[[#This Row],[Lokasi]]="", "Tidak Diketahui", Table2[[#This Row],[Lokasi]])</f>
        <v>Depok</v>
      </c>
      <c r="D431" s="8" t="str">
        <f>IF(Table2[[#This Row],[Nama_Proyek]]="", "Tidak Diketahui", Table2[[#This Row],[Nama_Proyek]])</f>
        <v>Perbaikan Jembatan Depok</v>
      </c>
      <c r="E431" s="14">
        <v>45240</v>
      </c>
      <c r="F431" s="14">
        <v>45466</v>
      </c>
      <c r="G431" s="10">
        <v>2661560994</v>
      </c>
      <c r="H431" s="8" t="str">
        <f>IF(Table2[[#This Row],[Kontraktor]]="", "Tidak Diketahui",Table2[[#This Row],[Kontraktor]])</f>
        <v>Tidak Diketahui</v>
      </c>
      <c r="I431" s="11"/>
    </row>
    <row r="432" spans="1:9" ht="14.25" customHeight="1" x14ac:dyDescent="0.35">
      <c r="A432" s="8" t="s">
        <v>483</v>
      </c>
      <c r="B432" s="8" t="str">
        <f>IF(Table2[[#This Row],[Jenis_Proyek]]="", "Tidak Diketahui", Table2[[#This Row],[Jenis_Proyek]])</f>
        <v>Gedung</v>
      </c>
      <c r="C432" s="8" t="str">
        <f>IF(Table2[[#This Row],[Lokasi]]="", "Tidak Diketahui", Table2[[#This Row],[Lokasi]])</f>
        <v>Depok</v>
      </c>
      <c r="D432" s="8" t="str">
        <f>IF(Table2[[#This Row],[Nama_Proyek]]="", "Tidak Diketahui", Table2[[#This Row],[Nama_Proyek]])</f>
        <v>Perbaikan Gedung Pemerintah Depok</v>
      </c>
      <c r="E432" s="14">
        <v>45240</v>
      </c>
      <c r="F432" s="14">
        <v>45346</v>
      </c>
      <c r="G432" s="10">
        <v>1652872648</v>
      </c>
      <c r="H432" s="8" t="str">
        <f>IF(Table2[[#This Row],[Kontraktor]]="", "Tidak Diketahui",Table2[[#This Row],[Kontraktor]])</f>
        <v>PT D</v>
      </c>
      <c r="I432" s="11"/>
    </row>
    <row r="433" spans="1:9" ht="14.25" customHeight="1" x14ac:dyDescent="0.35">
      <c r="A433" s="8" t="s">
        <v>484</v>
      </c>
      <c r="B433" s="8" t="str">
        <f>IF(Table2[[#This Row],[Jenis_Proyek]]="", "Tidak Diketahui", Table2[[#This Row],[Jenis_Proyek]])</f>
        <v>Jembatan</v>
      </c>
      <c r="C433" s="8" t="str">
        <f>IF(Table2[[#This Row],[Lokasi]]="", "Tidak Diketahui", Table2[[#This Row],[Lokasi]])</f>
        <v>Depok</v>
      </c>
      <c r="D433" s="8" t="str">
        <f>IF(Table2[[#This Row],[Nama_Proyek]]="", "Tidak Diketahui", Table2[[#This Row],[Nama_Proyek]])</f>
        <v>Perbaikan Jembatan Depok</v>
      </c>
      <c r="E433" s="14">
        <v>45241</v>
      </c>
      <c r="F433" s="14">
        <v>45505</v>
      </c>
      <c r="G433" s="10">
        <v>7444707554</v>
      </c>
      <c r="H433" s="8" t="str">
        <f>IF(Table2[[#This Row],[Kontraktor]]="", "Tidak Diketahui",Table2[[#This Row],[Kontraktor]])</f>
        <v>PT. Yuniar Hakim Tbk</v>
      </c>
      <c r="I433" s="11"/>
    </row>
    <row r="434" spans="1:9" ht="14.25" customHeight="1" x14ac:dyDescent="0.35">
      <c r="A434" s="8" t="s">
        <v>485</v>
      </c>
      <c r="B434" s="8" t="str">
        <f>IF(Table2[[#This Row],[Jenis_Proyek]]="", "Tidak Diketahui", Table2[[#This Row],[Jenis_Proyek]])</f>
        <v>Drainase</v>
      </c>
      <c r="C434" s="8" t="str">
        <f>IF(Table2[[#This Row],[Lokasi]]="", "Tidak Diketahui", Table2[[#This Row],[Lokasi]])</f>
        <v>Surabaya</v>
      </c>
      <c r="D434" s="8" t="str">
        <f>IF(Table2[[#This Row],[Nama_Proyek]]="", "Tidak Diketahui", Table2[[#This Row],[Nama_Proyek]])</f>
        <v>Perbaikan Drainase Surabaya</v>
      </c>
      <c r="E434" s="14">
        <v>45241</v>
      </c>
      <c r="F434" s="14">
        <v>45311</v>
      </c>
      <c r="G434" s="10">
        <v>308009410</v>
      </c>
      <c r="H434" s="8" t="str">
        <f>IF(Table2[[#This Row],[Kontraktor]]="", "Tidak Diketahui",Table2[[#This Row],[Kontraktor]])</f>
        <v>PT A</v>
      </c>
      <c r="I434" s="11"/>
    </row>
    <row r="435" spans="1:9" ht="14.25" customHeight="1" x14ac:dyDescent="0.35">
      <c r="A435" s="8" t="s">
        <v>486</v>
      </c>
      <c r="B435" s="8" t="str">
        <f>IF(Table2[[#This Row],[Jenis_Proyek]]="", "Tidak Diketahui", Table2[[#This Row],[Jenis_Proyek]])</f>
        <v>Jembatan</v>
      </c>
      <c r="C435" s="8" t="str">
        <f>IF(Table2[[#This Row],[Lokasi]]="", "Tidak Diketahui", Table2[[#This Row],[Lokasi]])</f>
        <v>Surabaya</v>
      </c>
      <c r="D435" s="8" t="str">
        <f>IF(Table2[[#This Row],[Nama_Proyek]]="", "Tidak Diketahui", Table2[[#This Row],[Nama_Proyek]])</f>
        <v>Pembuatan Jembatan Surabaya</v>
      </c>
      <c r="E435" s="14">
        <v>45242</v>
      </c>
      <c r="F435" s="14">
        <v>45439</v>
      </c>
      <c r="G435" s="10">
        <v>2851933896</v>
      </c>
      <c r="H435" s="8" t="str">
        <f>IF(Table2[[#This Row],[Kontraktor]]="", "Tidak Diketahui",Table2[[#This Row],[Kontraktor]])</f>
        <v>PT D</v>
      </c>
      <c r="I435" s="11"/>
    </row>
    <row r="436" spans="1:9" ht="14.25" customHeight="1" x14ac:dyDescent="0.35">
      <c r="A436" s="8" t="s">
        <v>487</v>
      </c>
      <c r="B436" s="8" t="str">
        <f>IF(Table2[[#This Row],[Jenis_Proyek]]="", "Tidak Diketahui", Table2[[#This Row],[Jenis_Proyek]])</f>
        <v>Jembatan</v>
      </c>
      <c r="C436" s="8" t="str">
        <f>IF(Table2[[#This Row],[Lokasi]]="", "Tidak Diketahui", Table2[[#This Row],[Lokasi]])</f>
        <v>Medan</v>
      </c>
      <c r="D436" s="8" t="str">
        <f>IF(Table2[[#This Row],[Nama_Proyek]]="", "Tidak Diketahui", Table2[[#This Row],[Nama_Proyek]])</f>
        <v>Pembuatan Jembatan Medan</v>
      </c>
      <c r="E436" s="14">
        <v>45242</v>
      </c>
      <c r="F436" s="14">
        <v>45464</v>
      </c>
      <c r="G436" s="10">
        <v>5932217911</v>
      </c>
      <c r="H436" s="8" t="str">
        <f>IF(Table2[[#This Row],[Kontraktor]]="", "Tidak Diketahui",Table2[[#This Row],[Kontraktor]])</f>
        <v>CV Sihombing</v>
      </c>
      <c r="I436" s="11"/>
    </row>
    <row r="437" spans="1:9" ht="14.25" customHeight="1" x14ac:dyDescent="0.35">
      <c r="A437" s="8" t="s">
        <v>488</v>
      </c>
      <c r="B437" s="8" t="str">
        <f>IF(Table2[[#This Row],[Jenis_Proyek]]="", "Tidak Diketahui", Table2[[#This Row],[Jenis_Proyek]])</f>
        <v>Jalan Raya</v>
      </c>
      <c r="C437" s="8" t="str">
        <f>IF(Table2[[#This Row],[Lokasi]]="", "Tidak Diketahui", Table2[[#This Row],[Lokasi]])</f>
        <v>Surabaya</v>
      </c>
      <c r="D437" s="8" t="str">
        <f>IF(Table2[[#This Row],[Nama_Proyek]]="", "Tidak Diketahui", Table2[[#This Row],[Nama_Proyek]])</f>
        <v>Perbaikan Jalan Raya Surabaya</v>
      </c>
      <c r="E437" s="14">
        <v>45242</v>
      </c>
      <c r="F437" s="14">
        <v>45345</v>
      </c>
      <c r="G437" s="10">
        <v>394459258</v>
      </c>
      <c r="H437" s="8" t="str">
        <f>IF(Table2[[#This Row],[Kontraktor]]="", "Tidak Diketahui",Table2[[#This Row],[Kontraktor]])</f>
        <v>PT. Yuniar Hakim Tbk</v>
      </c>
      <c r="I437" s="11"/>
    </row>
    <row r="438" spans="1:9" ht="14.25" customHeight="1" x14ac:dyDescent="0.35">
      <c r="A438" s="8" t="s">
        <v>489</v>
      </c>
      <c r="B438" s="8" t="str">
        <f>IF(Table2[[#This Row],[Jenis_Proyek]]="", "Tidak Diketahui", Table2[[#This Row],[Jenis_Proyek]])</f>
        <v>Flyover</v>
      </c>
      <c r="C438" s="8" t="str">
        <f>IF(Table2[[#This Row],[Lokasi]]="", "Tidak Diketahui", Table2[[#This Row],[Lokasi]])</f>
        <v>Jakarta</v>
      </c>
      <c r="D438" s="8" t="str">
        <f>IF(Table2[[#This Row],[Nama_Proyek]]="", "Tidak Diketahui", Table2[[#This Row],[Nama_Proyek]])</f>
        <v>Perbaikan Flyover Jakarta</v>
      </c>
      <c r="E438" s="14">
        <v>45242</v>
      </c>
      <c r="F438" s="14">
        <v>45305</v>
      </c>
      <c r="G438" s="10">
        <v>3343026784</v>
      </c>
      <c r="H438" s="8" t="str">
        <f>IF(Table2[[#This Row],[Kontraktor]]="", "Tidak Diketahui",Table2[[#This Row],[Kontraktor]])</f>
        <v>PT. Lailasari Hariyah (Persero) Tbk</v>
      </c>
      <c r="I438" s="11"/>
    </row>
    <row r="439" spans="1:9" ht="14.25" customHeight="1" x14ac:dyDescent="0.35">
      <c r="A439" s="8" t="s">
        <v>490</v>
      </c>
      <c r="B439" s="8" t="str">
        <f>IF(Table2[[#This Row],[Jenis_Proyek]]="", "Tidak Diketahui", Table2[[#This Row],[Jenis_Proyek]])</f>
        <v>Flyover</v>
      </c>
      <c r="C439" s="8" t="str">
        <f>IF(Table2[[#This Row],[Lokasi]]="", "Tidak Diketahui", Table2[[#This Row],[Lokasi]])</f>
        <v>Bau-Bau</v>
      </c>
      <c r="D439" s="8" t="str">
        <f>IF(Table2[[#This Row],[Nama_Proyek]]="", "Tidak Diketahui", Table2[[#This Row],[Nama_Proyek]])</f>
        <v>Pembuatan Flyover Bau-Bau</v>
      </c>
      <c r="E439" s="14">
        <v>45243</v>
      </c>
      <c r="F439" s="14">
        <v>45535</v>
      </c>
      <c r="G439" s="10">
        <v>4651361592</v>
      </c>
      <c r="H439" s="8" t="str">
        <f>IF(Table2[[#This Row],[Kontraktor]]="", "Tidak Diketahui",Table2[[#This Row],[Kontraktor]])</f>
        <v>PT C</v>
      </c>
      <c r="I439" s="11"/>
    </row>
    <row r="440" spans="1:9" ht="14.25" customHeight="1" x14ac:dyDescent="0.35">
      <c r="A440" s="8" t="s">
        <v>491</v>
      </c>
      <c r="B440" s="8" t="str">
        <f>IF(Table2[[#This Row],[Jenis_Proyek]]="", "Tidak Diketahui", Table2[[#This Row],[Jenis_Proyek]])</f>
        <v>Drainase</v>
      </c>
      <c r="C440" s="8" t="str">
        <f>IF(Table2[[#This Row],[Lokasi]]="", "Tidak Diketahui", Table2[[#This Row],[Lokasi]])</f>
        <v>Depok</v>
      </c>
      <c r="D440" s="8" t="str">
        <f>IF(Table2[[#This Row],[Nama_Proyek]]="", "Tidak Diketahui", Table2[[#This Row],[Nama_Proyek]])</f>
        <v>Perbaikan Drainase Depok</v>
      </c>
      <c r="E440" s="14">
        <v>45245</v>
      </c>
      <c r="F440" s="14">
        <v>45585</v>
      </c>
      <c r="G440" s="10">
        <v>287244799</v>
      </c>
      <c r="H440" s="8" t="str">
        <f>IF(Table2[[#This Row],[Kontraktor]]="", "Tidak Diketahui",Table2[[#This Row],[Kontraktor]])</f>
        <v>PT C</v>
      </c>
      <c r="I440" s="11"/>
    </row>
    <row r="441" spans="1:9" ht="14.25" customHeight="1" x14ac:dyDescent="0.35">
      <c r="A441" s="8" t="s">
        <v>492</v>
      </c>
      <c r="B441" s="8" t="str">
        <f>IF(Table2[[#This Row],[Jenis_Proyek]]="", "Tidak Diketahui", Table2[[#This Row],[Jenis_Proyek]])</f>
        <v>Jembatan</v>
      </c>
      <c r="C441" s="8" t="str">
        <f>IF(Table2[[#This Row],[Lokasi]]="", "Tidak Diketahui", Table2[[#This Row],[Lokasi]])</f>
        <v>Bau-Bau</v>
      </c>
      <c r="D441" s="8" t="str">
        <f>IF(Table2[[#This Row],[Nama_Proyek]]="", "Tidak Diketahui", Table2[[#This Row],[Nama_Proyek]])</f>
        <v>Perbaikan Jembatan Bau-Bau</v>
      </c>
      <c r="E441" s="14">
        <v>45245</v>
      </c>
      <c r="F441" s="14">
        <v>45532</v>
      </c>
      <c r="G441" s="10">
        <v>1941923313</v>
      </c>
      <c r="H441" s="8" t="str">
        <f>IF(Table2[[#This Row],[Kontraktor]]="", "Tidak Diketahui",Table2[[#This Row],[Kontraktor]])</f>
        <v>Tidak Diketahui</v>
      </c>
      <c r="I441" s="11"/>
    </row>
    <row r="442" spans="1:9" ht="14.25" customHeight="1" x14ac:dyDescent="0.35">
      <c r="A442" s="8" t="s">
        <v>493</v>
      </c>
      <c r="B442" s="8" t="str">
        <f>IF(Table2[[#This Row],[Jenis_Proyek]]="", "Tidak Diketahui", Table2[[#This Row],[Jenis_Proyek]])</f>
        <v>Jembatan</v>
      </c>
      <c r="C442" s="8" t="str">
        <f>IF(Table2[[#This Row],[Lokasi]]="", "Tidak Diketahui", Table2[[#This Row],[Lokasi]])</f>
        <v>Surabaya</v>
      </c>
      <c r="D442" s="8" t="str">
        <f>IF(Table2[[#This Row],[Nama_Proyek]]="", "Tidak Diketahui", Table2[[#This Row],[Nama_Proyek]])</f>
        <v>Pembuatan Jembatan Surabaya</v>
      </c>
      <c r="E442" s="14">
        <v>45245</v>
      </c>
      <c r="F442" s="14">
        <v>45333</v>
      </c>
      <c r="G442" s="10">
        <v>1897092669</v>
      </c>
      <c r="H442" s="8" t="str">
        <f>IF(Table2[[#This Row],[Kontraktor]]="", "Tidak Diketahui",Table2[[#This Row],[Kontraktor]])</f>
        <v>Tidak Diketahui</v>
      </c>
      <c r="I442" s="11"/>
    </row>
    <row r="443" spans="1:9" ht="14.25" customHeight="1" x14ac:dyDescent="0.35">
      <c r="A443" s="8" t="s">
        <v>494</v>
      </c>
      <c r="B443" s="8" t="str">
        <f>IF(Table2[[#This Row],[Jenis_Proyek]]="", "Tidak Diketahui", Table2[[#This Row],[Jenis_Proyek]])</f>
        <v>Flyover</v>
      </c>
      <c r="C443" s="8" t="str">
        <f>IF(Table2[[#This Row],[Lokasi]]="", "Tidak Diketahui", Table2[[#This Row],[Lokasi]])</f>
        <v>Jakarta</v>
      </c>
      <c r="D443" s="8" t="str">
        <f>IF(Table2[[#This Row],[Nama_Proyek]]="", "Tidak Diketahui", Table2[[#This Row],[Nama_Proyek]])</f>
        <v>Pembuatan Flyover Jakarta</v>
      </c>
      <c r="E443" s="14">
        <v>45245</v>
      </c>
      <c r="F443" s="14">
        <v>45348</v>
      </c>
      <c r="G443" s="10">
        <v>2304818789</v>
      </c>
      <c r="H443" s="8" t="str">
        <f>IF(Table2[[#This Row],[Kontraktor]]="", "Tidak Diketahui",Table2[[#This Row],[Kontraktor]])</f>
        <v>Tidak Diketahui</v>
      </c>
      <c r="I443" s="11"/>
    </row>
    <row r="444" spans="1:9" ht="14.25" customHeight="1" x14ac:dyDescent="0.35">
      <c r="A444" s="8" t="s">
        <v>495</v>
      </c>
      <c r="B444" s="8" t="str">
        <f>IF(Table2[[#This Row],[Jenis_Proyek]]="", "Tidak Diketahui", Table2[[#This Row],[Jenis_Proyek]])</f>
        <v>Jalan Raya</v>
      </c>
      <c r="C444" s="8" t="str">
        <f>IF(Table2[[#This Row],[Lokasi]]="", "Tidak Diketahui", Table2[[#This Row],[Lokasi]])</f>
        <v>Surabaya</v>
      </c>
      <c r="D444" s="8" t="str">
        <f>IF(Table2[[#This Row],[Nama_Proyek]]="", "Tidak Diketahui", Table2[[#This Row],[Nama_Proyek]])</f>
        <v>Perbaikan Jalan Raya Surabaya</v>
      </c>
      <c r="E444" s="14">
        <v>45246</v>
      </c>
      <c r="F444" s="14">
        <v>45389</v>
      </c>
      <c r="G444" s="10">
        <v>642644763</v>
      </c>
      <c r="H444" s="8" t="str">
        <f>IF(Table2[[#This Row],[Kontraktor]]="", "Tidak Diketahui",Table2[[#This Row],[Kontraktor]])</f>
        <v>PT D</v>
      </c>
      <c r="I444" s="11"/>
    </row>
    <row r="445" spans="1:9" ht="14.25" customHeight="1" x14ac:dyDescent="0.35">
      <c r="A445" s="8" t="s">
        <v>496</v>
      </c>
      <c r="B445" s="8" t="str">
        <f>IF(Table2[[#This Row],[Jenis_Proyek]]="", "Tidak Diketahui", Table2[[#This Row],[Jenis_Proyek]])</f>
        <v>Jembatan</v>
      </c>
      <c r="C445" s="8" t="str">
        <f>IF(Table2[[#This Row],[Lokasi]]="", "Tidak Diketahui", Table2[[#This Row],[Lokasi]])</f>
        <v>Makassar</v>
      </c>
      <c r="D445" s="8" t="str">
        <f>IF(Table2[[#This Row],[Nama_Proyek]]="", "Tidak Diketahui", Table2[[#This Row],[Nama_Proyek]])</f>
        <v>Perbaikan Jembatan Makassar</v>
      </c>
      <c r="E445" s="14">
        <v>45246</v>
      </c>
      <c r="F445" s="14">
        <v>45343</v>
      </c>
      <c r="G445" s="10">
        <v>5716503787</v>
      </c>
      <c r="H445" s="8" t="str">
        <f>IF(Table2[[#This Row],[Kontraktor]]="", "Tidak Diketahui",Table2[[#This Row],[Kontraktor]])</f>
        <v>PT B</v>
      </c>
      <c r="I445" s="11"/>
    </row>
    <row r="446" spans="1:9" ht="14.25" customHeight="1" x14ac:dyDescent="0.35">
      <c r="A446" s="8" t="s">
        <v>497</v>
      </c>
      <c r="B446" s="8" t="str">
        <f>IF(Table2[[#This Row],[Jenis_Proyek]]="", "Tidak Diketahui", Table2[[#This Row],[Jenis_Proyek]])</f>
        <v>Drainase</v>
      </c>
      <c r="C446" s="8" t="str">
        <f>IF(Table2[[#This Row],[Lokasi]]="", "Tidak Diketahui", Table2[[#This Row],[Lokasi]])</f>
        <v>Surabaya</v>
      </c>
      <c r="D446" s="8" t="str">
        <f>IF(Table2[[#This Row],[Nama_Proyek]]="", "Tidak Diketahui", Table2[[#This Row],[Nama_Proyek]])</f>
        <v>Perbaikan Drainase Surabaya</v>
      </c>
      <c r="E446" s="14">
        <v>45247</v>
      </c>
      <c r="F446" s="14">
        <v>45328</v>
      </c>
      <c r="G446" s="10">
        <v>537845909</v>
      </c>
      <c r="H446" s="8" t="str">
        <f>IF(Table2[[#This Row],[Kontraktor]]="", "Tidak Diketahui",Table2[[#This Row],[Kontraktor]])</f>
        <v>PT D</v>
      </c>
      <c r="I446" s="11"/>
    </row>
    <row r="447" spans="1:9" ht="14.25" customHeight="1" x14ac:dyDescent="0.35">
      <c r="A447" s="8" t="s">
        <v>498</v>
      </c>
      <c r="B447" s="8" t="str">
        <f>IF(Table2[[#This Row],[Jenis_Proyek]]="", "Tidak Diketahui", Table2[[#This Row],[Jenis_Proyek]])</f>
        <v>Jalan Raya</v>
      </c>
      <c r="C447" s="8" t="str">
        <f>IF(Table2[[#This Row],[Lokasi]]="", "Tidak Diketahui", Table2[[#This Row],[Lokasi]])</f>
        <v>Depok</v>
      </c>
      <c r="D447" s="8" t="str">
        <f>IF(Table2[[#This Row],[Nama_Proyek]]="", "Tidak Diketahui", Table2[[#This Row],[Nama_Proyek]])</f>
        <v>Perbaikan Jalan Raya Depok</v>
      </c>
      <c r="E447" s="14">
        <v>45247</v>
      </c>
      <c r="F447" s="14">
        <v>45499</v>
      </c>
      <c r="G447" s="10">
        <v>800732653</v>
      </c>
      <c r="H447" s="8" t="str">
        <f>IF(Table2[[#This Row],[Kontraktor]]="", "Tidak Diketahui",Table2[[#This Row],[Kontraktor]])</f>
        <v>PT C</v>
      </c>
      <c r="I447" s="11"/>
    </row>
    <row r="448" spans="1:9" ht="14.25" customHeight="1" x14ac:dyDescent="0.35">
      <c r="A448" s="8" t="s">
        <v>499</v>
      </c>
      <c r="B448" s="8" t="str">
        <f>IF(Table2[[#This Row],[Jenis_Proyek]]="", "Tidak Diketahui", Table2[[#This Row],[Jenis_Proyek]])</f>
        <v>Jembatan</v>
      </c>
      <c r="C448" s="8" t="str">
        <f>IF(Table2[[#This Row],[Lokasi]]="", "Tidak Diketahui", Table2[[#This Row],[Lokasi]])</f>
        <v>Surabaya</v>
      </c>
      <c r="D448" s="8" t="str">
        <f>IF(Table2[[#This Row],[Nama_Proyek]]="", "Tidak Diketahui", Table2[[#This Row],[Nama_Proyek]])</f>
        <v>Pembuatan Jembatan Surabaya</v>
      </c>
      <c r="E448" s="14">
        <v>45248</v>
      </c>
      <c r="F448" s="14">
        <v>45605</v>
      </c>
      <c r="G448" s="10">
        <v>676299944</v>
      </c>
      <c r="H448" s="8" t="str">
        <f>IF(Table2[[#This Row],[Kontraktor]]="", "Tidak Diketahui",Table2[[#This Row],[Kontraktor]])</f>
        <v>PT D</v>
      </c>
      <c r="I448" s="11"/>
    </row>
    <row r="449" spans="1:9" ht="14.25" customHeight="1" x14ac:dyDescent="0.35">
      <c r="A449" s="8" t="s">
        <v>500</v>
      </c>
      <c r="B449" s="8" t="str">
        <f>IF(Table2[[#This Row],[Jenis_Proyek]]="", "Tidak Diketahui", Table2[[#This Row],[Jenis_Proyek]])</f>
        <v>Jembatan</v>
      </c>
      <c r="C449" s="8" t="str">
        <f>IF(Table2[[#This Row],[Lokasi]]="", "Tidak Diketahui", Table2[[#This Row],[Lokasi]])</f>
        <v>Jakarta</v>
      </c>
      <c r="D449" s="8" t="str">
        <f>IF(Table2[[#This Row],[Nama_Proyek]]="", "Tidak Diketahui", Table2[[#This Row],[Nama_Proyek]])</f>
        <v>Pembuatan Jembatan Jakarta</v>
      </c>
      <c r="E449" s="14">
        <v>45248</v>
      </c>
      <c r="F449" s="14">
        <v>45481</v>
      </c>
      <c r="G449" s="10">
        <v>5621717823</v>
      </c>
      <c r="H449" s="8" t="str">
        <f>IF(Table2[[#This Row],[Kontraktor]]="", "Tidak Diketahui",Table2[[#This Row],[Kontraktor]])</f>
        <v>PT. Lailasari Hariyah (Persero) Tbk</v>
      </c>
      <c r="I449" s="11"/>
    </row>
    <row r="450" spans="1:9" ht="14.25" customHeight="1" x14ac:dyDescent="0.35">
      <c r="A450" s="8" t="s">
        <v>501</v>
      </c>
      <c r="B450" s="8" t="str">
        <f>IF(Table2[[#This Row],[Jenis_Proyek]]="", "Tidak Diketahui", Table2[[#This Row],[Jenis_Proyek]])</f>
        <v>Gedung</v>
      </c>
      <c r="C450" s="8" t="str">
        <f>IF(Table2[[#This Row],[Lokasi]]="", "Tidak Diketahui", Table2[[#This Row],[Lokasi]])</f>
        <v>Surabaya</v>
      </c>
      <c r="D450" s="8" t="str">
        <f>IF(Table2[[#This Row],[Nama_Proyek]]="", "Tidak Diketahui", Table2[[#This Row],[Nama_Proyek]])</f>
        <v>Perbaikan Gedung Pemerintah Surabaya</v>
      </c>
      <c r="E450" s="14">
        <v>45248</v>
      </c>
      <c r="F450" s="14">
        <v>45412</v>
      </c>
      <c r="G450" s="10">
        <v>1652704535</v>
      </c>
      <c r="H450" s="8" t="str">
        <f>IF(Table2[[#This Row],[Kontraktor]]="", "Tidak Diketahui",Table2[[#This Row],[Kontraktor]])</f>
        <v>CV Sihombing</v>
      </c>
      <c r="I450" s="11"/>
    </row>
    <row r="451" spans="1:9" ht="14.25" customHeight="1" x14ac:dyDescent="0.35">
      <c r="A451" s="8" t="s">
        <v>502</v>
      </c>
      <c r="B451" s="8" t="str">
        <f>IF(Table2[[#This Row],[Jenis_Proyek]]="", "Tidak Diketahui", Table2[[#This Row],[Jenis_Proyek]])</f>
        <v>Jembatan</v>
      </c>
      <c r="C451" s="8" t="str">
        <f>IF(Table2[[#This Row],[Lokasi]]="", "Tidak Diketahui", Table2[[#This Row],[Lokasi]])</f>
        <v>Tomohon</v>
      </c>
      <c r="D451" s="8" t="str">
        <f>IF(Table2[[#This Row],[Nama_Proyek]]="", "Tidak Diketahui", Table2[[#This Row],[Nama_Proyek]])</f>
        <v>Perbaikan Jembatan Tomohon</v>
      </c>
      <c r="E451" s="14">
        <v>45249</v>
      </c>
      <c r="F451" s="14">
        <v>45590</v>
      </c>
      <c r="G451" s="10">
        <v>2696276120</v>
      </c>
      <c r="H451" s="8" t="str">
        <f>IF(Table2[[#This Row],[Kontraktor]]="", "Tidak Diketahui",Table2[[#This Row],[Kontraktor]])</f>
        <v>PT A</v>
      </c>
      <c r="I451" s="11"/>
    </row>
    <row r="452" spans="1:9" ht="14.25" customHeight="1" x14ac:dyDescent="0.35">
      <c r="A452" s="8" t="s">
        <v>503</v>
      </c>
      <c r="B452" s="8" t="str">
        <f>IF(Table2[[#This Row],[Jenis_Proyek]]="", "Tidak Diketahui", Table2[[#This Row],[Jenis_Proyek]])</f>
        <v>Drainase</v>
      </c>
      <c r="C452" s="8" t="str">
        <f>IF(Table2[[#This Row],[Lokasi]]="", "Tidak Diketahui", Table2[[#This Row],[Lokasi]])</f>
        <v>Surabaya</v>
      </c>
      <c r="D452" s="8" t="str">
        <f>IF(Table2[[#This Row],[Nama_Proyek]]="", "Tidak Diketahui", Table2[[#This Row],[Nama_Proyek]])</f>
        <v>Perbaikan Drainase Surabaya</v>
      </c>
      <c r="E452" s="14">
        <v>45249</v>
      </c>
      <c r="F452" s="14">
        <v>45512</v>
      </c>
      <c r="G452" s="10">
        <v>344399927</v>
      </c>
      <c r="H452" s="8" t="str">
        <f>IF(Table2[[#This Row],[Kontraktor]]="", "Tidak Diketahui",Table2[[#This Row],[Kontraktor]])</f>
        <v>PT. Lailasari Hariyah (Persero) Tbk</v>
      </c>
      <c r="I452" s="11"/>
    </row>
    <row r="453" spans="1:9" ht="14.25" customHeight="1" x14ac:dyDescent="0.35">
      <c r="A453" s="8" t="s">
        <v>504</v>
      </c>
      <c r="B453" s="8" t="str">
        <f>IF(Table2[[#This Row],[Jenis_Proyek]]="", "Tidak Diketahui", Table2[[#This Row],[Jenis_Proyek]])</f>
        <v>Drainase</v>
      </c>
      <c r="C453" s="8" t="str">
        <f>IF(Table2[[#This Row],[Lokasi]]="", "Tidak Diketahui", Table2[[#This Row],[Lokasi]])</f>
        <v>Depok</v>
      </c>
      <c r="D453" s="8" t="str">
        <f>IF(Table2[[#This Row],[Nama_Proyek]]="", "Tidak Diketahui", Table2[[#This Row],[Nama_Proyek]])</f>
        <v>Perbaikan Drainase Depok</v>
      </c>
      <c r="E453" s="14">
        <v>45249</v>
      </c>
      <c r="F453" s="14">
        <v>45478</v>
      </c>
      <c r="G453" s="10">
        <v>624334418</v>
      </c>
      <c r="H453" s="8" t="str">
        <f>IF(Table2[[#This Row],[Kontraktor]]="", "Tidak Diketahui",Table2[[#This Row],[Kontraktor]])</f>
        <v>PT D</v>
      </c>
      <c r="I453" s="11"/>
    </row>
    <row r="454" spans="1:9" ht="14.25" customHeight="1" x14ac:dyDescent="0.35">
      <c r="A454" s="8" t="s">
        <v>505</v>
      </c>
      <c r="B454" s="8" t="str">
        <f>IF(Table2[[#This Row],[Jenis_Proyek]]="", "Tidak Diketahui", Table2[[#This Row],[Jenis_Proyek]])</f>
        <v>Jembatan</v>
      </c>
      <c r="C454" s="8" t="str">
        <f>IF(Table2[[#This Row],[Lokasi]]="", "Tidak Diketahui", Table2[[#This Row],[Lokasi]])</f>
        <v>Bandung</v>
      </c>
      <c r="D454" s="8" t="str">
        <f>IF(Table2[[#This Row],[Nama_Proyek]]="", "Tidak Diketahui", Table2[[#This Row],[Nama_Proyek]])</f>
        <v>Perbaikan Jembatan Bandung</v>
      </c>
      <c r="E454" s="14">
        <v>45252</v>
      </c>
      <c r="F454" s="14">
        <v>45467</v>
      </c>
      <c r="G454" s="10">
        <v>7036506058</v>
      </c>
      <c r="H454" s="8" t="str">
        <f>IF(Table2[[#This Row],[Kontraktor]]="", "Tidak Diketahui",Table2[[#This Row],[Kontraktor]])</f>
        <v>PT D</v>
      </c>
      <c r="I454" s="11"/>
    </row>
    <row r="455" spans="1:9" ht="14.25" customHeight="1" x14ac:dyDescent="0.35">
      <c r="A455" s="8" t="s">
        <v>506</v>
      </c>
      <c r="B455" s="8" t="str">
        <f>IF(Table2[[#This Row],[Jenis_Proyek]]="", "Tidak Diketahui", Table2[[#This Row],[Jenis_Proyek]])</f>
        <v>Gedung</v>
      </c>
      <c r="C455" s="8" t="str">
        <f>IF(Table2[[#This Row],[Lokasi]]="", "Tidak Diketahui", Table2[[#This Row],[Lokasi]])</f>
        <v>Surabaya</v>
      </c>
      <c r="D455" s="8" t="str">
        <f>IF(Table2[[#This Row],[Nama_Proyek]]="", "Tidak Diketahui", Table2[[#This Row],[Nama_Proyek]])</f>
        <v>Perbaikan Gedung Pemerintah Surabaya</v>
      </c>
      <c r="E455" s="14">
        <v>45253</v>
      </c>
      <c r="F455" s="14">
        <v>45512</v>
      </c>
      <c r="G455" s="10">
        <v>4458001292</v>
      </c>
      <c r="H455" s="8" t="str">
        <f>IF(Table2[[#This Row],[Kontraktor]]="", "Tidak Diketahui",Table2[[#This Row],[Kontraktor]])</f>
        <v>Tidak Diketahui</v>
      </c>
      <c r="I455" s="11"/>
    </row>
    <row r="456" spans="1:9" ht="14.25" customHeight="1" x14ac:dyDescent="0.35">
      <c r="A456" s="8" t="s">
        <v>507</v>
      </c>
      <c r="B456" s="8" t="str">
        <f>IF(Table2[[#This Row],[Jenis_Proyek]]="", "Tidak Diketahui", Table2[[#This Row],[Jenis_Proyek]])</f>
        <v>Jembatan</v>
      </c>
      <c r="C456" s="8" t="str">
        <f>IF(Table2[[#This Row],[Lokasi]]="", "Tidak Diketahui", Table2[[#This Row],[Lokasi]])</f>
        <v>Makassar</v>
      </c>
      <c r="D456" s="8" t="str">
        <f>IF(Table2[[#This Row],[Nama_Proyek]]="", "Tidak Diketahui", Table2[[#This Row],[Nama_Proyek]])</f>
        <v>Perbaikan Jembatan Makassar</v>
      </c>
      <c r="E456" s="14">
        <v>45254</v>
      </c>
      <c r="F456" s="14">
        <v>45331</v>
      </c>
      <c r="G456" s="10">
        <v>6553637483</v>
      </c>
      <c r="H456" s="8" t="str">
        <f>IF(Table2[[#This Row],[Kontraktor]]="", "Tidak Diketahui",Table2[[#This Row],[Kontraktor]])</f>
        <v>Tidak Diketahui</v>
      </c>
      <c r="I456" s="11"/>
    </row>
    <row r="457" spans="1:9" ht="14.25" customHeight="1" x14ac:dyDescent="0.35">
      <c r="A457" s="8" t="s">
        <v>508</v>
      </c>
      <c r="B457" s="8" t="str">
        <f>IF(Table2[[#This Row],[Jenis_Proyek]]="", "Tidak Diketahui", Table2[[#This Row],[Jenis_Proyek]])</f>
        <v>Jembatan</v>
      </c>
      <c r="C457" s="8" t="str">
        <f>IF(Table2[[#This Row],[Lokasi]]="", "Tidak Diketahui", Table2[[#This Row],[Lokasi]])</f>
        <v>Depok</v>
      </c>
      <c r="D457" s="8" t="str">
        <f>IF(Table2[[#This Row],[Nama_Proyek]]="", "Tidak Diketahui", Table2[[#This Row],[Nama_Proyek]])</f>
        <v>Perbaikan Jembatan Depok</v>
      </c>
      <c r="E457" s="14">
        <v>45254</v>
      </c>
      <c r="F457" s="14">
        <v>45547</v>
      </c>
      <c r="G457" s="10">
        <v>5694242987</v>
      </c>
      <c r="H457" s="8" t="str">
        <f>IF(Table2[[#This Row],[Kontraktor]]="", "Tidak Diketahui",Table2[[#This Row],[Kontraktor]])</f>
        <v>PT. Yuniar Hakim Tbk</v>
      </c>
      <c r="I457" s="11"/>
    </row>
    <row r="458" spans="1:9" ht="14.25" customHeight="1" x14ac:dyDescent="0.35">
      <c r="A458" s="8" t="s">
        <v>509</v>
      </c>
      <c r="B458" s="8" t="str">
        <f>IF(Table2[[#This Row],[Jenis_Proyek]]="", "Tidak Diketahui", Table2[[#This Row],[Jenis_Proyek]])</f>
        <v>Jembatan</v>
      </c>
      <c r="C458" s="8" t="str">
        <f>IF(Table2[[#This Row],[Lokasi]]="", "Tidak Diketahui", Table2[[#This Row],[Lokasi]])</f>
        <v>Makassar</v>
      </c>
      <c r="D458" s="8" t="str">
        <f>IF(Table2[[#This Row],[Nama_Proyek]]="", "Tidak Diketahui", Table2[[#This Row],[Nama_Proyek]])</f>
        <v>Perbaikan Jembatan Makassar</v>
      </c>
      <c r="E458" s="14">
        <v>45255</v>
      </c>
      <c r="F458" s="14">
        <v>45461</v>
      </c>
      <c r="G458" s="10">
        <v>2266697296</v>
      </c>
      <c r="H458" s="8" t="str">
        <f>IF(Table2[[#This Row],[Kontraktor]]="", "Tidak Diketahui",Table2[[#This Row],[Kontraktor]])</f>
        <v>Tidak Diketahui</v>
      </c>
      <c r="I458" s="11"/>
    </row>
    <row r="459" spans="1:9" ht="14.25" customHeight="1" x14ac:dyDescent="0.35">
      <c r="A459" s="8" t="s">
        <v>510</v>
      </c>
      <c r="B459" s="8" t="str">
        <f>IF(Table2[[#This Row],[Jenis_Proyek]]="", "Tidak Diketahui", Table2[[#This Row],[Jenis_Proyek]])</f>
        <v>Drainase</v>
      </c>
      <c r="C459" s="8" t="str">
        <f>IF(Table2[[#This Row],[Lokasi]]="", "Tidak Diketahui", Table2[[#This Row],[Lokasi]])</f>
        <v>Tomohon</v>
      </c>
      <c r="D459" s="8" t="str">
        <f>IF(Table2[[#This Row],[Nama_Proyek]]="", "Tidak Diketahui", Table2[[#This Row],[Nama_Proyek]])</f>
        <v>Perbaikan Drainase Tomohon</v>
      </c>
      <c r="E459" s="14">
        <v>45258</v>
      </c>
      <c r="F459" s="14">
        <v>45497</v>
      </c>
      <c r="G459" s="10">
        <v>449824902</v>
      </c>
      <c r="H459" s="8" t="str">
        <f>IF(Table2[[#This Row],[Kontraktor]]="", "Tidak Diketahui",Table2[[#This Row],[Kontraktor]])</f>
        <v>PT D</v>
      </c>
      <c r="I459" s="11"/>
    </row>
    <row r="460" spans="1:9" ht="14.25" customHeight="1" x14ac:dyDescent="0.35">
      <c r="A460" s="8" t="s">
        <v>511</v>
      </c>
      <c r="B460" s="8" t="str">
        <f>IF(Table2[[#This Row],[Jenis_Proyek]]="", "Tidak Diketahui", Table2[[#This Row],[Jenis_Proyek]])</f>
        <v>Jalan Raya</v>
      </c>
      <c r="C460" s="8" t="str">
        <f>IF(Table2[[#This Row],[Lokasi]]="", "Tidak Diketahui", Table2[[#This Row],[Lokasi]])</f>
        <v>Bandung</v>
      </c>
      <c r="D460" s="8" t="str">
        <f>IF(Table2[[#This Row],[Nama_Proyek]]="", "Tidak Diketahui", Table2[[#This Row],[Nama_Proyek]])</f>
        <v>Perbaikan Jalan Raya Bandung</v>
      </c>
      <c r="E460" s="14">
        <v>45259</v>
      </c>
      <c r="F460" s="14">
        <v>45579</v>
      </c>
      <c r="G460" s="10">
        <v>687256096</v>
      </c>
      <c r="H460" s="8" t="str">
        <f>IF(Table2[[#This Row],[Kontraktor]]="", "Tidak Diketahui",Table2[[#This Row],[Kontraktor]])</f>
        <v>PT A</v>
      </c>
      <c r="I460" s="11"/>
    </row>
    <row r="461" spans="1:9" ht="14.25" customHeight="1" x14ac:dyDescent="0.35">
      <c r="A461" s="8" t="s">
        <v>512</v>
      </c>
      <c r="B461" s="8" t="str">
        <f>IF(Table2[[#This Row],[Jenis_Proyek]]="", "Tidak Diketahui", Table2[[#This Row],[Jenis_Proyek]])</f>
        <v>Jalan Raya</v>
      </c>
      <c r="C461" s="8" t="str">
        <f>IF(Table2[[#This Row],[Lokasi]]="", "Tidak Diketahui", Table2[[#This Row],[Lokasi]])</f>
        <v>Depok</v>
      </c>
      <c r="D461" s="8" t="str">
        <f>IF(Table2[[#This Row],[Nama_Proyek]]="", "Tidak Diketahui", Table2[[#This Row],[Nama_Proyek]])</f>
        <v>Perbaikan Jalan Raya Depok</v>
      </c>
      <c r="E461" s="14">
        <v>45259</v>
      </c>
      <c r="F461" s="14">
        <v>45542</v>
      </c>
      <c r="G461" s="10">
        <v>529398283</v>
      </c>
      <c r="H461" s="8" t="str">
        <f>IF(Table2[[#This Row],[Kontraktor]]="", "Tidak Diketahui",Table2[[#This Row],[Kontraktor]])</f>
        <v>PT B</v>
      </c>
      <c r="I461" s="11"/>
    </row>
    <row r="462" spans="1:9" ht="14.25" customHeight="1" x14ac:dyDescent="0.35">
      <c r="A462" s="8" t="s">
        <v>513</v>
      </c>
      <c r="B462" s="8" t="str">
        <f>IF(Table2[[#This Row],[Jenis_Proyek]]="", "Tidak Diketahui", Table2[[#This Row],[Jenis_Proyek]])</f>
        <v>Gedung</v>
      </c>
      <c r="C462" s="8" t="str">
        <f>IF(Table2[[#This Row],[Lokasi]]="", "Tidak Diketahui", Table2[[#This Row],[Lokasi]])</f>
        <v>Surabaya</v>
      </c>
      <c r="D462" s="8" t="str">
        <f>IF(Table2[[#This Row],[Nama_Proyek]]="", "Tidak Diketahui", Table2[[#This Row],[Nama_Proyek]])</f>
        <v>Perbaikan Gedung Pemerintah Surabaya</v>
      </c>
      <c r="E462" s="14">
        <v>45259</v>
      </c>
      <c r="F462" s="14">
        <v>45457</v>
      </c>
      <c r="G462" s="10">
        <v>4710182773</v>
      </c>
      <c r="H462" s="8" t="str">
        <f>IF(Table2[[#This Row],[Kontraktor]]="", "Tidak Diketahui",Table2[[#This Row],[Kontraktor]])</f>
        <v>PT. Yuniar Hakim Tbk</v>
      </c>
      <c r="I462" s="11"/>
    </row>
    <row r="463" spans="1:9" ht="14.25" customHeight="1" x14ac:dyDescent="0.35">
      <c r="A463" s="8" t="s">
        <v>514</v>
      </c>
      <c r="B463" s="8" t="str">
        <f>IF(Table2[[#This Row],[Jenis_Proyek]]="", "Tidak Diketahui", Table2[[#This Row],[Jenis_Proyek]])</f>
        <v>Jalan Raya</v>
      </c>
      <c r="C463" s="8" t="str">
        <f>IF(Table2[[#This Row],[Lokasi]]="", "Tidak Diketahui", Table2[[#This Row],[Lokasi]])</f>
        <v>Medan</v>
      </c>
      <c r="D463" s="8" t="str">
        <f>IF(Table2[[#This Row],[Nama_Proyek]]="", "Tidak Diketahui", Table2[[#This Row],[Nama_Proyek]])</f>
        <v>Perbaikan Jalan Raya Medan</v>
      </c>
      <c r="E463" s="14">
        <v>45260</v>
      </c>
      <c r="F463" s="14">
        <v>45376</v>
      </c>
      <c r="G463" s="10">
        <v>744960204</v>
      </c>
      <c r="H463" s="8" t="str">
        <f>IF(Table2[[#This Row],[Kontraktor]]="", "Tidak Diketahui",Table2[[#This Row],[Kontraktor]])</f>
        <v>CV Sihombing</v>
      </c>
      <c r="I463" s="11"/>
    </row>
    <row r="464" spans="1:9" ht="14.25" customHeight="1" x14ac:dyDescent="0.35">
      <c r="A464" s="8" t="s">
        <v>515</v>
      </c>
      <c r="B464" s="8" t="str">
        <f>IF(Table2[[#This Row],[Jenis_Proyek]]="", "Tidak Diketahui", Table2[[#This Row],[Jenis_Proyek]])</f>
        <v>Gedung</v>
      </c>
      <c r="C464" s="8" t="str">
        <f>IF(Table2[[#This Row],[Lokasi]]="", "Tidak Diketahui", Table2[[#This Row],[Lokasi]])</f>
        <v>Surabaya</v>
      </c>
      <c r="D464" s="8" t="str">
        <f>IF(Table2[[#This Row],[Nama_Proyek]]="", "Tidak Diketahui", Table2[[#This Row],[Nama_Proyek]])</f>
        <v>Perbaikan Gedung Pemerintah Surabaya</v>
      </c>
      <c r="E464" s="14">
        <v>45260</v>
      </c>
      <c r="F464" s="14">
        <v>45384</v>
      </c>
      <c r="G464" s="10">
        <v>3580995628</v>
      </c>
      <c r="H464" s="8" t="str">
        <f>IF(Table2[[#This Row],[Kontraktor]]="", "Tidak Diketahui",Table2[[#This Row],[Kontraktor]])</f>
        <v>Tidak Diketahui</v>
      </c>
      <c r="I464" s="11"/>
    </row>
    <row r="465" spans="1:9" ht="14.25" customHeight="1" x14ac:dyDescent="0.35">
      <c r="A465" s="8" t="s">
        <v>516</v>
      </c>
      <c r="B465" s="8" t="str">
        <f>IF(Table2[[#This Row],[Jenis_Proyek]]="", "Tidak Diketahui", Table2[[#This Row],[Jenis_Proyek]])</f>
        <v>Flyover</v>
      </c>
      <c r="C465" s="8" t="str">
        <f>IF(Table2[[#This Row],[Lokasi]]="", "Tidak Diketahui", Table2[[#This Row],[Lokasi]])</f>
        <v>Jakarta</v>
      </c>
      <c r="D465" s="8" t="str">
        <f>IF(Table2[[#This Row],[Nama_Proyek]]="", "Tidak Diketahui", Table2[[#This Row],[Nama_Proyek]])</f>
        <v>Pembuatan Flyover Jakarta</v>
      </c>
      <c r="E465" s="14">
        <v>45261</v>
      </c>
      <c r="F465" s="14">
        <v>45492</v>
      </c>
      <c r="G465" s="10">
        <v>3574507730</v>
      </c>
      <c r="H465" s="8" t="str">
        <f>IF(Table2[[#This Row],[Kontraktor]]="", "Tidak Diketahui",Table2[[#This Row],[Kontraktor]])</f>
        <v>PT B</v>
      </c>
      <c r="I465" s="11"/>
    </row>
    <row r="466" spans="1:9" ht="14.25" customHeight="1" x14ac:dyDescent="0.35">
      <c r="A466" s="8" t="s">
        <v>517</v>
      </c>
      <c r="B466" s="8" t="str">
        <f>IF(Table2[[#This Row],[Jenis_Proyek]]="", "Tidak Diketahui", Table2[[#This Row],[Jenis_Proyek]])</f>
        <v>Flyover</v>
      </c>
      <c r="C466" s="8" t="str">
        <f>IF(Table2[[#This Row],[Lokasi]]="", "Tidak Diketahui", Table2[[#This Row],[Lokasi]])</f>
        <v>Depok</v>
      </c>
      <c r="D466" s="8" t="str">
        <f>IF(Table2[[#This Row],[Nama_Proyek]]="", "Tidak Diketahui", Table2[[#This Row],[Nama_Proyek]])</f>
        <v>Pembuatan Flyover Depok</v>
      </c>
      <c r="E466" s="14">
        <v>45261</v>
      </c>
      <c r="F466" s="14">
        <v>45525</v>
      </c>
      <c r="G466" s="10">
        <v>2640159197</v>
      </c>
      <c r="H466" s="8" t="str">
        <f>IF(Table2[[#This Row],[Kontraktor]]="", "Tidak Diketahui",Table2[[#This Row],[Kontraktor]])</f>
        <v>PT D</v>
      </c>
      <c r="I466" s="11"/>
    </row>
    <row r="467" spans="1:9" ht="14.25" customHeight="1" x14ac:dyDescent="0.35">
      <c r="A467" s="8" t="s">
        <v>518</v>
      </c>
      <c r="B467" s="8" t="str">
        <f>IF(Table2[[#This Row],[Jenis_Proyek]]="", "Tidak Diketahui", Table2[[#This Row],[Jenis_Proyek]])</f>
        <v>Jembatan</v>
      </c>
      <c r="C467" s="8" t="str">
        <f>IF(Table2[[#This Row],[Lokasi]]="", "Tidak Diketahui", Table2[[#This Row],[Lokasi]])</f>
        <v>Jakarta</v>
      </c>
      <c r="D467" s="8" t="str">
        <f>IF(Table2[[#This Row],[Nama_Proyek]]="", "Tidak Diketahui", Table2[[#This Row],[Nama_Proyek]])</f>
        <v>Perbaikan Jembatan Jakarta</v>
      </c>
      <c r="E467" s="14">
        <v>45262</v>
      </c>
      <c r="F467" s="14">
        <v>45476</v>
      </c>
      <c r="G467" s="10">
        <v>857010798</v>
      </c>
      <c r="H467" s="8" t="str">
        <f>IF(Table2[[#This Row],[Kontraktor]]="", "Tidak Diketahui",Table2[[#This Row],[Kontraktor]])</f>
        <v>PT. Yuniar Hakim Tbk</v>
      </c>
      <c r="I467" s="11"/>
    </row>
    <row r="468" spans="1:9" ht="14.25" customHeight="1" x14ac:dyDescent="0.35">
      <c r="A468" s="8" t="s">
        <v>519</v>
      </c>
      <c r="B468" s="8" t="str">
        <f>IF(Table2[[#This Row],[Jenis_Proyek]]="", "Tidak Diketahui", Table2[[#This Row],[Jenis_Proyek]])</f>
        <v>Flyover</v>
      </c>
      <c r="C468" s="8" t="str">
        <f>IF(Table2[[#This Row],[Lokasi]]="", "Tidak Diketahui", Table2[[#This Row],[Lokasi]])</f>
        <v>Makassar</v>
      </c>
      <c r="D468" s="8" t="str">
        <f>IF(Table2[[#This Row],[Nama_Proyek]]="", "Tidak Diketahui", Table2[[#This Row],[Nama_Proyek]])</f>
        <v>Pembuatan Flyover Makassar</v>
      </c>
      <c r="E468" s="14">
        <v>45262</v>
      </c>
      <c r="F468" s="14">
        <v>45620</v>
      </c>
      <c r="G468" s="10">
        <v>3902836313</v>
      </c>
      <c r="H468" s="8" t="str">
        <f>IF(Table2[[#This Row],[Kontraktor]]="", "Tidak Diketahui",Table2[[#This Row],[Kontraktor]])</f>
        <v>PT. Yuniar Hakim Tbk</v>
      </c>
      <c r="I468" s="11"/>
    </row>
    <row r="469" spans="1:9" ht="14.25" customHeight="1" x14ac:dyDescent="0.35">
      <c r="A469" s="8" t="s">
        <v>520</v>
      </c>
      <c r="B469" s="8" t="str">
        <f>IF(Table2[[#This Row],[Jenis_Proyek]]="", "Tidak Diketahui", Table2[[#This Row],[Jenis_Proyek]])</f>
        <v>Jalan Raya</v>
      </c>
      <c r="C469" s="8" t="str">
        <f>IF(Table2[[#This Row],[Lokasi]]="", "Tidak Diketahui", Table2[[#This Row],[Lokasi]])</f>
        <v>Makassar</v>
      </c>
      <c r="D469" s="8" t="str">
        <f>IF(Table2[[#This Row],[Nama_Proyek]]="", "Tidak Diketahui", Table2[[#This Row],[Nama_Proyek]])</f>
        <v>Perbaikan Jalan Raya Makassar</v>
      </c>
      <c r="E469" s="14">
        <v>45263</v>
      </c>
      <c r="F469" s="14">
        <v>45413</v>
      </c>
      <c r="G469" s="10">
        <v>313061138</v>
      </c>
      <c r="H469" s="8" t="str">
        <f>IF(Table2[[#This Row],[Kontraktor]]="", "Tidak Diketahui",Table2[[#This Row],[Kontraktor]])</f>
        <v>PT A</v>
      </c>
      <c r="I469" s="11"/>
    </row>
    <row r="470" spans="1:9" ht="14.25" customHeight="1" x14ac:dyDescent="0.35">
      <c r="A470" s="8" t="s">
        <v>521</v>
      </c>
      <c r="B470" s="8" t="str">
        <f>IF(Table2[[#This Row],[Jenis_Proyek]]="", "Tidak Diketahui", Table2[[#This Row],[Jenis_Proyek]])</f>
        <v>Flyover</v>
      </c>
      <c r="C470" s="8" t="str">
        <f>IF(Table2[[#This Row],[Lokasi]]="", "Tidak Diketahui", Table2[[#This Row],[Lokasi]])</f>
        <v>Jakarta</v>
      </c>
      <c r="D470" s="8" t="str">
        <f>IF(Table2[[#This Row],[Nama_Proyek]]="", "Tidak Diketahui", Table2[[#This Row],[Nama_Proyek]])</f>
        <v>Pembuatan Flyover Jakarta</v>
      </c>
      <c r="E470" s="14">
        <v>45263</v>
      </c>
      <c r="F470" s="14">
        <v>45473</v>
      </c>
      <c r="G470" s="10">
        <v>3704994376</v>
      </c>
      <c r="H470" s="8" t="str">
        <f>IF(Table2[[#This Row],[Kontraktor]]="", "Tidak Diketahui",Table2[[#This Row],[Kontraktor]])</f>
        <v>PT D</v>
      </c>
      <c r="I470" s="11"/>
    </row>
    <row r="471" spans="1:9" ht="14.25" customHeight="1" x14ac:dyDescent="0.35">
      <c r="A471" s="8" t="s">
        <v>522</v>
      </c>
      <c r="B471" s="8" t="str">
        <f>IF(Table2[[#This Row],[Jenis_Proyek]]="", "Tidak Diketahui", Table2[[#This Row],[Jenis_Proyek]])</f>
        <v>Jembatan</v>
      </c>
      <c r="C471" s="8" t="str">
        <f>IF(Table2[[#This Row],[Lokasi]]="", "Tidak Diketahui", Table2[[#This Row],[Lokasi]])</f>
        <v>Bandung</v>
      </c>
      <c r="D471" s="8" t="str">
        <f>IF(Table2[[#This Row],[Nama_Proyek]]="", "Tidak Diketahui", Table2[[#This Row],[Nama_Proyek]])</f>
        <v>Pembuatan Jembatan Bandung</v>
      </c>
      <c r="E471" s="14">
        <v>45263</v>
      </c>
      <c r="F471" s="14">
        <v>45306</v>
      </c>
      <c r="G471" s="10">
        <v>6935528254</v>
      </c>
      <c r="H471" s="8" t="str">
        <f>IF(Table2[[#This Row],[Kontraktor]]="", "Tidak Diketahui",Table2[[#This Row],[Kontraktor]])</f>
        <v>CV Sihombing</v>
      </c>
      <c r="I471" s="11"/>
    </row>
    <row r="472" spans="1:9" ht="14.25" customHeight="1" x14ac:dyDescent="0.35">
      <c r="A472" s="8" t="s">
        <v>523</v>
      </c>
      <c r="B472" s="8" t="str">
        <f>IF(Table2[[#This Row],[Jenis_Proyek]]="", "Tidak Diketahui", Table2[[#This Row],[Jenis_Proyek]])</f>
        <v>Gedung</v>
      </c>
      <c r="C472" s="8" t="str">
        <f>IF(Table2[[#This Row],[Lokasi]]="", "Tidak Diketahui", Table2[[#This Row],[Lokasi]])</f>
        <v>Makassar</v>
      </c>
      <c r="D472" s="8" t="str">
        <f>IF(Table2[[#This Row],[Nama_Proyek]]="", "Tidak Diketahui", Table2[[#This Row],[Nama_Proyek]])</f>
        <v>Perbaikan Gedung Pemerintah Makassar</v>
      </c>
      <c r="E472" s="14">
        <v>45265</v>
      </c>
      <c r="F472" s="14">
        <v>45562</v>
      </c>
      <c r="G472" s="10">
        <v>1827330534</v>
      </c>
      <c r="H472" s="8" t="str">
        <f>IF(Table2[[#This Row],[Kontraktor]]="", "Tidak Diketahui",Table2[[#This Row],[Kontraktor]])</f>
        <v>PT C</v>
      </c>
      <c r="I472" s="11"/>
    </row>
    <row r="473" spans="1:9" ht="14.25" customHeight="1" x14ac:dyDescent="0.35">
      <c r="A473" s="8" t="s">
        <v>524</v>
      </c>
      <c r="B473" s="8" t="str">
        <f>IF(Table2[[#This Row],[Jenis_Proyek]]="", "Tidak Diketahui", Table2[[#This Row],[Jenis_Proyek]])</f>
        <v>Jalan Raya</v>
      </c>
      <c r="C473" s="8" t="str">
        <f>IF(Table2[[#This Row],[Lokasi]]="", "Tidak Diketahui", Table2[[#This Row],[Lokasi]])</f>
        <v>Surabaya</v>
      </c>
      <c r="D473" s="8" t="str">
        <f>IF(Table2[[#This Row],[Nama_Proyek]]="", "Tidak Diketahui", Table2[[#This Row],[Nama_Proyek]])</f>
        <v>Perbaikan Jalan Raya Surabaya</v>
      </c>
      <c r="E473" s="14">
        <v>45266</v>
      </c>
      <c r="F473" s="14">
        <v>45425</v>
      </c>
      <c r="G473" s="10">
        <v>643095755</v>
      </c>
      <c r="H473" s="8" t="str">
        <f>IF(Table2[[#This Row],[Kontraktor]]="", "Tidak Diketahui",Table2[[#This Row],[Kontraktor]])</f>
        <v>PT B</v>
      </c>
      <c r="I473" s="11"/>
    </row>
    <row r="474" spans="1:9" ht="14.25" customHeight="1" x14ac:dyDescent="0.35">
      <c r="A474" s="8" t="s">
        <v>525</v>
      </c>
      <c r="B474" s="8" t="str">
        <f>IF(Table2[[#This Row],[Jenis_Proyek]]="", "Tidak Diketahui", Table2[[#This Row],[Jenis_Proyek]])</f>
        <v>Jalan Raya</v>
      </c>
      <c r="C474" s="8" t="str">
        <f>IF(Table2[[#This Row],[Lokasi]]="", "Tidak Diketahui", Table2[[#This Row],[Lokasi]])</f>
        <v>Makassar</v>
      </c>
      <c r="D474" s="8" t="str">
        <f>IF(Table2[[#This Row],[Nama_Proyek]]="", "Tidak Diketahui", Table2[[#This Row],[Nama_Proyek]])</f>
        <v>Perbaikan Jalan Raya Makassar</v>
      </c>
      <c r="E474" s="14">
        <v>45268</v>
      </c>
      <c r="F474" s="14">
        <v>45476</v>
      </c>
      <c r="G474" s="10">
        <v>195287277</v>
      </c>
      <c r="H474" s="8" t="str">
        <f>IF(Table2[[#This Row],[Kontraktor]]="", "Tidak Diketahui",Table2[[#This Row],[Kontraktor]])</f>
        <v>PT B</v>
      </c>
      <c r="I474" s="11"/>
    </row>
    <row r="475" spans="1:9" ht="14.25" customHeight="1" x14ac:dyDescent="0.35">
      <c r="A475" s="8" t="s">
        <v>526</v>
      </c>
      <c r="B475" s="8" t="str">
        <f>IF(Table2[[#This Row],[Jenis_Proyek]]="", "Tidak Diketahui", Table2[[#This Row],[Jenis_Proyek]])</f>
        <v>Gedung</v>
      </c>
      <c r="C475" s="8" t="str">
        <f>IF(Table2[[#This Row],[Lokasi]]="", "Tidak Diketahui", Table2[[#This Row],[Lokasi]])</f>
        <v>Tomohon</v>
      </c>
      <c r="D475" s="8" t="str">
        <f>IF(Table2[[#This Row],[Nama_Proyek]]="", "Tidak Diketahui", Table2[[#This Row],[Nama_Proyek]])</f>
        <v>Perbaikan Gedung Pemerintah Tomohon</v>
      </c>
      <c r="E475" s="14">
        <v>45268</v>
      </c>
      <c r="F475" s="14">
        <v>45413</v>
      </c>
      <c r="G475" s="10">
        <v>6786324237</v>
      </c>
      <c r="H475" s="8" t="str">
        <f>IF(Table2[[#This Row],[Kontraktor]]="", "Tidak Diketahui",Table2[[#This Row],[Kontraktor]])</f>
        <v>PT. Yuniar Hakim Tbk</v>
      </c>
      <c r="I475" s="11"/>
    </row>
    <row r="476" spans="1:9" ht="14.25" customHeight="1" x14ac:dyDescent="0.35">
      <c r="A476" s="8" t="s">
        <v>527</v>
      </c>
      <c r="B476" s="8" t="str">
        <f>IF(Table2[[#This Row],[Jenis_Proyek]]="", "Tidak Diketahui", Table2[[#This Row],[Jenis_Proyek]])</f>
        <v>Drainase</v>
      </c>
      <c r="C476" s="8" t="str">
        <f>IF(Table2[[#This Row],[Lokasi]]="", "Tidak Diketahui", Table2[[#This Row],[Lokasi]])</f>
        <v>Bandung</v>
      </c>
      <c r="D476" s="8" t="str">
        <f>IF(Table2[[#This Row],[Nama_Proyek]]="", "Tidak Diketahui", Table2[[#This Row],[Nama_Proyek]])</f>
        <v>Perbaikan Drainase Bandung</v>
      </c>
      <c r="E476" s="14">
        <v>45269</v>
      </c>
      <c r="F476" s="14">
        <v>45594</v>
      </c>
      <c r="G476" s="10">
        <v>499105719</v>
      </c>
      <c r="H476" s="8" t="str">
        <f>IF(Table2[[#This Row],[Kontraktor]]="", "Tidak Diketahui",Table2[[#This Row],[Kontraktor]])</f>
        <v>CV Sihombing</v>
      </c>
      <c r="I476" s="11"/>
    </row>
    <row r="477" spans="1:9" ht="14.25" customHeight="1" x14ac:dyDescent="0.35">
      <c r="A477" s="8" t="s">
        <v>528</v>
      </c>
      <c r="B477" s="8" t="str">
        <f>IF(Table2[[#This Row],[Jenis_Proyek]]="", "Tidak Diketahui", Table2[[#This Row],[Jenis_Proyek]])</f>
        <v>Drainase</v>
      </c>
      <c r="C477" s="8" t="str">
        <f>IF(Table2[[#This Row],[Lokasi]]="", "Tidak Diketahui", Table2[[#This Row],[Lokasi]])</f>
        <v>Tomohon</v>
      </c>
      <c r="D477" s="8" t="str">
        <f>IF(Table2[[#This Row],[Nama_Proyek]]="", "Tidak Diketahui", Table2[[#This Row],[Nama_Proyek]])</f>
        <v>Perbaikan Drainase Tomohon</v>
      </c>
      <c r="E477" s="14">
        <v>45271</v>
      </c>
      <c r="F477" s="14">
        <v>45311</v>
      </c>
      <c r="G477" s="10">
        <v>461111964</v>
      </c>
      <c r="H477" s="8" t="str">
        <f>IF(Table2[[#This Row],[Kontraktor]]="", "Tidak Diketahui",Table2[[#This Row],[Kontraktor]])</f>
        <v>CV Sihombing</v>
      </c>
      <c r="I477" s="11"/>
    </row>
    <row r="478" spans="1:9" ht="14.25" customHeight="1" x14ac:dyDescent="0.35">
      <c r="A478" s="8" t="s">
        <v>529</v>
      </c>
      <c r="B478" s="8" t="str">
        <f>IF(Table2[[#This Row],[Jenis_Proyek]]="", "Tidak Diketahui", Table2[[#This Row],[Jenis_Proyek]])</f>
        <v>Flyover</v>
      </c>
      <c r="C478" s="8" t="str">
        <f>IF(Table2[[#This Row],[Lokasi]]="", "Tidak Diketahui", Table2[[#This Row],[Lokasi]])</f>
        <v>Tomohon</v>
      </c>
      <c r="D478" s="8" t="str">
        <f>IF(Table2[[#This Row],[Nama_Proyek]]="", "Tidak Diketahui", Table2[[#This Row],[Nama_Proyek]])</f>
        <v>Perbaikan Flyover Tomohon</v>
      </c>
      <c r="E478" s="14">
        <v>45272</v>
      </c>
      <c r="F478" s="14">
        <v>45481</v>
      </c>
      <c r="G478" s="10">
        <v>3310535255</v>
      </c>
      <c r="H478" s="8" t="str">
        <f>IF(Table2[[#This Row],[Kontraktor]]="", "Tidak Diketahui",Table2[[#This Row],[Kontraktor]])</f>
        <v>PT. Lailasari Hariyah (Persero) Tbk</v>
      </c>
      <c r="I478" s="11"/>
    </row>
    <row r="479" spans="1:9" ht="14.25" customHeight="1" x14ac:dyDescent="0.35">
      <c r="A479" s="8" t="s">
        <v>530</v>
      </c>
      <c r="B479" s="8" t="str">
        <f>IF(Table2[[#This Row],[Jenis_Proyek]]="", "Tidak Diketahui", Table2[[#This Row],[Jenis_Proyek]])</f>
        <v>Gedung</v>
      </c>
      <c r="C479" s="8" t="str">
        <f>IF(Table2[[#This Row],[Lokasi]]="", "Tidak Diketahui", Table2[[#This Row],[Lokasi]])</f>
        <v>Makassar</v>
      </c>
      <c r="D479" s="8" t="str">
        <f>IF(Table2[[#This Row],[Nama_Proyek]]="", "Tidak Diketahui", Table2[[#This Row],[Nama_Proyek]])</f>
        <v>Perbaikan Gedung Pemerintah Makassar</v>
      </c>
      <c r="E479" s="14">
        <v>45272</v>
      </c>
      <c r="F479" s="14">
        <v>45553</v>
      </c>
      <c r="G479" s="10">
        <v>1639451183</v>
      </c>
      <c r="H479" s="8" t="str">
        <f>IF(Table2[[#This Row],[Kontraktor]]="", "Tidak Diketahui",Table2[[#This Row],[Kontraktor]])</f>
        <v>PT D</v>
      </c>
      <c r="I479" s="11"/>
    </row>
    <row r="480" spans="1:9" ht="14.25" customHeight="1" x14ac:dyDescent="0.35">
      <c r="A480" s="8" t="s">
        <v>531</v>
      </c>
      <c r="B480" s="8" t="str">
        <f>IF(Table2[[#This Row],[Jenis_Proyek]]="", "Tidak Diketahui", Table2[[#This Row],[Jenis_Proyek]])</f>
        <v>Gedung</v>
      </c>
      <c r="C480" s="8" t="str">
        <f>IF(Table2[[#This Row],[Lokasi]]="", "Tidak Diketahui", Table2[[#This Row],[Lokasi]])</f>
        <v>Makassar</v>
      </c>
      <c r="D480" s="8" t="str">
        <f>IF(Table2[[#This Row],[Nama_Proyek]]="", "Tidak Diketahui", Table2[[#This Row],[Nama_Proyek]])</f>
        <v>Perbaikan Gedung Pemerintah Makassar</v>
      </c>
      <c r="E480" s="14">
        <v>45273</v>
      </c>
      <c r="F480" s="14">
        <v>45590</v>
      </c>
      <c r="G480" s="10">
        <v>2042593058</v>
      </c>
      <c r="H480" s="8" t="str">
        <f>IF(Table2[[#This Row],[Kontraktor]]="", "Tidak Diketahui",Table2[[#This Row],[Kontraktor]])</f>
        <v>PT. Lailasari Hariyah (Persero) Tbk</v>
      </c>
      <c r="I480" s="11"/>
    </row>
    <row r="481" spans="1:9" ht="14.25" customHeight="1" x14ac:dyDescent="0.35">
      <c r="A481" s="8" t="s">
        <v>532</v>
      </c>
      <c r="B481" s="8" t="str">
        <f>IF(Table2[[#This Row],[Jenis_Proyek]]="", "Tidak Diketahui", Table2[[#This Row],[Jenis_Proyek]])</f>
        <v>Flyover</v>
      </c>
      <c r="C481" s="8" t="str">
        <f>IF(Table2[[#This Row],[Lokasi]]="", "Tidak Diketahui", Table2[[#This Row],[Lokasi]])</f>
        <v>Surabaya</v>
      </c>
      <c r="D481" s="8" t="str">
        <f>IF(Table2[[#This Row],[Nama_Proyek]]="", "Tidak Diketahui", Table2[[#This Row],[Nama_Proyek]])</f>
        <v>Pembuatan Flyover Surabaya</v>
      </c>
      <c r="E481" s="14">
        <v>45273</v>
      </c>
      <c r="F481" s="14">
        <v>45394</v>
      </c>
      <c r="G481" s="10">
        <v>2438226800</v>
      </c>
      <c r="H481" s="8" t="str">
        <f>IF(Table2[[#This Row],[Kontraktor]]="", "Tidak Diketahui",Table2[[#This Row],[Kontraktor]])</f>
        <v>PT D</v>
      </c>
      <c r="I481" s="11"/>
    </row>
    <row r="482" spans="1:9" ht="14.25" customHeight="1" x14ac:dyDescent="0.35">
      <c r="A482" s="8" t="s">
        <v>533</v>
      </c>
      <c r="B482" s="8" t="str">
        <f>IF(Table2[[#This Row],[Jenis_Proyek]]="", "Tidak Diketahui", Table2[[#This Row],[Jenis_Proyek]])</f>
        <v>Drainase</v>
      </c>
      <c r="C482" s="8" t="str">
        <f>IF(Table2[[#This Row],[Lokasi]]="", "Tidak Diketahui", Table2[[#This Row],[Lokasi]])</f>
        <v>Jakarta</v>
      </c>
      <c r="D482" s="8" t="str">
        <f>IF(Table2[[#This Row],[Nama_Proyek]]="", "Tidak Diketahui", Table2[[#This Row],[Nama_Proyek]])</f>
        <v>Perbaikan Drainase Jakarta</v>
      </c>
      <c r="E482" s="14">
        <v>45273</v>
      </c>
      <c r="F482" s="14">
        <v>45524</v>
      </c>
      <c r="G482" s="10">
        <v>740887892</v>
      </c>
      <c r="H482" s="8" t="str">
        <f>IF(Table2[[#This Row],[Kontraktor]]="", "Tidak Diketahui",Table2[[#This Row],[Kontraktor]])</f>
        <v>Tidak Diketahui</v>
      </c>
      <c r="I482" s="11"/>
    </row>
    <row r="483" spans="1:9" ht="14.25" customHeight="1" x14ac:dyDescent="0.35">
      <c r="A483" s="8" t="s">
        <v>534</v>
      </c>
      <c r="B483" s="8" t="str">
        <f>IF(Table2[[#This Row],[Jenis_Proyek]]="", "Tidak Diketahui", Table2[[#This Row],[Jenis_Proyek]])</f>
        <v>Flyover</v>
      </c>
      <c r="C483" s="8" t="str">
        <f>IF(Table2[[#This Row],[Lokasi]]="", "Tidak Diketahui", Table2[[#This Row],[Lokasi]])</f>
        <v>Depok</v>
      </c>
      <c r="D483" s="8" t="str">
        <f>IF(Table2[[#This Row],[Nama_Proyek]]="", "Tidak Diketahui", Table2[[#This Row],[Nama_Proyek]])</f>
        <v>Pembuatan Flyover Depok</v>
      </c>
      <c r="E483" s="14">
        <v>45278</v>
      </c>
      <c r="F483" s="14">
        <v>45634</v>
      </c>
      <c r="G483" s="10">
        <v>3502390822</v>
      </c>
      <c r="H483" s="8" t="str">
        <f>IF(Table2[[#This Row],[Kontraktor]]="", "Tidak Diketahui",Table2[[#This Row],[Kontraktor]])</f>
        <v>Tidak Diketahui</v>
      </c>
      <c r="I483" s="11"/>
    </row>
    <row r="484" spans="1:9" ht="14.25" customHeight="1" x14ac:dyDescent="0.35">
      <c r="A484" s="8" t="s">
        <v>535</v>
      </c>
      <c r="B484" s="8" t="str">
        <f>IF(Table2[[#This Row],[Jenis_Proyek]]="", "Tidak Diketahui", Table2[[#This Row],[Jenis_Proyek]])</f>
        <v>Drainase</v>
      </c>
      <c r="C484" s="8" t="str">
        <f>IF(Table2[[#This Row],[Lokasi]]="", "Tidak Diketahui", Table2[[#This Row],[Lokasi]])</f>
        <v>Surabaya</v>
      </c>
      <c r="D484" s="8" t="str">
        <f>IF(Table2[[#This Row],[Nama_Proyek]]="", "Tidak Diketahui", Table2[[#This Row],[Nama_Proyek]])</f>
        <v>Perbaikan Drainase Surabaya</v>
      </c>
      <c r="E484" s="14">
        <v>45281</v>
      </c>
      <c r="F484" s="14">
        <v>45467</v>
      </c>
      <c r="G484" s="10">
        <v>633299430</v>
      </c>
      <c r="H484" s="8" t="str">
        <f>IF(Table2[[#This Row],[Kontraktor]]="", "Tidak Diketahui",Table2[[#This Row],[Kontraktor]])</f>
        <v>PT. Yuniar Hakim Tbk</v>
      </c>
      <c r="I484" s="11"/>
    </row>
    <row r="485" spans="1:9" ht="14.25" customHeight="1" x14ac:dyDescent="0.35">
      <c r="A485" s="8" t="s">
        <v>536</v>
      </c>
      <c r="B485" s="8" t="str">
        <f>IF(Table2[[#This Row],[Jenis_Proyek]]="", "Tidak Diketahui", Table2[[#This Row],[Jenis_Proyek]])</f>
        <v>Drainase</v>
      </c>
      <c r="C485" s="8" t="str">
        <f>IF(Table2[[#This Row],[Lokasi]]="", "Tidak Diketahui", Table2[[#This Row],[Lokasi]])</f>
        <v>Depok</v>
      </c>
      <c r="D485" s="8" t="str">
        <f>IF(Table2[[#This Row],[Nama_Proyek]]="", "Tidak Diketahui", Table2[[#This Row],[Nama_Proyek]])</f>
        <v>Perbaikan Drainase Depok</v>
      </c>
      <c r="E485" s="14">
        <v>45282</v>
      </c>
      <c r="F485" s="14">
        <v>45595</v>
      </c>
      <c r="G485" s="10">
        <v>518578528</v>
      </c>
      <c r="H485" s="8" t="str">
        <f>IF(Table2[[#This Row],[Kontraktor]]="", "Tidak Diketahui",Table2[[#This Row],[Kontraktor]])</f>
        <v>PT. Yuniar Hakim Tbk</v>
      </c>
      <c r="I485" s="11"/>
    </row>
    <row r="486" spans="1:9" ht="14.25" customHeight="1" x14ac:dyDescent="0.35">
      <c r="A486" s="8" t="s">
        <v>537</v>
      </c>
      <c r="B486" s="8" t="str">
        <f>IF(Table2[[#This Row],[Jenis_Proyek]]="", "Tidak Diketahui", Table2[[#This Row],[Jenis_Proyek]])</f>
        <v>Flyover</v>
      </c>
      <c r="C486" s="8" t="str">
        <f>IF(Table2[[#This Row],[Lokasi]]="", "Tidak Diketahui", Table2[[#This Row],[Lokasi]])</f>
        <v>Makassar</v>
      </c>
      <c r="D486" s="8" t="str">
        <f>IF(Table2[[#This Row],[Nama_Proyek]]="", "Tidak Diketahui", Table2[[#This Row],[Nama_Proyek]])</f>
        <v>Pembuatan Flyover Makassar</v>
      </c>
      <c r="E486" s="14">
        <v>45283</v>
      </c>
      <c r="F486" s="14">
        <v>45588</v>
      </c>
      <c r="G486" s="10">
        <v>2716743578</v>
      </c>
      <c r="H486" s="8" t="str">
        <f>IF(Table2[[#This Row],[Kontraktor]]="", "Tidak Diketahui",Table2[[#This Row],[Kontraktor]])</f>
        <v>PT. Lailasari Hariyah (Persero) Tbk</v>
      </c>
      <c r="I486" s="11"/>
    </row>
    <row r="487" spans="1:9" ht="14.25" customHeight="1" x14ac:dyDescent="0.35">
      <c r="A487" s="8" t="s">
        <v>538</v>
      </c>
      <c r="B487" s="8" t="str">
        <f>IF(Table2[[#This Row],[Jenis_Proyek]]="", "Tidak Diketahui", Table2[[#This Row],[Jenis_Proyek]])</f>
        <v>Gedung</v>
      </c>
      <c r="C487" s="8" t="str">
        <f>IF(Table2[[#This Row],[Lokasi]]="", "Tidak Diketahui", Table2[[#This Row],[Lokasi]])</f>
        <v>Bandung</v>
      </c>
      <c r="D487" s="8" t="str">
        <f>IF(Table2[[#This Row],[Nama_Proyek]]="", "Tidak Diketahui", Table2[[#This Row],[Nama_Proyek]])</f>
        <v>Perbaikan Gedung Pemerintah Bandung</v>
      </c>
      <c r="E487" s="14">
        <v>45284</v>
      </c>
      <c r="F487" s="14">
        <v>45579</v>
      </c>
      <c r="G487" s="10">
        <v>3558366170</v>
      </c>
      <c r="H487" s="8" t="str">
        <f>IF(Table2[[#This Row],[Kontraktor]]="", "Tidak Diketahui",Table2[[#This Row],[Kontraktor]])</f>
        <v>PT B</v>
      </c>
      <c r="I487" s="11"/>
    </row>
    <row r="488" spans="1:9" ht="14.25" customHeight="1" x14ac:dyDescent="0.35">
      <c r="A488" s="8" t="s">
        <v>539</v>
      </c>
      <c r="B488" s="8" t="str">
        <f>IF(Table2[[#This Row],[Jenis_Proyek]]="", "Tidak Diketahui", Table2[[#This Row],[Jenis_Proyek]])</f>
        <v>Flyover</v>
      </c>
      <c r="C488" s="8" t="str">
        <f>IF(Table2[[#This Row],[Lokasi]]="", "Tidak Diketahui", Table2[[#This Row],[Lokasi]])</f>
        <v>Surabaya</v>
      </c>
      <c r="D488" s="8" t="str">
        <f>IF(Table2[[#This Row],[Nama_Proyek]]="", "Tidak Diketahui", Table2[[#This Row],[Nama_Proyek]])</f>
        <v>Pembuatan Flyover Surabaya</v>
      </c>
      <c r="E488" s="14">
        <v>45284</v>
      </c>
      <c r="F488" s="14">
        <v>45473</v>
      </c>
      <c r="G488" s="10">
        <v>3504700319</v>
      </c>
      <c r="H488" s="8" t="str">
        <f>IF(Table2[[#This Row],[Kontraktor]]="", "Tidak Diketahui",Table2[[#This Row],[Kontraktor]])</f>
        <v>PT A</v>
      </c>
      <c r="I488" s="11"/>
    </row>
    <row r="489" spans="1:9" ht="14.25" customHeight="1" x14ac:dyDescent="0.35">
      <c r="A489" s="8" t="s">
        <v>540</v>
      </c>
      <c r="B489" s="8" t="str">
        <f>IF(Table2[[#This Row],[Jenis_Proyek]]="", "Tidak Diketahui", Table2[[#This Row],[Jenis_Proyek]])</f>
        <v>Gedung</v>
      </c>
      <c r="C489" s="8" t="str">
        <f>IF(Table2[[#This Row],[Lokasi]]="", "Tidak Diketahui", Table2[[#This Row],[Lokasi]])</f>
        <v>Bandung</v>
      </c>
      <c r="D489" s="8" t="str">
        <f>IF(Table2[[#This Row],[Nama_Proyek]]="", "Tidak Diketahui", Table2[[#This Row],[Nama_Proyek]])</f>
        <v>Perbaikan Gedung Pemerintah Bandung</v>
      </c>
      <c r="E489" s="14">
        <v>45284</v>
      </c>
      <c r="F489" s="14">
        <v>45536</v>
      </c>
      <c r="G489" s="10">
        <v>8473123375</v>
      </c>
      <c r="H489" s="8" t="str">
        <f>IF(Table2[[#This Row],[Kontraktor]]="", "Tidak Diketahui",Table2[[#This Row],[Kontraktor]])</f>
        <v>PT. Lailasari Hariyah (Persero) Tbk</v>
      </c>
      <c r="I489" s="11"/>
    </row>
    <row r="490" spans="1:9" ht="14.25" customHeight="1" x14ac:dyDescent="0.35">
      <c r="A490" s="8" t="s">
        <v>541</v>
      </c>
      <c r="B490" s="8" t="str">
        <f>IF(Table2[[#This Row],[Jenis_Proyek]]="", "Tidak Diketahui", Table2[[#This Row],[Jenis_Proyek]])</f>
        <v>Jalan Raya</v>
      </c>
      <c r="C490" s="8" t="str">
        <f>IF(Table2[[#This Row],[Lokasi]]="", "Tidak Diketahui", Table2[[#This Row],[Lokasi]])</f>
        <v>Surabaya</v>
      </c>
      <c r="D490" s="8" t="str">
        <f>IF(Table2[[#This Row],[Nama_Proyek]]="", "Tidak Diketahui", Table2[[#This Row],[Nama_Proyek]])</f>
        <v>Perbaikan Jalan Raya Surabaya</v>
      </c>
      <c r="E490" s="14">
        <v>45285</v>
      </c>
      <c r="F490" s="14">
        <v>45318</v>
      </c>
      <c r="G490" s="10">
        <v>407605972</v>
      </c>
      <c r="H490" s="8" t="str">
        <f>IF(Table2[[#This Row],[Kontraktor]]="", "Tidak Diketahui",Table2[[#This Row],[Kontraktor]])</f>
        <v>Tidak Diketahui</v>
      </c>
      <c r="I490" s="11"/>
    </row>
    <row r="491" spans="1:9" ht="14.25" customHeight="1" x14ac:dyDescent="0.35">
      <c r="A491" s="8" t="s">
        <v>542</v>
      </c>
      <c r="B491" s="8" t="str">
        <f>IF(Table2[[#This Row],[Jenis_Proyek]]="", "Tidak Diketahui", Table2[[#This Row],[Jenis_Proyek]])</f>
        <v>Flyover</v>
      </c>
      <c r="C491" s="8" t="str">
        <f>IF(Table2[[#This Row],[Lokasi]]="", "Tidak Diketahui", Table2[[#This Row],[Lokasi]])</f>
        <v>Makassar</v>
      </c>
      <c r="D491" s="8" t="str">
        <f>IF(Table2[[#This Row],[Nama_Proyek]]="", "Tidak Diketahui", Table2[[#This Row],[Nama_Proyek]])</f>
        <v>Perbaikan Flyover Makassar</v>
      </c>
      <c r="E491" s="14">
        <v>45285</v>
      </c>
      <c r="F491" s="14">
        <v>45567</v>
      </c>
      <c r="G491" s="10">
        <v>3697961455</v>
      </c>
      <c r="H491" s="8" t="str">
        <f>IF(Table2[[#This Row],[Kontraktor]]="", "Tidak Diketahui",Table2[[#This Row],[Kontraktor]])</f>
        <v>PT D</v>
      </c>
      <c r="I491" s="11"/>
    </row>
    <row r="492" spans="1:9" ht="14.25" customHeight="1" x14ac:dyDescent="0.35">
      <c r="A492" s="8" t="s">
        <v>543</v>
      </c>
      <c r="B492" s="8" t="str">
        <f>IF(Table2[[#This Row],[Jenis_Proyek]]="", "Tidak Diketahui", Table2[[#This Row],[Jenis_Proyek]])</f>
        <v>Gedung</v>
      </c>
      <c r="C492" s="8" t="str">
        <f>IF(Table2[[#This Row],[Lokasi]]="", "Tidak Diketahui", Table2[[#This Row],[Lokasi]])</f>
        <v>Medan</v>
      </c>
      <c r="D492" s="8" t="str">
        <f>IF(Table2[[#This Row],[Nama_Proyek]]="", "Tidak Diketahui", Table2[[#This Row],[Nama_Proyek]])</f>
        <v>Perbaikan Gedung Pemerintah Medan</v>
      </c>
      <c r="E492" s="14">
        <v>45286</v>
      </c>
      <c r="F492" s="14">
        <v>45368</v>
      </c>
      <c r="G492" s="10">
        <v>9185210892</v>
      </c>
      <c r="H492" s="8" t="str">
        <f>IF(Table2[[#This Row],[Kontraktor]]="", "Tidak Diketahui",Table2[[#This Row],[Kontraktor]])</f>
        <v>PT. Yuniar Hakim Tbk</v>
      </c>
      <c r="I492" s="11"/>
    </row>
    <row r="493" spans="1:9" ht="14.25" customHeight="1" x14ac:dyDescent="0.35">
      <c r="A493" s="8" t="s">
        <v>544</v>
      </c>
      <c r="B493" s="8" t="str">
        <f>IF(Table2[[#This Row],[Jenis_Proyek]]="", "Tidak Diketahui", Table2[[#This Row],[Jenis_Proyek]])</f>
        <v>Drainase</v>
      </c>
      <c r="C493" s="8" t="str">
        <f>IF(Table2[[#This Row],[Lokasi]]="", "Tidak Diketahui", Table2[[#This Row],[Lokasi]])</f>
        <v>Tomohon</v>
      </c>
      <c r="D493" s="8" t="str">
        <f>IF(Table2[[#This Row],[Nama_Proyek]]="", "Tidak Diketahui", Table2[[#This Row],[Nama_Proyek]])</f>
        <v>Perbaikan Drainase Tomohon</v>
      </c>
      <c r="E493" s="14">
        <v>45286</v>
      </c>
      <c r="F493" s="14">
        <v>45570</v>
      </c>
      <c r="G493" s="10">
        <v>577434070</v>
      </c>
      <c r="H493" s="8" t="str">
        <f>IF(Table2[[#This Row],[Kontraktor]]="", "Tidak Diketahui",Table2[[#This Row],[Kontraktor]])</f>
        <v>PT D</v>
      </c>
      <c r="I493" s="11"/>
    </row>
    <row r="494" spans="1:9" ht="14.25" customHeight="1" x14ac:dyDescent="0.35">
      <c r="A494" s="8" t="s">
        <v>545</v>
      </c>
      <c r="B494" s="8" t="str">
        <f>IF(Table2[[#This Row],[Jenis_Proyek]]="", "Tidak Diketahui", Table2[[#This Row],[Jenis_Proyek]])</f>
        <v>Gedung</v>
      </c>
      <c r="C494" s="8" t="str">
        <f>IF(Table2[[#This Row],[Lokasi]]="", "Tidak Diketahui", Table2[[#This Row],[Lokasi]])</f>
        <v>Bau-Bau</v>
      </c>
      <c r="D494" s="8" t="str">
        <f>IF(Table2[[#This Row],[Nama_Proyek]]="", "Tidak Diketahui", Table2[[#This Row],[Nama_Proyek]])</f>
        <v>Perbaikan Gedung Pemerintah Bau-Bau</v>
      </c>
      <c r="E494" s="14">
        <v>45286</v>
      </c>
      <c r="F494" s="16">
        <v>45410</v>
      </c>
      <c r="G494" s="10">
        <v>9221677626</v>
      </c>
      <c r="H494" s="8" t="str">
        <f>IF(Table2[[#This Row],[Kontraktor]]="", "Tidak Diketahui",Table2[[#This Row],[Kontraktor]])</f>
        <v>PT. Yuniar Hakim Tbk</v>
      </c>
      <c r="I494" s="11"/>
    </row>
    <row r="495" spans="1:9" ht="14.25" customHeight="1" x14ac:dyDescent="0.35">
      <c r="A495" s="8" t="s">
        <v>546</v>
      </c>
      <c r="B495" s="8" t="str">
        <f>IF(Table2[[#This Row],[Jenis_Proyek]]="", "Tidak Diketahui", Table2[[#This Row],[Jenis_Proyek]])</f>
        <v>Flyover</v>
      </c>
      <c r="C495" s="8" t="str">
        <f>IF(Table2[[#This Row],[Lokasi]]="", "Tidak Diketahui", Table2[[#This Row],[Lokasi]])</f>
        <v>Bau-Bau</v>
      </c>
      <c r="D495" s="8" t="str">
        <f>IF(Table2[[#This Row],[Nama_Proyek]]="", "Tidak Diketahui", Table2[[#This Row],[Nama_Proyek]])</f>
        <v>Pembuatan Flyover Bau-Bau</v>
      </c>
      <c r="E495" s="14">
        <v>45287</v>
      </c>
      <c r="F495" s="14">
        <v>45624</v>
      </c>
      <c r="G495" s="10">
        <v>4616485762</v>
      </c>
      <c r="H495" s="8" t="str">
        <f>IF(Table2[[#This Row],[Kontraktor]]="", "Tidak Diketahui",Table2[[#This Row],[Kontraktor]])</f>
        <v>CV Sihombing</v>
      </c>
      <c r="I495" s="11"/>
    </row>
    <row r="496" spans="1:9" ht="14.25" customHeight="1" x14ac:dyDescent="0.35">
      <c r="A496" s="8" t="s">
        <v>547</v>
      </c>
      <c r="B496" s="8" t="str">
        <f>IF(Table2[[#This Row],[Jenis_Proyek]]="", "Tidak Diketahui", Table2[[#This Row],[Jenis_Proyek]])</f>
        <v>Gedung</v>
      </c>
      <c r="C496" s="8" t="str">
        <f>IF(Table2[[#This Row],[Lokasi]]="", "Tidak Diketahui", Table2[[#This Row],[Lokasi]])</f>
        <v>Depok</v>
      </c>
      <c r="D496" s="8" t="str">
        <f>IF(Table2[[#This Row],[Nama_Proyek]]="", "Tidak Diketahui", Table2[[#This Row],[Nama_Proyek]])</f>
        <v>Perbaikan Gedung Pemerintah Depok</v>
      </c>
      <c r="E496" s="14">
        <v>45287</v>
      </c>
      <c r="F496" s="14">
        <v>45343</v>
      </c>
      <c r="G496" s="10">
        <v>4101514487</v>
      </c>
      <c r="H496" s="8" t="str">
        <f>IF(Table2[[#This Row],[Kontraktor]]="", "Tidak Diketahui",Table2[[#This Row],[Kontraktor]])</f>
        <v>Tidak Diketahui</v>
      </c>
      <c r="I496" s="11"/>
    </row>
    <row r="497" spans="1:9" ht="14.25" customHeight="1" x14ac:dyDescent="0.35">
      <c r="A497" s="8" t="s">
        <v>548</v>
      </c>
      <c r="B497" s="8" t="str">
        <f>IF(Table2[[#This Row],[Jenis_Proyek]]="", "Tidak Diketahui", Table2[[#This Row],[Jenis_Proyek]])</f>
        <v>Drainase</v>
      </c>
      <c r="C497" s="8" t="str">
        <f>IF(Table2[[#This Row],[Lokasi]]="", "Tidak Diketahui", Table2[[#This Row],[Lokasi]])</f>
        <v>Jakarta</v>
      </c>
      <c r="D497" s="8" t="str">
        <f>IF(Table2[[#This Row],[Nama_Proyek]]="", "Tidak Diketahui", Table2[[#This Row],[Nama_Proyek]])</f>
        <v>Perbaikan Drainase Jakarta</v>
      </c>
      <c r="E497" s="14">
        <v>45289</v>
      </c>
      <c r="F497" s="14">
        <v>45611</v>
      </c>
      <c r="G497" s="10">
        <v>419613481</v>
      </c>
      <c r="H497" s="8" t="str">
        <f>IF(Table2[[#This Row],[Kontraktor]]="", "Tidak Diketahui",Table2[[#This Row],[Kontraktor]])</f>
        <v>PT D</v>
      </c>
      <c r="I497" s="11"/>
    </row>
    <row r="498" spans="1:9" ht="14.25" customHeight="1" x14ac:dyDescent="0.35">
      <c r="A498" s="8" t="s">
        <v>549</v>
      </c>
      <c r="B498" s="8" t="str">
        <f>IF(Table2[[#This Row],[Jenis_Proyek]]="", "Tidak Diketahui", Table2[[#This Row],[Jenis_Proyek]])</f>
        <v>Drainase</v>
      </c>
      <c r="C498" s="8" t="str">
        <f>IF(Table2[[#This Row],[Lokasi]]="", "Tidak Diketahui", Table2[[#This Row],[Lokasi]])</f>
        <v>Bandung</v>
      </c>
      <c r="D498" s="8" t="str">
        <f>IF(Table2[[#This Row],[Nama_Proyek]]="", "Tidak Diketahui", Table2[[#This Row],[Nama_Proyek]])</f>
        <v>Perbaikan Drainase Bandung</v>
      </c>
      <c r="E498" s="14">
        <v>45289</v>
      </c>
      <c r="F498" s="14">
        <v>45346</v>
      </c>
      <c r="G498" s="10">
        <v>271658499</v>
      </c>
      <c r="H498" s="8" t="str">
        <f>IF(Table2[[#This Row],[Kontraktor]]="", "Tidak Diketahui",Table2[[#This Row],[Kontraktor]])</f>
        <v>PT A</v>
      </c>
      <c r="I498" s="11"/>
    </row>
    <row r="499" spans="1:9" ht="14.25" customHeight="1" x14ac:dyDescent="0.35">
      <c r="A499" s="8" t="s">
        <v>550</v>
      </c>
      <c r="B499" s="8" t="str">
        <f>IF(Table2[[#This Row],[Jenis_Proyek]]="", "Tidak Diketahui", Table2[[#This Row],[Jenis_Proyek]])</f>
        <v>Flyover</v>
      </c>
      <c r="C499" s="8" t="str">
        <f>IF(Table2[[#This Row],[Lokasi]]="", "Tidak Diketahui", Table2[[#This Row],[Lokasi]])</f>
        <v>Makassar</v>
      </c>
      <c r="D499" s="8" t="str">
        <f>IF(Table2[[#This Row],[Nama_Proyek]]="", "Tidak Diketahui", Table2[[#This Row],[Nama_Proyek]])</f>
        <v>Pembuatan Flyover Makassar</v>
      </c>
      <c r="E499" s="14">
        <v>45290</v>
      </c>
      <c r="F499" s="14">
        <v>45461</v>
      </c>
      <c r="G499" s="10">
        <v>3282339654</v>
      </c>
      <c r="H499" s="8" t="str">
        <f>IF(Table2[[#This Row],[Kontraktor]]="", "Tidak Diketahui",Table2[[#This Row],[Kontraktor]])</f>
        <v>PT B</v>
      </c>
      <c r="I499" s="11"/>
    </row>
    <row r="500" spans="1:9" ht="14.25" customHeight="1" x14ac:dyDescent="0.35">
      <c r="A500" s="8" t="s">
        <v>551</v>
      </c>
      <c r="B500" s="8" t="str">
        <f>IF(Table2[[#This Row],[Jenis_Proyek]]="", "Tidak Diketahui", Table2[[#This Row],[Jenis_Proyek]])</f>
        <v>Gedung</v>
      </c>
      <c r="C500" s="8" t="str">
        <f>IF(Table2[[#This Row],[Lokasi]]="", "Tidak Diketahui", Table2[[#This Row],[Lokasi]])</f>
        <v>Surabaya</v>
      </c>
      <c r="D500" s="8" t="str">
        <f>IF(Table2[[#This Row],[Nama_Proyek]]="", "Tidak Diketahui", Table2[[#This Row],[Nama_Proyek]])</f>
        <v>Perbaikan Gedung Pemerintah Surabaya</v>
      </c>
      <c r="E500" s="14">
        <v>45291</v>
      </c>
      <c r="F500" s="14">
        <v>45563</v>
      </c>
      <c r="G500" s="10">
        <v>2974669932</v>
      </c>
      <c r="H500" s="8" t="str">
        <f>IF(Table2[[#This Row],[Kontraktor]]="", "Tidak Diketahui",Table2[[#This Row],[Kontraktor]])</f>
        <v>PT B</v>
      </c>
      <c r="I500" s="11"/>
    </row>
    <row r="501" spans="1:9" ht="14.25" customHeight="1" x14ac:dyDescent="0.35">
      <c r="A501" s="8"/>
      <c r="B501" s="8"/>
      <c r="C501" s="8"/>
      <c r="D501" s="8"/>
      <c r="E501" s="9"/>
      <c r="F501" s="9"/>
      <c r="G501" s="10"/>
      <c r="H501" s="8"/>
    </row>
    <row r="502" spans="1:9" ht="14.25" customHeight="1" x14ac:dyDescent="0.35"/>
    <row r="503" spans="1:9" ht="14.25" customHeight="1" x14ac:dyDescent="0.35"/>
    <row r="504" spans="1:9" ht="14.25" customHeight="1" x14ac:dyDescent="0.35"/>
    <row r="505" spans="1:9" ht="14.25" customHeight="1" x14ac:dyDescent="0.35"/>
    <row r="506" spans="1:9" ht="14.25" customHeight="1" x14ac:dyDescent="0.35"/>
    <row r="507" spans="1:9" ht="14.25" customHeight="1" x14ac:dyDescent="0.35"/>
    <row r="508" spans="1:9" ht="14.25" customHeight="1" x14ac:dyDescent="0.35"/>
    <row r="509" spans="1:9" ht="14.25" customHeight="1" x14ac:dyDescent="0.35"/>
    <row r="510" spans="1:9" ht="14.25" customHeight="1" x14ac:dyDescent="0.35"/>
    <row r="511" spans="1:9" ht="14.25" customHeight="1" x14ac:dyDescent="0.35"/>
    <row r="512" spans="1:9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conditionalFormatting sqref="A1">
    <cfRule type="duplicateValues" dxfId="7" priority="3"/>
    <cfRule type="duplicateValues" dxfId="6" priority="4"/>
  </conditionalFormatting>
  <conditionalFormatting sqref="A2">
    <cfRule type="duplicateValues" dxfId="5" priority="2"/>
  </conditionalFormatting>
  <conditionalFormatting sqref="A2:A500">
    <cfRule type="duplicateValues" dxfId="4" priority="1"/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8A55-787A-46F3-8ABA-BFFF96537E5C}">
  <dimension ref="A1:W100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3" sqref="L23"/>
    </sheetView>
  </sheetViews>
  <sheetFormatPr defaultColWidth="14.453125" defaultRowHeight="15" customHeight="1" x14ac:dyDescent="0.35"/>
  <cols>
    <col min="1" max="1" width="13.453125" customWidth="1"/>
    <col min="2" max="2" width="15.26953125" customWidth="1"/>
    <col min="3" max="3" width="11.36328125" customWidth="1"/>
    <col min="4" max="4" width="35.54296875" customWidth="1"/>
    <col min="5" max="5" width="16.54296875" customWidth="1"/>
    <col min="6" max="6" width="17.54296875" customWidth="1"/>
    <col min="7" max="7" width="16.54296875" customWidth="1"/>
    <col min="8" max="8" width="30.08984375" customWidth="1"/>
    <col min="9" max="9" width="17.08984375" customWidth="1"/>
    <col min="10" max="10" width="19.54296875" customWidth="1"/>
    <col min="11" max="11" width="13.7265625" customWidth="1"/>
    <col min="12" max="12" width="20.81640625" customWidth="1"/>
    <col min="13" max="13" width="21.81640625" customWidth="1"/>
    <col min="14" max="14" width="16.54296875" customWidth="1"/>
    <col min="15" max="15" width="17.7265625" customWidth="1"/>
    <col min="16" max="16" width="20.54296875" customWidth="1"/>
    <col min="17" max="17" width="18.08984375" customWidth="1"/>
    <col min="18" max="18" width="17.453125" customWidth="1"/>
    <col min="19" max="21" width="20.7265625" customWidth="1"/>
    <col min="22" max="22" width="21.7265625" customWidth="1"/>
    <col min="23" max="23" width="16.453125" customWidth="1"/>
  </cols>
  <sheetData>
    <row r="1" spans="1:2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5" t="s">
        <v>7</v>
      </c>
      <c r="J1" s="15" t="s">
        <v>670</v>
      </c>
      <c r="K1" s="15" t="s">
        <v>654</v>
      </c>
      <c r="L1" s="1"/>
      <c r="M1" s="1"/>
      <c r="N1" s="1"/>
      <c r="O1" s="1"/>
      <c r="P1" s="1"/>
      <c r="Q1" s="4"/>
      <c r="R1" s="4"/>
      <c r="S1" s="4"/>
      <c r="T1" s="4"/>
      <c r="U1" s="4"/>
      <c r="V1" s="4"/>
      <c r="W1" s="4"/>
    </row>
    <row r="2" spans="1:23" ht="14.25" customHeight="1" x14ac:dyDescent="0.35">
      <c r="A2" s="8" t="s">
        <v>11</v>
      </c>
      <c r="B2" s="8" t="str">
        <f>IF(Table2[[#This Row],[Jenis_Proyek]]="", "Tidak Diketahui", Table2[[#This Row],[Jenis_Proyek]])</f>
        <v>Drainase</v>
      </c>
      <c r="C2" s="8" t="str">
        <f>IF(Table2[[#This Row],[Lokasi]]="", "Tidak Diketahui", Table2[[#This Row],[Lokasi]])</f>
        <v>Bandung</v>
      </c>
      <c r="D2" s="8" t="str">
        <f>IF(Table2[[#This Row],[Nama_Proyek]]="", "Tidak Diketahui", Table2[[#This Row],[Nama_Proyek]])</f>
        <v>Perbaikan Drainase Bandung</v>
      </c>
      <c r="E2" s="14">
        <v>44927</v>
      </c>
      <c r="F2" s="14">
        <v>44994</v>
      </c>
      <c r="G2" s="10">
        <v>649208256</v>
      </c>
      <c r="H2" s="8" t="str">
        <f>IF(Table2[[#This Row],[Kontraktor]]="", "Tidak Diketahui",Table2[[#This Row],[Kontraktor]])</f>
        <v>PT. Lailasari Hariyah (Persero) Tbk</v>
      </c>
      <c r="I2" s="11">
        <f>Table245[[#This Row],[Tanggal_Selesai]]-Table245[[#This Row],[Tanggal_Mulai]]</f>
        <v>67</v>
      </c>
      <c r="J2" s="17">
        <f>Table245[[#This Row],[Anggaran]]/Table245[[#This Row],[Durasi_Proyek]]</f>
        <v>9689675.4626865666</v>
      </c>
      <c r="K2" s="11">
        <f>YEAR(Table245[[#This Row],[Tanggal_Mulai]])</f>
        <v>2023</v>
      </c>
    </row>
    <row r="3" spans="1:23" ht="14.25" customHeight="1" x14ac:dyDescent="0.35">
      <c r="A3" s="8" t="s">
        <v>574</v>
      </c>
      <c r="B3" s="8" t="str">
        <f>IF(Table2[[#This Row],[Jenis_Proyek]]="", "Tidak Diketahui", Table2[[#This Row],[Jenis_Proyek]])</f>
        <v>Drainase</v>
      </c>
      <c r="C3" s="8" t="str">
        <f>IF(Table2[[#This Row],[Lokasi]]="", "Tidak Diketahui", Table2[[#This Row],[Lokasi]])</f>
        <v>Surabaya</v>
      </c>
      <c r="D3" s="8" t="str">
        <f>IF(Table2[[#This Row],[Nama_Proyek]]="", "Tidak Diketahui", Table2[[#This Row],[Nama_Proyek]])</f>
        <v>Perbaikan Drainase Surabaya</v>
      </c>
      <c r="E3" s="14">
        <v>45319</v>
      </c>
      <c r="F3" s="14">
        <v>45323</v>
      </c>
      <c r="G3" s="10">
        <v>326999652</v>
      </c>
      <c r="H3" s="8" t="str">
        <f>IF(Table2[[#This Row],[Kontraktor]]="", "Tidak Diketahui",Table2[[#This Row],[Kontraktor]])</f>
        <v>CV Sihombing</v>
      </c>
      <c r="I3" s="11">
        <f>Table245[[#This Row],[Tanggal_Selesai]]-Table245[[#This Row],[Tanggal_Mulai]]</f>
        <v>4</v>
      </c>
      <c r="J3" s="17">
        <f>Table245[[#This Row],[Anggaran]]/Table245[[#This Row],[Durasi_Proyek]]</f>
        <v>81749913</v>
      </c>
      <c r="K3" s="11">
        <f>YEAR(Table245[[#This Row],[Tanggal_Mulai]])</f>
        <v>2024</v>
      </c>
    </row>
    <row r="4" spans="1:23" ht="14.25" customHeight="1" x14ac:dyDescent="0.35">
      <c r="A4" s="8" t="s">
        <v>17</v>
      </c>
      <c r="B4" s="8" t="str">
        <f>IF(Table2[[#This Row],[Jenis_Proyek]]="", "Tidak Diketahui", Table2[[#This Row],[Jenis_Proyek]])</f>
        <v>Flyover</v>
      </c>
      <c r="C4" s="8" t="str">
        <f>IF(Table2[[#This Row],[Lokasi]]="", "Tidak Diketahui", Table2[[#This Row],[Lokasi]])</f>
        <v>Depok</v>
      </c>
      <c r="D4" s="8" t="str">
        <f>IF(Table2[[#This Row],[Nama_Proyek]]="", "Tidak Diketahui", Table2[[#This Row],[Nama_Proyek]])</f>
        <v>Pembuatan Flyover Depok</v>
      </c>
      <c r="E4" s="14">
        <v>44927</v>
      </c>
      <c r="F4" s="14">
        <v>45062</v>
      </c>
      <c r="G4" s="10">
        <v>3474309188</v>
      </c>
      <c r="H4" s="8" t="str">
        <f>IF(Table2[[#This Row],[Kontraktor]]="", "Tidak Diketahui",Table2[[#This Row],[Kontraktor]])</f>
        <v>CV Sihombing</v>
      </c>
      <c r="I4" s="11">
        <f>Table245[[#This Row],[Tanggal_Selesai]]-Table245[[#This Row],[Tanggal_Mulai]]</f>
        <v>135</v>
      </c>
      <c r="J4" s="17">
        <f>Table245[[#This Row],[Anggaran]]/Table245[[#This Row],[Durasi_Proyek]]</f>
        <v>25735623.614814814</v>
      </c>
      <c r="K4" s="11">
        <f>YEAR(Table245[[#This Row],[Tanggal_Mulai]])</f>
        <v>2023</v>
      </c>
    </row>
    <row r="5" spans="1:23" ht="14.25" customHeight="1" x14ac:dyDescent="0.35">
      <c r="A5" s="8" t="s">
        <v>576</v>
      </c>
      <c r="B5" s="8" t="str">
        <f>IF(Table2[[#This Row],[Jenis_Proyek]]="", "Tidak Diketahui", Table2[[#This Row],[Jenis_Proyek]])</f>
        <v>Gedung</v>
      </c>
      <c r="C5" s="8" t="str">
        <f>IF(Table2[[#This Row],[Lokasi]]="", "Tidak Diketahui", Table2[[#This Row],[Lokasi]])</f>
        <v>Jakarta</v>
      </c>
      <c r="D5" s="8" t="str">
        <f>IF(Table2[[#This Row],[Nama_Proyek]]="", "Tidak Diketahui", Table2[[#This Row],[Nama_Proyek]])</f>
        <v>Perbaikan Gedung Pemerintah Jakarta</v>
      </c>
      <c r="E5" s="14">
        <v>45320</v>
      </c>
      <c r="F5" s="14">
        <v>45336</v>
      </c>
      <c r="G5" s="10">
        <v>8587951510</v>
      </c>
      <c r="H5" s="8" t="str">
        <f>IF(Table2[[#This Row],[Kontraktor]]="", "Tidak Diketahui",Table2[[#This Row],[Kontraktor]])</f>
        <v>CV Sihombing</v>
      </c>
      <c r="I5" s="11">
        <f>Table245[[#This Row],[Tanggal_Selesai]]-Table245[[#This Row],[Tanggal_Mulai]]</f>
        <v>16</v>
      </c>
      <c r="J5" s="17">
        <f>Table245[[#This Row],[Anggaran]]/Table245[[#This Row],[Durasi_Proyek]]</f>
        <v>536746969.375</v>
      </c>
      <c r="K5" s="11">
        <f>YEAR(Table245[[#This Row],[Tanggal_Mulai]])</f>
        <v>2024</v>
      </c>
    </row>
    <row r="6" spans="1:23" ht="14.25" customHeight="1" x14ac:dyDescent="0.35">
      <c r="A6" s="8" t="s">
        <v>23</v>
      </c>
      <c r="B6" s="8" t="str">
        <f>IF(Table2[[#This Row],[Jenis_Proyek]]="", "Tidak Diketahui", Table2[[#This Row],[Jenis_Proyek]])</f>
        <v>Jalan Raya</v>
      </c>
      <c r="C6" s="8" t="str">
        <f>IF(Table2[[#This Row],[Lokasi]]="", "Tidak Diketahui", Table2[[#This Row],[Lokasi]])</f>
        <v>Bandung</v>
      </c>
      <c r="D6" s="8" t="str">
        <f>IF(Table2[[#This Row],[Nama_Proyek]]="", "Tidak Diketahui", Table2[[#This Row],[Nama_Proyek]])</f>
        <v>Perbaikan Jalan Raya Bandung</v>
      </c>
      <c r="E6" s="14">
        <v>44928</v>
      </c>
      <c r="F6" s="14">
        <v>45239</v>
      </c>
      <c r="G6" s="10">
        <v>191505827</v>
      </c>
      <c r="H6" s="8" t="str">
        <f>IF(Table2[[#This Row],[Kontraktor]]="", "Tidak Diketahui",Table2[[#This Row],[Kontraktor]])</f>
        <v>Tidak Diketahui</v>
      </c>
      <c r="I6" s="11">
        <f>Table245[[#This Row],[Tanggal_Selesai]]-Table245[[#This Row],[Tanggal_Mulai]]</f>
        <v>311</v>
      </c>
      <c r="J6" s="17">
        <f>Table245[[#This Row],[Anggaran]]/Table245[[#This Row],[Durasi_Proyek]]</f>
        <v>615774.36334405141</v>
      </c>
      <c r="K6" s="11">
        <f>YEAR(Table245[[#This Row],[Tanggal_Mulai]])</f>
        <v>2023</v>
      </c>
    </row>
    <row r="7" spans="1:23" ht="14.25" customHeight="1" x14ac:dyDescent="0.35">
      <c r="A7" s="8" t="s">
        <v>579</v>
      </c>
      <c r="B7" s="8" t="str">
        <f>IF(Table2[[#This Row],[Jenis_Proyek]]="", "Tidak Diketahui", Table2[[#This Row],[Jenis_Proyek]])</f>
        <v>Gedung</v>
      </c>
      <c r="C7" s="8" t="str">
        <f>IF(Table2[[#This Row],[Lokasi]]="", "Tidak Diketahui", Table2[[#This Row],[Lokasi]])</f>
        <v>Tomohon</v>
      </c>
      <c r="D7" s="8" t="str">
        <f>IF(Table2[[#This Row],[Nama_Proyek]]="", "Tidak Diketahui", Table2[[#This Row],[Nama_Proyek]])</f>
        <v>Perbaikan Gedung Pemerintah Tomohon</v>
      </c>
      <c r="E7" s="14">
        <v>45323</v>
      </c>
      <c r="F7" s="14">
        <v>45343</v>
      </c>
      <c r="G7" s="10">
        <v>8016851785</v>
      </c>
      <c r="H7" s="8" t="str">
        <f>IF(Table2[[#This Row],[Kontraktor]]="", "Tidak Diketahui",Table2[[#This Row],[Kontraktor]])</f>
        <v>PT. Yuniar Hakim Tbk</v>
      </c>
      <c r="I7" s="11">
        <f>Table245[[#This Row],[Tanggal_Selesai]]-Table245[[#This Row],[Tanggal_Mulai]]</f>
        <v>20</v>
      </c>
      <c r="J7" s="17">
        <f>Table245[[#This Row],[Anggaran]]/Table245[[#This Row],[Durasi_Proyek]]</f>
        <v>400842589.25</v>
      </c>
      <c r="K7" s="11">
        <f>YEAR(Table245[[#This Row],[Tanggal_Mulai]])</f>
        <v>2024</v>
      </c>
    </row>
    <row r="8" spans="1:23" ht="14.25" customHeight="1" x14ac:dyDescent="0.35">
      <c r="A8" s="8" t="s">
        <v>27</v>
      </c>
      <c r="B8" s="8" t="str">
        <f>IF(Table2[[#This Row],[Jenis_Proyek]]="", "Tidak Diketahui", Table2[[#This Row],[Jenis_Proyek]])</f>
        <v>Flyover</v>
      </c>
      <c r="C8" s="8" t="str">
        <f>IF(Table2[[#This Row],[Lokasi]]="", "Tidak Diketahui", Table2[[#This Row],[Lokasi]])</f>
        <v>Tomohon</v>
      </c>
      <c r="D8" s="8" t="str">
        <f>IF(Table2[[#This Row],[Nama_Proyek]]="", "Tidak Diketahui", Table2[[#This Row],[Nama_Proyek]])</f>
        <v>Pembuatan Flyover Tomohon</v>
      </c>
      <c r="E8" s="14">
        <v>44928</v>
      </c>
      <c r="F8" s="14">
        <v>45006</v>
      </c>
      <c r="G8" s="10">
        <v>3979021821</v>
      </c>
      <c r="H8" s="8" t="str">
        <f>IF(Table2[[#This Row],[Kontraktor]]="", "Tidak Diketahui",Table2[[#This Row],[Kontraktor]])</f>
        <v>PT D</v>
      </c>
      <c r="I8" s="11">
        <f>Table245[[#This Row],[Tanggal_Selesai]]-Table245[[#This Row],[Tanggal_Mulai]]</f>
        <v>78</v>
      </c>
      <c r="J8" s="17">
        <f>Table245[[#This Row],[Anggaran]]/Table245[[#This Row],[Durasi_Proyek]]</f>
        <v>51013100.269230768</v>
      </c>
      <c r="K8" s="11">
        <f>YEAR(Table245[[#This Row],[Tanggal_Mulai]])</f>
        <v>2023</v>
      </c>
    </row>
    <row r="9" spans="1:23" ht="14.25" customHeight="1" x14ac:dyDescent="0.35">
      <c r="A9" s="8" t="s">
        <v>583</v>
      </c>
      <c r="B9" s="8" t="str">
        <f>IF(Table2[[#This Row],[Jenis_Proyek]]="", "Tidak Diketahui", Table2[[#This Row],[Jenis_Proyek]])</f>
        <v>Gedung</v>
      </c>
      <c r="C9" s="8" t="str">
        <f>IF(Table2[[#This Row],[Lokasi]]="", "Tidak Diketahui", Table2[[#This Row],[Lokasi]])</f>
        <v>Jakarta</v>
      </c>
      <c r="D9" s="8" t="str">
        <f>IF(Table2[[#This Row],[Nama_Proyek]]="", "Tidak Diketahui", Table2[[#This Row],[Nama_Proyek]])</f>
        <v>Perbaikan Gedung Pemerintah Jakarta</v>
      </c>
      <c r="E9" s="14">
        <v>45325</v>
      </c>
      <c r="F9" s="14">
        <v>45342</v>
      </c>
      <c r="G9" s="10">
        <v>2153093275</v>
      </c>
      <c r="H9" s="8" t="str">
        <f>IF(Table2[[#This Row],[Kontraktor]]="", "Tidak Diketahui",Table2[[#This Row],[Kontraktor]])</f>
        <v>PT. Yuniar Hakim Tbk</v>
      </c>
      <c r="I9" s="11">
        <f>Table245[[#This Row],[Tanggal_Selesai]]-Table245[[#This Row],[Tanggal_Mulai]]</f>
        <v>17</v>
      </c>
      <c r="J9" s="17">
        <f>Table245[[#This Row],[Anggaran]]/Table245[[#This Row],[Durasi_Proyek]]</f>
        <v>126652545.58823529</v>
      </c>
      <c r="K9" s="11">
        <f>YEAR(Table245[[#This Row],[Tanggal_Mulai]])</f>
        <v>2024</v>
      </c>
    </row>
    <row r="10" spans="1:23" ht="14.25" customHeight="1" x14ac:dyDescent="0.35">
      <c r="A10" s="8" t="s">
        <v>29</v>
      </c>
      <c r="B10" s="8" t="str">
        <f>IF(Table2[[#This Row],[Jenis_Proyek]]="", "Tidak Diketahui", Table2[[#This Row],[Jenis_Proyek]])</f>
        <v>Drainase</v>
      </c>
      <c r="C10" s="8" t="str">
        <f>IF(Table2[[#This Row],[Lokasi]]="", "Tidak Diketahui", Table2[[#This Row],[Lokasi]])</f>
        <v>Jakarta</v>
      </c>
      <c r="D10" s="8" t="str">
        <f>IF(Table2[[#This Row],[Nama_Proyek]]="", "Tidak Diketahui", Table2[[#This Row],[Nama_Proyek]])</f>
        <v>Perbaikan Drainase Jakarta</v>
      </c>
      <c r="E10" s="14">
        <v>44928</v>
      </c>
      <c r="F10" s="14">
        <v>45271</v>
      </c>
      <c r="G10" s="10">
        <v>683556997</v>
      </c>
      <c r="H10" s="8" t="str">
        <f>IF(Table2[[#This Row],[Kontraktor]]="", "Tidak Diketahui",Table2[[#This Row],[Kontraktor]])</f>
        <v>PT A</v>
      </c>
      <c r="I10" s="11">
        <f>Table245[[#This Row],[Tanggal_Selesai]]-Table245[[#This Row],[Tanggal_Mulai]]</f>
        <v>343</v>
      </c>
      <c r="J10" s="17">
        <f>Table245[[#This Row],[Anggaran]]/Table245[[#This Row],[Durasi_Proyek]]</f>
        <v>1992877.5422740525</v>
      </c>
      <c r="K10" s="11">
        <f>YEAR(Table245[[#This Row],[Tanggal_Mulai]])</f>
        <v>2023</v>
      </c>
    </row>
    <row r="11" spans="1:23" ht="14.25" customHeight="1" x14ac:dyDescent="0.35">
      <c r="A11" s="8" t="s">
        <v>584</v>
      </c>
      <c r="B11" s="8" t="str">
        <f>IF(Table2[[#This Row],[Jenis_Proyek]]="", "Tidak Diketahui", Table2[[#This Row],[Jenis_Proyek]])</f>
        <v>Jembatan</v>
      </c>
      <c r="C11" s="8" t="str">
        <f>IF(Table2[[#This Row],[Lokasi]]="", "Tidak Diketahui", Table2[[#This Row],[Lokasi]])</f>
        <v>Bau-Bau</v>
      </c>
      <c r="D11" s="8" t="str">
        <f>IF(Table2[[#This Row],[Nama_Proyek]]="", "Tidak Diketahui", Table2[[#This Row],[Nama_Proyek]])</f>
        <v>Perbaikan Jembatan Bau-Bau</v>
      </c>
      <c r="E11" s="14">
        <v>45327</v>
      </c>
      <c r="F11" s="14">
        <v>45353</v>
      </c>
      <c r="G11" s="10">
        <v>4636324090</v>
      </c>
      <c r="H11" s="8" t="str">
        <f>IF(Table2[[#This Row],[Kontraktor]]="", "Tidak Diketahui",Table2[[#This Row],[Kontraktor]])</f>
        <v>PT. Lailasari Hariyah (Persero) Tbk</v>
      </c>
      <c r="I11" s="11">
        <f>Table245[[#This Row],[Tanggal_Selesai]]-Table245[[#This Row],[Tanggal_Mulai]]</f>
        <v>26</v>
      </c>
      <c r="J11" s="17">
        <f>Table245[[#This Row],[Anggaran]]/Table245[[#This Row],[Durasi_Proyek]]</f>
        <v>178320157.30769232</v>
      </c>
      <c r="K11" s="11">
        <f>YEAR(Table245[[#This Row],[Tanggal_Mulai]])</f>
        <v>2024</v>
      </c>
    </row>
    <row r="12" spans="1:23" ht="14.25" customHeight="1" x14ac:dyDescent="0.35">
      <c r="A12" s="8" t="s">
        <v>34</v>
      </c>
      <c r="B12" s="8" t="str">
        <f>IF(Table2[[#This Row],[Jenis_Proyek]]="", "Tidak Diketahui", Table2[[#This Row],[Jenis_Proyek]])</f>
        <v>Drainase</v>
      </c>
      <c r="C12" s="8" t="str">
        <f>IF(Table2[[#This Row],[Lokasi]]="", "Tidak Diketahui", Table2[[#This Row],[Lokasi]])</f>
        <v>Tomohon</v>
      </c>
      <c r="D12" s="8" t="str">
        <f>IF(Table2[[#This Row],[Nama_Proyek]]="", "Tidak Diketahui", Table2[[#This Row],[Nama_Proyek]])</f>
        <v>Perbaikan Drainase Tomohon</v>
      </c>
      <c r="E12" s="14">
        <v>44929</v>
      </c>
      <c r="F12" s="14">
        <v>45230</v>
      </c>
      <c r="G12" s="10">
        <v>663835414</v>
      </c>
      <c r="H12" s="8" t="str">
        <f>IF(Table2[[#This Row],[Kontraktor]]="", "Tidak Diketahui",Table2[[#This Row],[Kontraktor]])</f>
        <v>PT B</v>
      </c>
      <c r="I12" s="11">
        <f>Table245[[#This Row],[Tanggal_Selesai]]-Table245[[#This Row],[Tanggal_Mulai]]</f>
        <v>301</v>
      </c>
      <c r="J12" s="17">
        <f>Table245[[#This Row],[Anggaran]]/Table245[[#This Row],[Durasi_Proyek]]</f>
        <v>2205433.2691029902</v>
      </c>
      <c r="K12" s="11">
        <f>YEAR(Table245[[#This Row],[Tanggal_Mulai]])</f>
        <v>2023</v>
      </c>
    </row>
    <row r="13" spans="1:23" ht="14.25" customHeight="1" x14ac:dyDescent="0.35">
      <c r="A13" s="8" t="s">
        <v>586</v>
      </c>
      <c r="B13" s="8" t="str">
        <f>IF(Table2[[#This Row],[Jenis_Proyek]]="", "Tidak Diketahui", Table2[[#This Row],[Jenis_Proyek]])</f>
        <v>Drainase</v>
      </c>
      <c r="C13" s="8" t="str">
        <f>IF(Table2[[#This Row],[Lokasi]]="", "Tidak Diketahui", Table2[[#This Row],[Lokasi]])</f>
        <v>Bandung</v>
      </c>
      <c r="D13" s="8" t="str">
        <f>IF(Table2[[#This Row],[Nama_Proyek]]="", "Tidak Diketahui", Table2[[#This Row],[Nama_Proyek]])</f>
        <v>Perbaikan Drainase Bandung</v>
      </c>
      <c r="E13" s="14">
        <v>45329</v>
      </c>
      <c r="F13" s="14">
        <v>45360</v>
      </c>
      <c r="G13" s="10">
        <v>698540517</v>
      </c>
      <c r="H13" s="8" t="str">
        <f>IF(Table2[[#This Row],[Kontraktor]]="", "Tidak Diketahui",Table2[[#This Row],[Kontraktor]])</f>
        <v>PT A</v>
      </c>
      <c r="I13" s="11">
        <f>Table245[[#This Row],[Tanggal_Selesai]]-Table245[[#This Row],[Tanggal_Mulai]]</f>
        <v>31</v>
      </c>
      <c r="J13" s="17">
        <f>Table245[[#This Row],[Anggaran]]/Table245[[#This Row],[Durasi_Proyek]]</f>
        <v>22533565.064516131</v>
      </c>
      <c r="K13" s="11">
        <f>YEAR(Table245[[#This Row],[Tanggal_Mulai]])</f>
        <v>2024</v>
      </c>
    </row>
    <row r="14" spans="1:23" ht="14.25" customHeight="1" x14ac:dyDescent="0.35">
      <c r="A14" s="8" t="s">
        <v>38</v>
      </c>
      <c r="B14" s="8" t="str">
        <f>IF(Table2[[#This Row],[Jenis_Proyek]]="", "Tidak Diketahui", Table2[[#This Row],[Jenis_Proyek]])</f>
        <v>Flyover</v>
      </c>
      <c r="C14" s="8" t="str">
        <f>IF(Table2[[#This Row],[Lokasi]]="", "Tidak Diketahui", Table2[[#This Row],[Lokasi]])</f>
        <v>Medan</v>
      </c>
      <c r="D14" s="8" t="str">
        <f>IF(Table2[[#This Row],[Nama_Proyek]]="", "Tidak Diketahui", Table2[[#This Row],[Nama_Proyek]])</f>
        <v>Pembuatan Flyover Medan</v>
      </c>
      <c r="E14" s="14">
        <v>44929</v>
      </c>
      <c r="F14" s="14">
        <v>45261</v>
      </c>
      <c r="G14" s="10">
        <v>2423693734</v>
      </c>
      <c r="H14" s="8" t="str">
        <f>IF(Table2[[#This Row],[Kontraktor]]="", "Tidak Diketahui",Table2[[#This Row],[Kontraktor]])</f>
        <v>PT D</v>
      </c>
      <c r="I14" s="11">
        <f>Table245[[#This Row],[Tanggal_Selesai]]-Table245[[#This Row],[Tanggal_Mulai]]</f>
        <v>332</v>
      </c>
      <c r="J14" s="17">
        <f>Table245[[#This Row],[Anggaran]]/Table245[[#This Row],[Durasi_Proyek]]</f>
        <v>7300282.331325301</v>
      </c>
      <c r="K14" s="11">
        <f>YEAR(Table245[[#This Row],[Tanggal_Mulai]])</f>
        <v>2023</v>
      </c>
    </row>
    <row r="15" spans="1:23" ht="14.25" customHeight="1" x14ac:dyDescent="0.35">
      <c r="A15" s="8" t="s">
        <v>588</v>
      </c>
      <c r="B15" s="8" t="str">
        <f>IF(Table2[[#This Row],[Jenis_Proyek]]="", "Tidak Diketahui", Table2[[#This Row],[Jenis_Proyek]])</f>
        <v>Drainase</v>
      </c>
      <c r="C15" s="8" t="str">
        <f>IF(Table2[[#This Row],[Lokasi]]="", "Tidak Diketahui", Table2[[#This Row],[Lokasi]])</f>
        <v>Depok</v>
      </c>
      <c r="D15" s="8" t="str">
        <f>IF(Table2[[#This Row],[Nama_Proyek]]="", "Tidak Diketahui", Table2[[#This Row],[Nama_Proyek]])</f>
        <v>Perbaikan Drainase Depok</v>
      </c>
      <c r="E15" s="14">
        <v>45330</v>
      </c>
      <c r="F15" s="14">
        <v>45337</v>
      </c>
      <c r="G15" s="10">
        <v>313131839</v>
      </c>
      <c r="H15" s="8" t="str">
        <f>IF(Table2[[#This Row],[Kontraktor]]="", "Tidak Diketahui",Table2[[#This Row],[Kontraktor]])</f>
        <v>PT D</v>
      </c>
      <c r="I15" s="11">
        <f>Table245[[#This Row],[Tanggal_Selesai]]-Table245[[#This Row],[Tanggal_Mulai]]</f>
        <v>7</v>
      </c>
      <c r="J15" s="17">
        <f>Table245[[#This Row],[Anggaran]]/Table245[[#This Row],[Durasi_Proyek]]</f>
        <v>44733119.857142858</v>
      </c>
      <c r="K15" s="11">
        <f>YEAR(Table245[[#This Row],[Tanggal_Mulai]])</f>
        <v>2024</v>
      </c>
    </row>
    <row r="16" spans="1:23" ht="14.25" customHeight="1" x14ac:dyDescent="0.35">
      <c r="A16" s="8" t="s">
        <v>41</v>
      </c>
      <c r="B16" s="8" t="str">
        <f>IF(Table2[[#This Row],[Jenis_Proyek]]="", "Tidak Diketahui", Table2[[#This Row],[Jenis_Proyek]])</f>
        <v>Jalan Raya</v>
      </c>
      <c r="C16" s="8" t="str">
        <f>IF(Table2[[#This Row],[Lokasi]]="", "Tidak Diketahui", Table2[[#This Row],[Lokasi]])</f>
        <v>Bandung</v>
      </c>
      <c r="D16" s="8" t="str">
        <f>IF(Table2[[#This Row],[Nama_Proyek]]="", "Tidak Diketahui", Table2[[#This Row],[Nama_Proyek]])</f>
        <v>Perbaikan Jalan Raya Bandung</v>
      </c>
      <c r="E16" s="14">
        <v>44929</v>
      </c>
      <c r="F16" s="14">
        <v>45041</v>
      </c>
      <c r="G16" s="10">
        <v>281077623</v>
      </c>
      <c r="H16" s="8" t="str">
        <f>IF(Table2[[#This Row],[Kontraktor]]="", "Tidak Diketahui",Table2[[#This Row],[Kontraktor]])</f>
        <v>PT. Yuniar Hakim Tbk</v>
      </c>
      <c r="I16" s="11">
        <f>Table245[[#This Row],[Tanggal_Selesai]]-Table245[[#This Row],[Tanggal_Mulai]]</f>
        <v>112</v>
      </c>
      <c r="J16" s="17">
        <f>Table245[[#This Row],[Anggaran]]/Table245[[#This Row],[Durasi_Proyek]]</f>
        <v>2509621.6339285714</v>
      </c>
      <c r="K16" s="11">
        <f>YEAR(Table245[[#This Row],[Tanggal_Mulai]])</f>
        <v>2023</v>
      </c>
    </row>
    <row r="17" spans="1:11" ht="14.25" customHeight="1" x14ac:dyDescent="0.35">
      <c r="A17" s="8" t="s">
        <v>589</v>
      </c>
      <c r="B17" s="8" t="str">
        <f>IF(Table2[[#This Row],[Jenis_Proyek]]="", "Tidak Diketahui", Table2[[#This Row],[Jenis_Proyek]])</f>
        <v>Jembatan</v>
      </c>
      <c r="C17" s="8" t="str">
        <f>IF(Table2[[#This Row],[Lokasi]]="", "Tidak Diketahui", Table2[[#This Row],[Lokasi]])</f>
        <v>Jakarta</v>
      </c>
      <c r="D17" s="8" t="str">
        <f>IF(Table2[[#This Row],[Nama_Proyek]]="", "Tidak Diketahui", Table2[[#This Row],[Nama_Proyek]])</f>
        <v>Pembuatan Jembatan Jakarta</v>
      </c>
      <c r="E17" s="14">
        <v>45330</v>
      </c>
      <c r="F17" s="14">
        <v>45386</v>
      </c>
      <c r="G17" s="10">
        <v>921085536</v>
      </c>
      <c r="H17" s="8" t="str">
        <f>IF(Table2[[#This Row],[Kontraktor]]="", "Tidak Diketahui",Table2[[#This Row],[Kontraktor]])</f>
        <v>PT B</v>
      </c>
      <c r="I17" s="11">
        <f>Table245[[#This Row],[Tanggal_Selesai]]-Table245[[#This Row],[Tanggal_Mulai]]</f>
        <v>56</v>
      </c>
      <c r="J17" s="17">
        <f>Table245[[#This Row],[Anggaran]]/Table245[[#This Row],[Durasi_Proyek]]</f>
        <v>16447956</v>
      </c>
      <c r="K17" s="11">
        <f>YEAR(Table245[[#This Row],[Tanggal_Mulai]])</f>
        <v>2024</v>
      </c>
    </row>
    <row r="18" spans="1:11" ht="14.25" customHeight="1" x14ac:dyDescent="0.35">
      <c r="A18" s="8" t="s">
        <v>45</v>
      </c>
      <c r="B18" s="8" t="str">
        <f>IF(Table2[[#This Row],[Jenis_Proyek]]="", "Tidak Diketahui", Table2[[#This Row],[Jenis_Proyek]])</f>
        <v>Jalan Raya</v>
      </c>
      <c r="C18" s="8" t="str">
        <f>IF(Table2[[#This Row],[Lokasi]]="", "Tidak Diketahui", Table2[[#This Row],[Lokasi]])</f>
        <v>Jakarta</v>
      </c>
      <c r="D18" s="8" t="str">
        <f>IF(Table2[[#This Row],[Nama_Proyek]]="", "Tidak Diketahui", Table2[[#This Row],[Nama_Proyek]])</f>
        <v>Perbaikan Jalan Raya Jakarta</v>
      </c>
      <c r="E18" s="14">
        <v>44930</v>
      </c>
      <c r="F18" s="14">
        <v>45182</v>
      </c>
      <c r="G18" s="10">
        <v>241214887</v>
      </c>
      <c r="H18" s="8" t="str">
        <f>IF(Table2[[#This Row],[Kontraktor]]="", "Tidak Diketahui",Table2[[#This Row],[Kontraktor]])</f>
        <v>PT B</v>
      </c>
      <c r="I18" s="11">
        <f>Table245[[#This Row],[Tanggal_Selesai]]-Table245[[#This Row],[Tanggal_Mulai]]</f>
        <v>252</v>
      </c>
      <c r="J18" s="17">
        <f>Table245[[#This Row],[Anggaran]]/Table245[[#This Row],[Durasi_Proyek]]</f>
        <v>957201.93253968249</v>
      </c>
      <c r="K18" s="11">
        <f>YEAR(Table245[[#This Row],[Tanggal_Mulai]])</f>
        <v>2023</v>
      </c>
    </row>
    <row r="19" spans="1:11" ht="14.25" customHeight="1" x14ac:dyDescent="0.35">
      <c r="A19" s="8" t="s">
        <v>592</v>
      </c>
      <c r="B19" s="8" t="str">
        <f>IF(Table2[[#This Row],[Jenis_Proyek]]="", "Tidak Diketahui", Table2[[#This Row],[Jenis_Proyek]])</f>
        <v>Drainase</v>
      </c>
      <c r="C19" s="8" t="str">
        <f>IF(Table2[[#This Row],[Lokasi]]="", "Tidak Diketahui", Table2[[#This Row],[Lokasi]])</f>
        <v>Bandung</v>
      </c>
      <c r="D19" s="8" t="str">
        <f>IF(Table2[[#This Row],[Nama_Proyek]]="", "Tidak Diketahui", Table2[[#This Row],[Nama_Proyek]])</f>
        <v>Perbaikan Drainase Bandung</v>
      </c>
      <c r="E19" s="14">
        <v>45334</v>
      </c>
      <c r="F19" s="14">
        <v>45351</v>
      </c>
      <c r="G19" s="10">
        <v>425861681</v>
      </c>
      <c r="H19" s="8" t="str">
        <f>IF(Table2[[#This Row],[Kontraktor]]="", "Tidak Diketahui",Table2[[#This Row],[Kontraktor]])</f>
        <v>PT D</v>
      </c>
      <c r="I19" s="11">
        <f>Table245[[#This Row],[Tanggal_Selesai]]-Table245[[#This Row],[Tanggal_Mulai]]</f>
        <v>17</v>
      </c>
      <c r="J19" s="17">
        <f>Table245[[#This Row],[Anggaran]]/Table245[[#This Row],[Durasi_Proyek]]</f>
        <v>25050687.117647059</v>
      </c>
      <c r="K19" s="11">
        <f>YEAR(Table245[[#This Row],[Tanggal_Mulai]])</f>
        <v>2024</v>
      </c>
    </row>
    <row r="20" spans="1:11" ht="14.25" customHeight="1" x14ac:dyDescent="0.35">
      <c r="A20" s="8" t="s">
        <v>47</v>
      </c>
      <c r="B20" s="8" t="str">
        <f>IF(Table2[[#This Row],[Jenis_Proyek]]="", "Tidak Diketahui", Table2[[#This Row],[Jenis_Proyek]])</f>
        <v>Jalan Raya</v>
      </c>
      <c r="C20" s="8" t="str">
        <f>IF(Table2[[#This Row],[Lokasi]]="", "Tidak Diketahui", Table2[[#This Row],[Lokasi]])</f>
        <v>Bau-Bau</v>
      </c>
      <c r="D20" s="8" t="str">
        <f>IF(Table2[[#This Row],[Nama_Proyek]]="", "Tidak Diketahui", Table2[[#This Row],[Nama_Proyek]])</f>
        <v>Perbaikan Jalan Raya Bau-Bau</v>
      </c>
      <c r="E20" s="14">
        <v>44930</v>
      </c>
      <c r="F20" s="14">
        <v>45244</v>
      </c>
      <c r="G20" s="10">
        <v>749126801</v>
      </c>
      <c r="H20" s="8" t="str">
        <f>IF(Table2[[#This Row],[Kontraktor]]="", "Tidak Diketahui",Table2[[#This Row],[Kontraktor]])</f>
        <v>PT. Lailasari Hariyah (Persero) Tbk</v>
      </c>
      <c r="I20" s="11">
        <f>Table245[[#This Row],[Tanggal_Selesai]]-Table245[[#This Row],[Tanggal_Mulai]]</f>
        <v>314</v>
      </c>
      <c r="J20" s="17">
        <f>Table245[[#This Row],[Anggaran]]/Table245[[#This Row],[Durasi_Proyek]]</f>
        <v>2385754.1433121017</v>
      </c>
      <c r="K20" s="11">
        <f>YEAR(Table245[[#This Row],[Tanggal_Mulai]])</f>
        <v>2023</v>
      </c>
    </row>
    <row r="21" spans="1:11" ht="14.25" customHeight="1" x14ac:dyDescent="0.35">
      <c r="A21" s="8" t="s">
        <v>594</v>
      </c>
      <c r="B21" s="8" t="str">
        <f>IF(Table2[[#This Row],[Jenis_Proyek]]="", "Tidak Diketahui", Table2[[#This Row],[Jenis_Proyek]])</f>
        <v>Jembatan</v>
      </c>
      <c r="C21" s="8" t="str">
        <f>IF(Table2[[#This Row],[Lokasi]]="", "Tidak Diketahui", Table2[[#This Row],[Lokasi]])</f>
        <v>Bau-Bau</v>
      </c>
      <c r="D21" s="8" t="str">
        <f>IF(Table2[[#This Row],[Nama_Proyek]]="", "Tidak Diketahui", Table2[[#This Row],[Nama_Proyek]])</f>
        <v>Pembuatan Jembatan Bau-Bau</v>
      </c>
      <c r="E21" s="14">
        <v>45335</v>
      </c>
      <c r="F21" s="14">
        <v>45386</v>
      </c>
      <c r="G21" s="10">
        <v>6584342537</v>
      </c>
      <c r="H21" s="8" t="str">
        <f>IF(Table2[[#This Row],[Kontraktor]]="", "Tidak Diketahui",Table2[[#This Row],[Kontraktor]])</f>
        <v>PT. Yuniar Hakim Tbk</v>
      </c>
      <c r="I21" s="11">
        <f>Table245[[#This Row],[Tanggal_Selesai]]-Table245[[#This Row],[Tanggal_Mulai]]</f>
        <v>51</v>
      </c>
      <c r="J21" s="17">
        <f>Table245[[#This Row],[Anggaran]]/Table245[[#This Row],[Durasi_Proyek]]</f>
        <v>129104755.62745099</v>
      </c>
      <c r="K21" s="11">
        <f>YEAR(Table245[[#This Row],[Tanggal_Mulai]])</f>
        <v>2024</v>
      </c>
    </row>
    <row r="22" spans="1:11" ht="14.25" customHeight="1" x14ac:dyDescent="0.35">
      <c r="A22" s="8" t="s">
        <v>51</v>
      </c>
      <c r="B22" s="8" t="str">
        <f>IF(Table2[[#This Row],[Jenis_Proyek]]="", "Tidak Diketahui", Table2[[#This Row],[Jenis_Proyek]])</f>
        <v>Drainase</v>
      </c>
      <c r="C22" s="8" t="str">
        <f>IF(Table2[[#This Row],[Lokasi]]="", "Tidak Diketahui", Table2[[#This Row],[Lokasi]])</f>
        <v>Depok</v>
      </c>
      <c r="D22" s="8" t="str">
        <f>IF(Table2[[#This Row],[Nama_Proyek]]="", "Tidak Diketahui", Table2[[#This Row],[Nama_Proyek]])</f>
        <v>Perbaikan Drainase Depok</v>
      </c>
      <c r="E22" s="14">
        <v>44931</v>
      </c>
      <c r="F22" s="14">
        <v>44968</v>
      </c>
      <c r="G22" s="10">
        <v>536495065</v>
      </c>
      <c r="H22" s="8" t="str">
        <f>IF(Table2[[#This Row],[Kontraktor]]="", "Tidak Diketahui",Table2[[#This Row],[Kontraktor]])</f>
        <v>CV Sihombing</v>
      </c>
      <c r="I22" s="11">
        <f>Table245[[#This Row],[Tanggal_Selesai]]-Table245[[#This Row],[Tanggal_Mulai]]</f>
        <v>37</v>
      </c>
      <c r="J22" s="17">
        <f>Table245[[#This Row],[Anggaran]]/Table245[[#This Row],[Durasi_Proyek]]</f>
        <v>14499866.621621622</v>
      </c>
      <c r="K22" s="11">
        <f>YEAR(Table245[[#This Row],[Tanggal_Mulai]])</f>
        <v>2023</v>
      </c>
    </row>
    <row r="23" spans="1:11" ht="14.25" customHeight="1" x14ac:dyDescent="0.35">
      <c r="A23" s="8" t="s">
        <v>596</v>
      </c>
      <c r="B23" s="8" t="str">
        <f>IF(Table2[[#This Row],[Jenis_Proyek]]="", "Tidak Diketahui", Table2[[#This Row],[Jenis_Proyek]])</f>
        <v>Flyover</v>
      </c>
      <c r="C23" s="8" t="str">
        <f>IF(Table2[[#This Row],[Lokasi]]="", "Tidak Diketahui", Table2[[#This Row],[Lokasi]])</f>
        <v>Bandung</v>
      </c>
      <c r="D23" s="8" t="str">
        <f>IF(Table2[[#This Row],[Nama_Proyek]]="", "Tidak Diketahui", Table2[[#This Row],[Nama_Proyek]])</f>
        <v>Pembuatan Flyover Bandung</v>
      </c>
      <c r="E23" s="14">
        <v>45336</v>
      </c>
      <c r="F23" s="14">
        <v>45336</v>
      </c>
      <c r="G23" s="10">
        <v>3981092285</v>
      </c>
      <c r="H23" s="8" t="str">
        <f>IF(Table2[[#This Row],[Kontraktor]]="", "Tidak Diketahui",Table2[[#This Row],[Kontraktor]])</f>
        <v>PT D</v>
      </c>
      <c r="I23" s="11">
        <v>1</v>
      </c>
      <c r="J23" s="17">
        <f>Table245[[#This Row],[Anggaran]]/Table245[[#This Row],[Durasi_Proyek]]</f>
        <v>3981092285</v>
      </c>
      <c r="K23" s="11">
        <f>YEAR(Table245[[#This Row],[Tanggal_Mulai]])</f>
        <v>2024</v>
      </c>
    </row>
    <row r="24" spans="1:11" ht="14.25" customHeight="1" x14ac:dyDescent="0.35">
      <c r="A24" s="8" t="s">
        <v>52</v>
      </c>
      <c r="B24" s="8" t="str">
        <f>IF(Table2[[#This Row],[Jenis_Proyek]]="", "Tidak Diketahui", Table2[[#This Row],[Jenis_Proyek]])</f>
        <v>Drainase</v>
      </c>
      <c r="C24" s="8" t="str">
        <f>IF(Table2[[#This Row],[Lokasi]]="", "Tidak Diketahui", Table2[[#This Row],[Lokasi]])</f>
        <v>Medan</v>
      </c>
      <c r="D24" s="8" t="str">
        <f>IF(Table2[[#This Row],[Nama_Proyek]]="", "Tidak Diketahui", Table2[[#This Row],[Nama_Proyek]])</f>
        <v>Perbaikan Drainase Medan</v>
      </c>
      <c r="E24" s="14">
        <v>44932</v>
      </c>
      <c r="F24" s="14">
        <v>45108</v>
      </c>
      <c r="G24" s="10">
        <v>341629572</v>
      </c>
      <c r="H24" s="8" t="str">
        <f>IF(Table2[[#This Row],[Kontraktor]]="", "Tidak Diketahui",Table2[[#This Row],[Kontraktor]])</f>
        <v>CV Sihombing</v>
      </c>
      <c r="I24" s="11">
        <f>Table245[[#This Row],[Tanggal_Selesai]]-Table245[[#This Row],[Tanggal_Mulai]]</f>
        <v>176</v>
      </c>
      <c r="J24" s="17">
        <f>Table245[[#This Row],[Anggaran]]/Table245[[#This Row],[Durasi_Proyek]]</f>
        <v>1941077.1136363635</v>
      </c>
      <c r="K24" s="11">
        <f>YEAR(Table245[[#This Row],[Tanggal_Mulai]])</f>
        <v>2023</v>
      </c>
    </row>
    <row r="25" spans="1:11" ht="14.25" customHeight="1" x14ac:dyDescent="0.35">
      <c r="A25" s="8" t="s">
        <v>598</v>
      </c>
      <c r="B25" s="8" t="str">
        <f>IF(Table2[[#This Row],[Jenis_Proyek]]="", "Tidak Diketahui", Table2[[#This Row],[Jenis_Proyek]])</f>
        <v>Drainase</v>
      </c>
      <c r="C25" s="8" t="str">
        <f>IF(Table2[[#This Row],[Lokasi]]="", "Tidak Diketahui", Table2[[#This Row],[Lokasi]])</f>
        <v>Tomohon</v>
      </c>
      <c r="D25" s="8" t="str">
        <f>IF(Table2[[#This Row],[Nama_Proyek]]="", "Tidak Diketahui", Table2[[#This Row],[Nama_Proyek]])</f>
        <v>Perbaikan Drainase Tomohon</v>
      </c>
      <c r="E25" s="14">
        <v>45337</v>
      </c>
      <c r="F25" s="14">
        <v>45342</v>
      </c>
      <c r="G25" s="10">
        <v>603837273</v>
      </c>
      <c r="H25" s="8" t="str">
        <f>IF(Table2[[#This Row],[Kontraktor]]="", "Tidak Diketahui",Table2[[#This Row],[Kontraktor]])</f>
        <v>PT B</v>
      </c>
      <c r="I25" s="11">
        <f>Table245[[#This Row],[Tanggal_Selesai]]-Table245[[#This Row],[Tanggal_Mulai]]</f>
        <v>5</v>
      </c>
      <c r="J25" s="17">
        <f>Table245[[#This Row],[Anggaran]]/Table245[[#This Row],[Durasi_Proyek]]</f>
        <v>120767454.59999999</v>
      </c>
      <c r="K25" s="11">
        <f>YEAR(Table245[[#This Row],[Tanggal_Mulai]])</f>
        <v>2024</v>
      </c>
    </row>
    <row r="26" spans="1:11" ht="14.25" customHeight="1" x14ac:dyDescent="0.35">
      <c r="A26" s="8" t="s">
        <v>54</v>
      </c>
      <c r="B26" s="8" t="str">
        <f>IF(Table2[[#This Row],[Jenis_Proyek]]="", "Tidak Diketahui", Table2[[#This Row],[Jenis_Proyek]])</f>
        <v>Flyover</v>
      </c>
      <c r="C26" s="8" t="str">
        <f>IF(Table2[[#This Row],[Lokasi]]="", "Tidak Diketahui", Table2[[#This Row],[Lokasi]])</f>
        <v>Bau-Bau</v>
      </c>
      <c r="D26" s="8" t="str">
        <f>IF(Table2[[#This Row],[Nama_Proyek]]="", "Tidak Diketahui", Table2[[#This Row],[Nama_Proyek]])</f>
        <v>Pembuatan Flyover Bau-Bau</v>
      </c>
      <c r="E26" s="14">
        <v>44935</v>
      </c>
      <c r="F26" s="14">
        <v>44971</v>
      </c>
      <c r="G26" s="10">
        <v>4534202846</v>
      </c>
      <c r="H26" s="8" t="str">
        <f>IF(Table2[[#This Row],[Kontraktor]]="", "Tidak Diketahui",Table2[[#This Row],[Kontraktor]])</f>
        <v>CV Sihombing</v>
      </c>
      <c r="I26" s="11">
        <f>Table245[[#This Row],[Tanggal_Selesai]]-Table245[[#This Row],[Tanggal_Mulai]]</f>
        <v>36</v>
      </c>
      <c r="J26" s="17">
        <f>Table245[[#This Row],[Anggaran]]/Table245[[#This Row],[Durasi_Proyek]]</f>
        <v>125950079.05555555</v>
      </c>
      <c r="K26" s="11">
        <f>YEAR(Table245[[#This Row],[Tanggal_Mulai]])</f>
        <v>2023</v>
      </c>
    </row>
    <row r="27" spans="1:11" ht="14.25" customHeight="1" x14ac:dyDescent="0.35">
      <c r="A27" s="8" t="s">
        <v>600</v>
      </c>
      <c r="B27" s="8" t="str">
        <f>IF(Table2[[#This Row],[Jenis_Proyek]]="", "Tidak Diketahui", Table2[[#This Row],[Jenis_Proyek]])</f>
        <v>Drainase</v>
      </c>
      <c r="C27" s="8" t="str">
        <f>IF(Table2[[#This Row],[Lokasi]]="", "Tidak Diketahui", Table2[[#This Row],[Lokasi]])</f>
        <v>Medan</v>
      </c>
      <c r="D27" s="8" t="str">
        <f>IF(Table2[[#This Row],[Nama_Proyek]]="", "Tidak Diketahui", Table2[[#This Row],[Nama_Proyek]])</f>
        <v>Perbaikan Drainase Medan</v>
      </c>
      <c r="E27" s="14">
        <v>45338</v>
      </c>
      <c r="F27" s="14">
        <v>45346</v>
      </c>
      <c r="G27" s="10">
        <v>257898943</v>
      </c>
      <c r="H27" s="8" t="str">
        <f>IF(Table2[[#This Row],[Kontraktor]]="", "Tidak Diketahui",Table2[[#This Row],[Kontraktor]])</f>
        <v>PT. Yuniar Hakim Tbk</v>
      </c>
      <c r="I27" s="11">
        <f>Table245[[#This Row],[Tanggal_Selesai]]-Table245[[#This Row],[Tanggal_Mulai]]</f>
        <v>8</v>
      </c>
      <c r="J27" s="17">
        <f>Table245[[#This Row],[Anggaran]]/Table245[[#This Row],[Durasi_Proyek]]</f>
        <v>32237367.875</v>
      </c>
      <c r="K27" s="11">
        <f>YEAR(Table245[[#This Row],[Tanggal_Mulai]])</f>
        <v>2024</v>
      </c>
    </row>
    <row r="28" spans="1:11" ht="14.25" customHeight="1" x14ac:dyDescent="0.35">
      <c r="A28" s="8" t="s">
        <v>55</v>
      </c>
      <c r="B28" s="8" t="str">
        <f>IF(Table2[[#This Row],[Jenis_Proyek]]="", "Tidak Diketahui", Table2[[#This Row],[Jenis_Proyek]])</f>
        <v>Drainase</v>
      </c>
      <c r="C28" s="8" t="str">
        <f>IF(Table2[[#This Row],[Lokasi]]="", "Tidak Diketahui", Table2[[#This Row],[Lokasi]])</f>
        <v>Medan</v>
      </c>
      <c r="D28" s="8" t="str">
        <f>IF(Table2[[#This Row],[Nama_Proyek]]="", "Tidak Diketahui", Table2[[#This Row],[Nama_Proyek]])</f>
        <v>Perbaikan Drainase Medan</v>
      </c>
      <c r="E28" s="14">
        <v>44936</v>
      </c>
      <c r="F28" s="14">
        <v>45295</v>
      </c>
      <c r="G28" s="10">
        <v>489065831</v>
      </c>
      <c r="H28" s="8" t="str">
        <f>IF(Table2[[#This Row],[Kontraktor]]="", "Tidak Diketahui",Table2[[#This Row],[Kontraktor]])</f>
        <v>PT A</v>
      </c>
      <c r="I28" s="11">
        <f>Table245[[#This Row],[Tanggal_Selesai]]-Table245[[#This Row],[Tanggal_Mulai]]</f>
        <v>359</v>
      </c>
      <c r="J28" s="17">
        <f>Table245[[#This Row],[Anggaran]]/Table245[[#This Row],[Durasi_Proyek]]</f>
        <v>1362300.364902507</v>
      </c>
      <c r="K28" s="11">
        <f>YEAR(Table245[[#This Row],[Tanggal_Mulai]])</f>
        <v>2023</v>
      </c>
    </row>
    <row r="29" spans="1:11" ht="14.25" customHeight="1" x14ac:dyDescent="0.35">
      <c r="A29" s="8" t="s">
        <v>601</v>
      </c>
      <c r="B29" s="8" t="str">
        <f>IF(Table2[[#This Row],[Jenis_Proyek]]="", "Tidak Diketahui", Table2[[#This Row],[Jenis_Proyek]])</f>
        <v>Jalan Raya</v>
      </c>
      <c r="C29" s="8" t="str">
        <f>IF(Table2[[#This Row],[Lokasi]]="", "Tidak Diketahui", Table2[[#This Row],[Lokasi]])</f>
        <v>Surabaya</v>
      </c>
      <c r="D29" s="8" t="str">
        <f>IF(Table2[[#This Row],[Nama_Proyek]]="", "Tidak Diketahui", Table2[[#This Row],[Nama_Proyek]])</f>
        <v>Perbaikan Jalan Raya Surabaya</v>
      </c>
      <c r="E29" s="14">
        <v>45339</v>
      </c>
      <c r="F29" s="14">
        <v>45379</v>
      </c>
      <c r="G29" s="10">
        <v>545662746</v>
      </c>
      <c r="H29" s="8" t="str">
        <f>IF(Table2[[#This Row],[Kontraktor]]="", "Tidak Diketahui",Table2[[#This Row],[Kontraktor]])</f>
        <v>PT A</v>
      </c>
      <c r="I29" s="11">
        <f>Table245[[#This Row],[Tanggal_Selesai]]-Table245[[#This Row],[Tanggal_Mulai]]</f>
        <v>40</v>
      </c>
      <c r="J29" s="17">
        <f>Table245[[#This Row],[Anggaran]]/Table245[[#This Row],[Durasi_Proyek]]</f>
        <v>13641568.65</v>
      </c>
      <c r="K29" s="11">
        <f>YEAR(Table245[[#This Row],[Tanggal_Mulai]])</f>
        <v>2024</v>
      </c>
    </row>
    <row r="30" spans="1:11" ht="14.25" customHeight="1" x14ac:dyDescent="0.35">
      <c r="A30" s="8" t="s">
        <v>57</v>
      </c>
      <c r="B30" s="8" t="str">
        <f>IF(Table2[[#This Row],[Jenis_Proyek]]="", "Tidak Diketahui", Table2[[#This Row],[Jenis_Proyek]])</f>
        <v>Jalan Raya</v>
      </c>
      <c r="C30" s="8" t="str">
        <f>IF(Table2[[#This Row],[Lokasi]]="", "Tidak Diketahui", Table2[[#This Row],[Lokasi]])</f>
        <v>Medan</v>
      </c>
      <c r="D30" s="8" t="str">
        <f>IF(Table2[[#This Row],[Nama_Proyek]]="", "Tidak Diketahui", Table2[[#This Row],[Nama_Proyek]])</f>
        <v>Perbaikan Jalan Raya Medan</v>
      </c>
      <c r="E30" s="14">
        <v>44938</v>
      </c>
      <c r="F30" s="14">
        <v>44985</v>
      </c>
      <c r="G30" s="10">
        <v>486357978</v>
      </c>
      <c r="H30" s="8" t="str">
        <f>IF(Table2[[#This Row],[Kontraktor]]="", "Tidak Diketahui",Table2[[#This Row],[Kontraktor]])</f>
        <v>Tidak Diketahui</v>
      </c>
      <c r="I30" s="11">
        <f>Table245[[#This Row],[Tanggal_Selesai]]-Table245[[#This Row],[Tanggal_Mulai]]</f>
        <v>47</v>
      </c>
      <c r="J30" s="17">
        <f>Table245[[#This Row],[Anggaran]]/Table245[[#This Row],[Durasi_Proyek]]</f>
        <v>10348042.085106382</v>
      </c>
      <c r="K30" s="11">
        <f>YEAR(Table245[[#This Row],[Tanggal_Mulai]])</f>
        <v>2023</v>
      </c>
    </row>
    <row r="31" spans="1:11" ht="14.25" customHeight="1" x14ac:dyDescent="0.35">
      <c r="A31" s="8" t="s">
        <v>604</v>
      </c>
      <c r="B31" s="8" t="str">
        <f>IF(Table2[[#This Row],[Jenis_Proyek]]="", "Tidak Diketahui", Table2[[#This Row],[Jenis_Proyek]])</f>
        <v>Jalan Raya</v>
      </c>
      <c r="C31" s="8" t="str">
        <f>IF(Table2[[#This Row],[Lokasi]]="", "Tidak Diketahui", Table2[[#This Row],[Lokasi]])</f>
        <v>Surabaya</v>
      </c>
      <c r="D31" s="8" t="str">
        <f>IF(Table2[[#This Row],[Nama_Proyek]]="", "Tidak Diketahui", Table2[[#This Row],[Nama_Proyek]])</f>
        <v>Perbaikan Jalan Raya Surabaya</v>
      </c>
      <c r="E31" s="14">
        <v>45340</v>
      </c>
      <c r="F31" s="14">
        <v>45371</v>
      </c>
      <c r="G31" s="10">
        <v>810414368</v>
      </c>
      <c r="H31" s="8" t="str">
        <f>IF(Table2[[#This Row],[Kontraktor]]="", "Tidak Diketahui",Table2[[#This Row],[Kontraktor]])</f>
        <v>PT C</v>
      </c>
      <c r="I31" s="11">
        <f>Table245[[#This Row],[Tanggal_Selesai]]-Table245[[#This Row],[Tanggal_Mulai]]</f>
        <v>31</v>
      </c>
      <c r="J31" s="17">
        <f>Table245[[#This Row],[Anggaran]]/Table245[[#This Row],[Durasi_Proyek]]</f>
        <v>26142398.967741936</v>
      </c>
      <c r="K31" s="11">
        <f>YEAR(Table245[[#This Row],[Tanggal_Mulai]])</f>
        <v>2024</v>
      </c>
    </row>
    <row r="32" spans="1:11" ht="14.25" customHeight="1" x14ac:dyDescent="0.35">
      <c r="A32" s="8" t="s">
        <v>59</v>
      </c>
      <c r="B32" s="8" t="str">
        <f>IF(Table2[[#This Row],[Jenis_Proyek]]="", "Tidak Diketahui", Table2[[#This Row],[Jenis_Proyek]])</f>
        <v>Jalan Raya</v>
      </c>
      <c r="C32" s="8" t="str">
        <f>IF(Table2[[#This Row],[Lokasi]]="", "Tidak Diketahui", Table2[[#This Row],[Lokasi]])</f>
        <v>Tomohon</v>
      </c>
      <c r="D32" s="8" t="str">
        <f>IF(Table2[[#This Row],[Nama_Proyek]]="", "Tidak Diketahui", Table2[[#This Row],[Nama_Proyek]])</f>
        <v>Perbaikan Jalan Raya Tomohon</v>
      </c>
      <c r="E32" s="14">
        <v>44938</v>
      </c>
      <c r="F32" s="14">
        <v>45262</v>
      </c>
      <c r="G32" s="10">
        <v>341929482</v>
      </c>
      <c r="H32" s="8" t="str">
        <f>IF(Table2[[#This Row],[Kontraktor]]="", "Tidak Diketahui",Table2[[#This Row],[Kontraktor]])</f>
        <v>PT. Yuniar Hakim Tbk</v>
      </c>
      <c r="I32" s="11">
        <f>Table245[[#This Row],[Tanggal_Selesai]]-Table245[[#This Row],[Tanggal_Mulai]]</f>
        <v>324</v>
      </c>
      <c r="J32" s="17">
        <f>Table245[[#This Row],[Anggaran]]/Table245[[#This Row],[Durasi_Proyek]]</f>
        <v>1055337.9074074074</v>
      </c>
      <c r="K32" s="11">
        <f>YEAR(Table245[[#This Row],[Tanggal_Mulai]])</f>
        <v>2023</v>
      </c>
    </row>
    <row r="33" spans="1:11" ht="14.25" customHeight="1" x14ac:dyDescent="0.35">
      <c r="A33" s="8" t="s">
        <v>606</v>
      </c>
      <c r="B33" s="8" t="str">
        <f>IF(Table2[[#This Row],[Jenis_Proyek]]="", "Tidak Diketahui", Table2[[#This Row],[Jenis_Proyek]])</f>
        <v>Jalan Raya</v>
      </c>
      <c r="C33" s="8" t="str">
        <f>IF(Table2[[#This Row],[Lokasi]]="", "Tidak Diketahui", Table2[[#This Row],[Lokasi]])</f>
        <v>Bau-Bau</v>
      </c>
      <c r="D33" s="8" t="str">
        <f>IF(Table2[[#This Row],[Nama_Proyek]]="", "Tidak Diketahui", Table2[[#This Row],[Nama_Proyek]])</f>
        <v>Perbaikan Jalan Raya Bau-Bau</v>
      </c>
      <c r="E33" s="14">
        <v>45341</v>
      </c>
      <c r="F33" s="14">
        <v>45388</v>
      </c>
      <c r="G33" s="10">
        <v>599466235</v>
      </c>
      <c r="H33" s="8" t="str">
        <f>IF(Table2[[#This Row],[Kontraktor]]="", "Tidak Diketahui",Table2[[#This Row],[Kontraktor]])</f>
        <v>PT. Yuniar Hakim Tbk</v>
      </c>
      <c r="I33" s="11">
        <f>Table245[[#This Row],[Tanggal_Selesai]]-Table245[[#This Row],[Tanggal_Mulai]]</f>
        <v>47</v>
      </c>
      <c r="J33" s="17">
        <f>Table245[[#This Row],[Anggaran]]/Table245[[#This Row],[Durasi_Proyek]]</f>
        <v>12754600.744680852</v>
      </c>
      <c r="K33" s="11">
        <f>YEAR(Table245[[#This Row],[Tanggal_Mulai]])</f>
        <v>2024</v>
      </c>
    </row>
    <row r="34" spans="1:11" ht="14.25" customHeight="1" x14ac:dyDescent="0.35">
      <c r="A34" s="8" t="s">
        <v>62</v>
      </c>
      <c r="B34" s="8" t="str">
        <f>IF(Table2[[#This Row],[Jenis_Proyek]]="", "Tidak Diketahui", Table2[[#This Row],[Jenis_Proyek]])</f>
        <v>Gedung</v>
      </c>
      <c r="C34" s="8" t="str">
        <f>IF(Table2[[#This Row],[Lokasi]]="", "Tidak Diketahui", Table2[[#This Row],[Lokasi]])</f>
        <v>Tomohon</v>
      </c>
      <c r="D34" s="8" t="str">
        <f>IF(Table2[[#This Row],[Nama_Proyek]]="", "Tidak Diketahui", Table2[[#This Row],[Nama_Proyek]])</f>
        <v>Perbaikan Gedung Pemerintah Tomohon</v>
      </c>
      <c r="E34" s="14">
        <v>44939</v>
      </c>
      <c r="F34" s="14">
        <v>45185</v>
      </c>
      <c r="G34" s="10">
        <v>4929333305</v>
      </c>
      <c r="H34" s="8" t="str">
        <f>IF(Table2[[#This Row],[Kontraktor]]="", "Tidak Diketahui",Table2[[#This Row],[Kontraktor]])</f>
        <v>PT. Yuniar Hakim Tbk</v>
      </c>
      <c r="I34" s="11">
        <f>Table245[[#This Row],[Tanggal_Selesai]]-Table245[[#This Row],[Tanggal_Mulai]]</f>
        <v>246</v>
      </c>
      <c r="J34" s="17">
        <f>Table245[[#This Row],[Anggaran]]/Table245[[#This Row],[Durasi_Proyek]]</f>
        <v>20037940.264227644</v>
      </c>
      <c r="K34" s="11">
        <f>YEAR(Table245[[#This Row],[Tanggal_Mulai]])</f>
        <v>2023</v>
      </c>
    </row>
    <row r="35" spans="1:11" ht="14.25" customHeight="1" x14ac:dyDescent="0.35">
      <c r="A35" s="8" t="s">
        <v>607</v>
      </c>
      <c r="B35" s="8" t="str">
        <f>IF(Table2[[#This Row],[Jenis_Proyek]]="", "Tidak Diketahui", Table2[[#This Row],[Jenis_Proyek]])</f>
        <v>Drainase</v>
      </c>
      <c r="C35" s="8" t="str">
        <f>IF(Table2[[#This Row],[Lokasi]]="", "Tidak Diketahui", Table2[[#This Row],[Lokasi]])</f>
        <v>Bandung</v>
      </c>
      <c r="D35" s="8" t="str">
        <f>IF(Table2[[#This Row],[Nama_Proyek]]="", "Tidak Diketahui", Table2[[#This Row],[Nama_Proyek]])</f>
        <v>Perbaikan Drainase Bandung</v>
      </c>
      <c r="E35" s="14">
        <v>45341</v>
      </c>
      <c r="F35" s="14">
        <v>45350</v>
      </c>
      <c r="G35" s="10">
        <v>333089653</v>
      </c>
      <c r="H35" s="8" t="str">
        <f>IF(Table2[[#This Row],[Kontraktor]]="", "Tidak Diketahui",Table2[[#This Row],[Kontraktor]])</f>
        <v>PT B</v>
      </c>
      <c r="I35" s="11">
        <f>Table245[[#This Row],[Tanggal_Selesai]]-Table245[[#This Row],[Tanggal_Mulai]]</f>
        <v>9</v>
      </c>
      <c r="J35" s="17">
        <f>Table245[[#This Row],[Anggaran]]/Table245[[#This Row],[Durasi_Proyek]]</f>
        <v>37009961.444444448</v>
      </c>
      <c r="K35" s="11">
        <f>YEAR(Table245[[#This Row],[Tanggal_Mulai]])</f>
        <v>2024</v>
      </c>
    </row>
    <row r="36" spans="1:11" ht="14.25" customHeight="1" x14ac:dyDescent="0.35">
      <c r="A36" s="8" t="s">
        <v>64</v>
      </c>
      <c r="B36" s="8" t="str">
        <f>IF(Table2[[#This Row],[Jenis_Proyek]]="", "Tidak Diketahui", Table2[[#This Row],[Jenis_Proyek]])</f>
        <v>Drainase</v>
      </c>
      <c r="C36" s="8" t="str">
        <f>IF(Table2[[#This Row],[Lokasi]]="", "Tidak Diketahui", Table2[[#This Row],[Lokasi]])</f>
        <v>Tomohon</v>
      </c>
      <c r="D36" s="8" t="str">
        <f>IF(Table2[[#This Row],[Nama_Proyek]]="", "Tidak Diketahui", Table2[[#This Row],[Nama_Proyek]])</f>
        <v>Perbaikan Drainase Tomohon</v>
      </c>
      <c r="E36" s="14">
        <v>44940</v>
      </c>
      <c r="F36" s="14">
        <v>45043</v>
      </c>
      <c r="G36" s="10">
        <v>523689841</v>
      </c>
      <c r="H36" s="8" t="str">
        <f>IF(Table2[[#This Row],[Kontraktor]]="", "Tidak Diketahui",Table2[[#This Row],[Kontraktor]])</f>
        <v>PT D</v>
      </c>
      <c r="I36" s="11">
        <f>Table245[[#This Row],[Tanggal_Selesai]]-Table245[[#This Row],[Tanggal_Mulai]]</f>
        <v>103</v>
      </c>
      <c r="J36" s="17">
        <f>Table245[[#This Row],[Anggaran]]/Table245[[#This Row],[Durasi_Proyek]]</f>
        <v>5084367.3883495145</v>
      </c>
      <c r="K36" s="11">
        <f>YEAR(Table245[[#This Row],[Tanggal_Mulai]])</f>
        <v>2023</v>
      </c>
    </row>
    <row r="37" spans="1:11" ht="14.25" customHeight="1" x14ac:dyDescent="0.35">
      <c r="A37" s="8" t="s">
        <v>608</v>
      </c>
      <c r="B37" s="8" t="str">
        <f>IF(Table2[[#This Row],[Jenis_Proyek]]="", "Tidak Diketahui", Table2[[#This Row],[Jenis_Proyek]])</f>
        <v>Flyover</v>
      </c>
      <c r="C37" s="8" t="str">
        <f>IF(Table2[[#This Row],[Lokasi]]="", "Tidak Diketahui", Table2[[#This Row],[Lokasi]])</f>
        <v>Bandung</v>
      </c>
      <c r="D37" s="8" t="str">
        <f>IF(Table2[[#This Row],[Nama_Proyek]]="", "Tidak Diketahui", Table2[[#This Row],[Nama_Proyek]])</f>
        <v>Pembuatan Flyover Bandung</v>
      </c>
      <c r="E37" s="14">
        <v>45341</v>
      </c>
      <c r="F37" s="14">
        <v>45406</v>
      </c>
      <c r="G37" s="10">
        <v>3757312666</v>
      </c>
      <c r="H37" s="8" t="str">
        <f>IF(Table2[[#This Row],[Kontraktor]]="", "Tidak Diketahui",Table2[[#This Row],[Kontraktor]])</f>
        <v>PT B</v>
      </c>
      <c r="I37" s="11">
        <f>Table245[[#This Row],[Tanggal_Selesai]]-Table245[[#This Row],[Tanggal_Mulai]]</f>
        <v>65</v>
      </c>
      <c r="J37" s="17">
        <f>Table245[[#This Row],[Anggaran]]/Table245[[#This Row],[Durasi_Proyek]]</f>
        <v>57804810.246153846</v>
      </c>
      <c r="K37" s="11">
        <f>YEAR(Table245[[#This Row],[Tanggal_Mulai]])</f>
        <v>2024</v>
      </c>
    </row>
    <row r="38" spans="1:11" ht="14.25" customHeight="1" x14ac:dyDescent="0.35">
      <c r="A38" s="8" t="s">
        <v>65</v>
      </c>
      <c r="B38" s="8" t="str">
        <f>IF(Table2[[#This Row],[Jenis_Proyek]]="", "Tidak Diketahui", Table2[[#This Row],[Jenis_Proyek]])</f>
        <v>Flyover</v>
      </c>
      <c r="C38" s="8" t="str">
        <f>IF(Table2[[#This Row],[Lokasi]]="", "Tidak Diketahui", Table2[[#This Row],[Lokasi]])</f>
        <v>Medan</v>
      </c>
      <c r="D38" s="8" t="str">
        <f>IF(Table2[[#This Row],[Nama_Proyek]]="", "Tidak Diketahui", Table2[[#This Row],[Nama_Proyek]])</f>
        <v>Pembuatan Flyover Medan</v>
      </c>
      <c r="E38" s="14">
        <v>44940</v>
      </c>
      <c r="F38" s="14">
        <v>45206</v>
      </c>
      <c r="G38" s="10">
        <v>3894709817</v>
      </c>
      <c r="H38" s="8" t="str">
        <f>IF(Table2[[#This Row],[Kontraktor]]="", "Tidak Diketahui",Table2[[#This Row],[Kontraktor]])</f>
        <v>PT. Yuniar Hakim Tbk</v>
      </c>
      <c r="I38" s="11">
        <f>Table245[[#This Row],[Tanggal_Selesai]]-Table245[[#This Row],[Tanggal_Mulai]]</f>
        <v>266</v>
      </c>
      <c r="J38" s="17">
        <f>Table245[[#This Row],[Anggaran]]/Table245[[#This Row],[Durasi_Proyek]]</f>
        <v>14641766.229323309</v>
      </c>
      <c r="K38" s="11">
        <f>YEAR(Table245[[#This Row],[Tanggal_Mulai]])</f>
        <v>2023</v>
      </c>
    </row>
    <row r="39" spans="1:11" ht="14.25" customHeight="1" x14ac:dyDescent="0.35">
      <c r="A39" s="8" t="s">
        <v>609</v>
      </c>
      <c r="B39" s="8" t="str">
        <f>IF(Table2[[#This Row],[Jenis_Proyek]]="", "Tidak Diketahui", Table2[[#This Row],[Jenis_Proyek]])</f>
        <v>Jalan Raya</v>
      </c>
      <c r="C39" s="8" t="str">
        <f>IF(Table2[[#This Row],[Lokasi]]="", "Tidak Diketahui", Table2[[#This Row],[Lokasi]])</f>
        <v>Depok</v>
      </c>
      <c r="D39" s="8" t="str">
        <f>IF(Table2[[#This Row],[Nama_Proyek]]="", "Tidak Diketahui", Table2[[#This Row],[Nama_Proyek]])</f>
        <v>Perbaikan Jalan Raya Depok</v>
      </c>
      <c r="E39" s="14">
        <v>45343</v>
      </c>
      <c r="F39" s="14">
        <v>45382</v>
      </c>
      <c r="G39" s="10">
        <v>462876320</v>
      </c>
      <c r="H39" s="8" t="str">
        <f>IF(Table2[[#This Row],[Kontraktor]]="", "Tidak Diketahui",Table2[[#This Row],[Kontraktor]])</f>
        <v>Tidak Diketahui</v>
      </c>
      <c r="I39" s="11">
        <f>Table245[[#This Row],[Tanggal_Selesai]]-Table245[[#This Row],[Tanggal_Mulai]]</f>
        <v>39</v>
      </c>
      <c r="J39" s="17">
        <f>Table245[[#This Row],[Anggaran]]/Table245[[#This Row],[Durasi_Proyek]]</f>
        <v>11868623.58974359</v>
      </c>
      <c r="K39" s="11">
        <f>YEAR(Table245[[#This Row],[Tanggal_Mulai]])</f>
        <v>2024</v>
      </c>
    </row>
    <row r="40" spans="1:11" ht="14.25" customHeight="1" x14ac:dyDescent="0.35">
      <c r="A40" s="8" t="s">
        <v>68</v>
      </c>
      <c r="B40" s="8" t="str">
        <f>IF(Table2[[#This Row],[Jenis_Proyek]]="", "Tidak Diketahui", Table2[[#This Row],[Jenis_Proyek]])</f>
        <v>Jembatan</v>
      </c>
      <c r="C40" s="8" t="str">
        <f>IF(Table2[[#This Row],[Lokasi]]="", "Tidak Diketahui", Table2[[#This Row],[Lokasi]])</f>
        <v>Jakarta</v>
      </c>
      <c r="D40" s="8" t="str">
        <f>IF(Table2[[#This Row],[Nama_Proyek]]="", "Tidak Diketahui", Table2[[#This Row],[Nama_Proyek]])</f>
        <v>Pembuatan Jembatan Jakarta</v>
      </c>
      <c r="E40" s="14">
        <v>44941</v>
      </c>
      <c r="F40" s="14">
        <v>45188</v>
      </c>
      <c r="G40" s="10">
        <v>4532376815</v>
      </c>
      <c r="H40" s="8" t="str">
        <f>IF(Table2[[#This Row],[Kontraktor]]="", "Tidak Diketahui",Table2[[#This Row],[Kontraktor]])</f>
        <v>PT D</v>
      </c>
      <c r="I40" s="11">
        <f>Table245[[#This Row],[Tanggal_Selesai]]-Table245[[#This Row],[Tanggal_Mulai]]</f>
        <v>247</v>
      </c>
      <c r="J40" s="17">
        <f>Table245[[#This Row],[Anggaran]]/Table245[[#This Row],[Durasi_Proyek]]</f>
        <v>18349703.704453442</v>
      </c>
      <c r="K40" s="11">
        <f>YEAR(Table245[[#This Row],[Tanggal_Mulai]])</f>
        <v>2023</v>
      </c>
    </row>
    <row r="41" spans="1:11" ht="14.25" customHeight="1" x14ac:dyDescent="0.35">
      <c r="A41" s="8" t="s">
        <v>611</v>
      </c>
      <c r="B41" s="8" t="str">
        <f>IF(Table2[[#This Row],[Jenis_Proyek]]="", "Tidak Diketahui", Table2[[#This Row],[Jenis_Proyek]])</f>
        <v>Jembatan</v>
      </c>
      <c r="C41" s="8" t="str">
        <f>IF(Table2[[#This Row],[Lokasi]]="", "Tidak Diketahui", Table2[[#This Row],[Lokasi]])</f>
        <v>Depok</v>
      </c>
      <c r="D41" s="8" t="str">
        <f>IF(Table2[[#This Row],[Nama_Proyek]]="", "Tidak Diketahui", Table2[[#This Row],[Nama_Proyek]])</f>
        <v>Pembuatan Jembatan Depok</v>
      </c>
      <c r="E41" s="14">
        <v>45346</v>
      </c>
      <c r="F41" s="14">
        <v>45398</v>
      </c>
      <c r="G41" s="10">
        <v>3821117140</v>
      </c>
      <c r="H41" s="8" t="str">
        <f>IF(Table2[[#This Row],[Kontraktor]]="", "Tidak Diketahui",Table2[[#This Row],[Kontraktor]])</f>
        <v>PT D</v>
      </c>
      <c r="I41" s="11">
        <f>Table245[[#This Row],[Tanggal_Selesai]]-Table245[[#This Row],[Tanggal_Mulai]]</f>
        <v>52</v>
      </c>
      <c r="J41" s="17">
        <f>Table245[[#This Row],[Anggaran]]/Table245[[#This Row],[Durasi_Proyek]]</f>
        <v>73483021.923076928</v>
      </c>
      <c r="K41" s="11">
        <f>YEAR(Table245[[#This Row],[Tanggal_Mulai]])</f>
        <v>2024</v>
      </c>
    </row>
    <row r="42" spans="1:11" ht="14.25" customHeight="1" x14ac:dyDescent="0.35">
      <c r="A42" s="8" t="s">
        <v>70</v>
      </c>
      <c r="B42" s="8" t="str">
        <f>IF(Table2[[#This Row],[Jenis_Proyek]]="", "Tidak Diketahui", Table2[[#This Row],[Jenis_Proyek]])</f>
        <v>Flyover</v>
      </c>
      <c r="C42" s="8" t="str">
        <f>IF(Table2[[#This Row],[Lokasi]]="", "Tidak Diketahui", Table2[[#This Row],[Lokasi]])</f>
        <v>Bau-Bau</v>
      </c>
      <c r="D42" s="8" t="str">
        <f>IF(Table2[[#This Row],[Nama_Proyek]]="", "Tidak Diketahui", Table2[[#This Row],[Nama_Proyek]])</f>
        <v>Perbaikan Flyover Bau-Bau</v>
      </c>
      <c r="E42" s="14">
        <v>44941</v>
      </c>
      <c r="F42" s="14">
        <v>45290</v>
      </c>
      <c r="G42" s="10">
        <v>4159855566</v>
      </c>
      <c r="H42" s="8" t="str">
        <f>IF(Table2[[#This Row],[Kontraktor]]="", "Tidak Diketahui",Table2[[#This Row],[Kontraktor]])</f>
        <v>PT C</v>
      </c>
      <c r="I42" s="11">
        <f>Table245[[#This Row],[Tanggal_Selesai]]-Table245[[#This Row],[Tanggal_Mulai]]</f>
        <v>349</v>
      </c>
      <c r="J42" s="17">
        <f>Table245[[#This Row],[Anggaran]]/Table245[[#This Row],[Durasi_Proyek]]</f>
        <v>11919356.922636103</v>
      </c>
      <c r="K42" s="11">
        <f>YEAR(Table245[[#This Row],[Tanggal_Mulai]])</f>
        <v>2023</v>
      </c>
    </row>
    <row r="43" spans="1:11" ht="14.25" customHeight="1" x14ac:dyDescent="0.35">
      <c r="A43" s="8" t="s">
        <v>72</v>
      </c>
      <c r="B43" s="8" t="str">
        <f>IF(Table2[[#This Row],[Jenis_Proyek]]="", "Tidak Diketahui", Table2[[#This Row],[Jenis_Proyek]])</f>
        <v>Jembatan</v>
      </c>
      <c r="C43" s="8" t="str">
        <f>IF(Table2[[#This Row],[Lokasi]]="", "Tidak Diketahui", Table2[[#This Row],[Lokasi]])</f>
        <v>Bandung</v>
      </c>
      <c r="D43" s="8" t="str">
        <f>IF(Table2[[#This Row],[Nama_Proyek]]="", "Tidak Diketahui", Table2[[#This Row],[Nama_Proyek]])</f>
        <v>Perbaikan Jembatan Bandung</v>
      </c>
      <c r="E43" s="14">
        <v>44941</v>
      </c>
      <c r="F43" s="14">
        <v>45095</v>
      </c>
      <c r="G43" s="10">
        <v>4492886828</v>
      </c>
      <c r="H43" s="8" t="str">
        <f>IF(Table2[[#This Row],[Kontraktor]]="", "Tidak Diketahui",Table2[[#This Row],[Kontraktor]])</f>
        <v>PT D</v>
      </c>
      <c r="I43" s="11">
        <f>Table245[[#This Row],[Tanggal_Selesai]]-Table245[[#This Row],[Tanggal_Mulai]]</f>
        <v>154</v>
      </c>
      <c r="J43" s="17">
        <f>Table245[[#This Row],[Anggaran]]/Table245[[#This Row],[Durasi_Proyek]]</f>
        <v>29174589.792207792</v>
      </c>
      <c r="K43" s="11">
        <f>YEAR(Table245[[#This Row],[Tanggal_Mulai]])</f>
        <v>2023</v>
      </c>
    </row>
    <row r="44" spans="1:11" ht="14.25" customHeight="1" x14ac:dyDescent="0.35">
      <c r="A44" s="8" t="s">
        <v>73</v>
      </c>
      <c r="B44" s="8" t="str">
        <f>IF(Table2[[#This Row],[Jenis_Proyek]]="", "Tidak Diketahui", Table2[[#This Row],[Jenis_Proyek]])</f>
        <v>Jembatan</v>
      </c>
      <c r="C44" s="8" t="str">
        <f>IF(Table2[[#This Row],[Lokasi]]="", "Tidak Diketahui", Table2[[#This Row],[Lokasi]])</f>
        <v>Surabaya</v>
      </c>
      <c r="D44" s="8" t="str">
        <f>IF(Table2[[#This Row],[Nama_Proyek]]="", "Tidak Diketahui", Table2[[#This Row],[Nama_Proyek]])</f>
        <v>Pembuatan Jembatan Surabaya</v>
      </c>
      <c r="E44" s="14">
        <v>44942</v>
      </c>
      <c r="F44" s="14">
        <v>45034</v>
      </c>
      <c r="G44" s="10">
        <v>1424729417</v>
      </c>
      <c r="H44" s="8" t="str">
        <f>IF(Table2[[#This Row],[Kontraktor]]="", "Tidak Diketahui",Table2[[#This Row],[Kontraktor]])</f>
        <v>PT. Yuniar Hakim Tbk</v>
      </c>
      <c r="I44" s="11">
        <f>Table245[[#This Row],[Tanggal_Selesai]]-Table245[[#This Row],[Tanggal_Mulai]]</f>
        <v>92</v>
      </c>
      <c r="J44" s="17">
        <f>Table245[[#This Row],[Anggaran]]/Table245[[#This Row],[Durasi_Proyek]]</f>
        <v>15486189.315217391</v>
      </c>
      <c r="K44" s="11">
        <f>YEAR(Table245[[#This Row],[Tanggal_Mulai]])</f>
        <v>2023</v>
      </c>
    </row>
    <row r="45" spans="1:11" ht="14.25" customHeight="1" x14ac:dyDescent="0.35">
      <c r="A45" s="8" t="s">
        <v>75</v>
      </c>
      <c r="B45" s="8" t="str">
        <f>IF(Table2[[#This Row],[Jenis_Proyek]]="", "Tidak Diketahui", Table2[[#This Row],[Jenis_Proyek]])</f>
        <v>Jembatan</v>
      </c>
      <c r="C45" s="8" t="str">
        <f>IF(Table2[[#This Row],[Lokasi]]="", "Tidak Diketahui", Table2[[#This Row],[Lokasi]])</f>
        <v>Bau-Bau</v>
      </c>
      <c r="D45" s="8" t="str">
        <f>IF(Table2[[#This Row],[Nama_Proyek]]="", "Tidak Diketahui", Table2[[#This Row],[Nama_Proyek]])</f>
        <v>Pembuatan Jembatan Bau-Bau</v>
      </c>
      <c r="E45" s="14">
        <v>44943</v>
      </c>
      <c r="F45" s="14">
        <v>45027</v>
      </c>
      <c r="G45" s="10">
        <v>1425616276</v>
      </c>
      <c r="H45" s="8" t="str">
        <f>IF(Table2[[#This Row],[Kontraktor]]="", "Tidak Diketahui",Table2[[#This Row],[Kontraktor]])</f>
        <v>CV Sihombing</v>
      </c>
      <c r="I45" s="11">
        <f>Table245[[#This Row],[Tanggal_Selesai]]-Table245[[#This Row],[Tanggal_Mulai]]</f>
        <v>84</v>
      </c>
      <c r="J45" s="17">
        <f>Table245[[#This Row],[Anggaran]]/Table245[[#This Row],[Durasi_Proyek]]</f>
        <v>16971622.333333332</v>
      </c>
      <c r="K45" s="11">
        <f>YEAR(Table245[[#This Row],[Tanggal_Mulai]])</f>
        <v>2023</v>
      </c>
    </row>
    <row r="46" spans="1:11" ht="14.25" customHeight="1" x14ac:dyDescent="0.35">
      <c r="A46" s="8" t="s">
        <v>76</v>
      </c>
      <c r="B46" s="8" t="str">
        <f>IF(Table2[[#This Row],[Jenis_Proyek]]="", "Tidak Diketahui", Table2[[#This Row],[Jenis_Proyek]])</f>
        <v>Jalan Raya</v>
      </c>
      <c r="C46" s="8" t="str">
        <f>IF(Table2[[#This Row],[Lokasi]]="", "Tidak Diketahui", Table2[[#This Row],[Lokasi]])</f>
        <v>Bandung</v>
      </c>
      <c r="D46" s="8" t="str">
        <f>IF(Table2[[#This Row],[Nama_Proyek]]="", "Tidak Diketahui", Table2[[#This Row],[Nama_Proyek]])</f>
        <v>Perbaikan Jalan Raya Bandung</v>
      </c>
      <c r="E46" s="14">
        <v>44943</v>
      </c>
      <c r="F46" s="14">
        <v>45136</v>
      </c>
      <c r="G46" s="10">
        <v>307413755</v>
      </c>
      <c r="H46" s="8" t="str">
        <f>IF(Table2[[#This Row],[Kontraktor]]="", "Tidak Diketahui",Table2[[#This Row],[Kontraktor]])</f>
        <v>CV Sihombing</v>
      </c>
      <c r="I46" s="11">
        <f>Table245[[#This Row],[Tanggal_Selesai]]-Table245[[#This Row],[Tanggal_Mulai]]</f>
        <v>193</v>
      </c>
      <c r="J46" s="17">
        <f>Table245[[#This Row],[Anggaran]]/Table245[[#This Row],[Durasi_Proyek]]</f>
        <v>1592817.383419689</v>
      </c>
      <c r="K46" s="11">
        <f>YEAR(Table245[[#This Row],[Tanggal_Mulai]])</f>
        <v>2023</v>
      </c>
    </row>
    <row r="47" spans="1:11" ht="14.25" customHeight="1" x14ac:dyDescent="0.35">
      <c r="A47" s="8" t="s">
        <v>77</v>
      </c>
      <c r="B47" s="8" t="str">
        <f>IF(Table2[[#This Row],[Jenis_Proyek]]="", "Tidak Diketahui", Table2[[#This Row],[Jenis_Proyek]])</f>
        <v>Jembatan</v>
      </c>
      <c r="C47" s="8" t="str">
        <f>IF(Table2[[#This Row],[Lokasi]]="", "Tidak Diketahui", Table2[[#This Row],[Lokasi]])</f>
        <v>Bau-Bau</v>
      </c>
      <c r="D47" s="8" t="str">
        <f>IF(Table2[[#This Row],[Nama_Proyek]]="", "Tidak Diketahui", Table2[[#This Row],[Nama_Proyek]])</f>
        <v>Pembuatan Jembatan Bau-Bau</v>
      </c>
      <c r="E47" s="14">
        <v>44944</v>
      </c>
      <c r="F47" s="14">
        <v>45113</v>
      </c>
      <c r="G47" s="10">
        <v>6929733135</v>
      </c>
      <c r="H47" s="8" t="str">
        <f>IF(Table2[[#This Row],[Kontraktor]]="", "Tidak Diketahui",Table2[[#This Row],[Kontraktor]])</f>
        <v>PT C</v>
      </c>
      <c r="I47" s="11">
        <f>Table245[[#This Row],[Tanggal_Selesai]]-Table245[[#This Row],[Tanggal_Mulai]]</f>
        <v>169</v>
      </c>
      <c r="J47" s="17">
        <f>Table245[[#This Row],[Anggaran]]/Table245[[#This Row],[Durasi_Proyek]]</f>
        <v>41004338.07692308</v>
      </c>
      <c r="K47" s="11">
        <f>YEAR(Table245[[#This Row],[Tanggal_Mulai]])</f>
        <v>2023</v>
      </c>
    </row>
    <row r="48" spans="1:11" ht="14.25" customHeight="1" x14ac:dyDescent="0.35">
      <c r="A48" s="8" t="s">
        <v>79</v>
      </c>
      <c r="B48" s="8" t="str">
        <f>IF(Table2[[#This Row],[Jenis_Proyek]]="", "Tidak Diketahui", Table2[[#This Row],[Jenis_Proyek]])</f>
        <v>Jembatan</v>
      </c>
      <c r="C48" s="8" t="str">
        <f>IF(Table2[[#This Row],[Lokasi]]="", "Tidak Diketahui", Table2[[#This Row],[Lokasi]])</f>
        <v>Bau-Bau</v>
      </c>
      <c r="D48" s="8" t="str">
        <f>IF(Table2[[#This Row],[Nama_Proyek]]="", "Tidak Diketahui", Table2[[#This Row],[Nama_Proyek]])</f>
        <v>Perbaikan Jembatan Bau-Bau</v>
      </c>
      <c r="E48" s="14">
        <v>44944</v>
      </c>
      <c r="F48" s="14">
        <v>45284</v>
      </c>
      <c r="G48" s="10">
        <v>1567712170</v>
      </c>
      <c r="H48" s="8" t="str">
        <f>IF(Table2[[#This Row],[Kontraktor]]="", "Tidak Diketahui",Table2[[#This Row],[Kontraktor]])</f>
        <v>PT. Yuniar Hakim Tbk</v>
      </c>
      <c r="I48" s="11">
        <f>Table245[[#This Row],[Tanggal_Selesai]]-Table245[[#This Row],[Tanggal_Mulai]]</f>
        <v>340</v>
      </c>
      <c r="J48" s="17">
        <f>Table245[[#This Row],[Anggaran]]/Table245[[#This Row],[Durasi_Proyek]]</f>
        <v>4610918.1470588231</v>
      </c>
      <c r="K48" s="11">
        <f>YEAR(Table245[[#This Row],[Tanggal_Mulai]])</f>
        <v>2023</v>
      </c>
    </row>
    <row r="49" spans="1:11" ht="14.25" customHeight="1" x14ac:dyDescent="0.35">
      <c r="A49" s="8" t="s">
        <v>81</v>
      </c>
      <c r="B49" s="8" t="str">
        <f>IF(Table2[[#This Row],[Jenis_Proyek]]="", "Tidak Diketahui", Table2[[#This Row],[Jenis_Proyek]])</f>
        <v>Jembatan</v>
      </c>
      <c r="C49" s="8" t="str">
        <f>IF(Table2[[#This Row],[Lokasi]]="", "Tidak Diketahui", Table2[[#This Row],[Lokasi]])</f>
        <v>Jakarta</v>
      </c>
      <c r="D49" s="8" t="str">
        <f>IF(Table2[[#This Row],[Nama_Proyek]]="", "Tidak Diketahui", Table2[[#This Row],[Nama_Proyek]])</f>
        <v>Pembuatan Jembatan Jakarta</v>
      </c>
      <c r="E49" s="14">
        <v>44945</v>
      </c>
      <c r="F49" s="14">
        <v>45037</v>
      </c>
      <c r="G49" s="10">
        <v>3020860458</v>
      </c>
      <c r="H49" s="8" t="str">
        <f>IF(Table2[[#This Row],[Kontraktor]]="", "Tidak Diketahui",Table2[[#This Row],[Kontraktor]])</f>
        <v>PT. Yuniar Hakim Tbk</v>
      </c>
      <c r="I49" s="11">
        <f>Table245[[#This Row],[Tanggal_Selesai]]-Table245[[#This Row],[Tanggal_Mulai]]</f>
        <v>92</v>
      </c>
      <c r="J49" s="17">
        <f>Table245[[#This Row],[Anggaran]]/Table245[[#This Row],[Durasi_Proyek]]</f>
        <v>32835439.760869566</v>
      </c>
      <c r="K49" s="11">
        <f>YEAR(Table245[[#This Row],[Tanggal_Mulai]])</f>
        <v>2023</v>
      </c>
    </row>
    <row r="50" spans="1:11" ht="14.25" customHeight="1" x14ac:dyDescent="0.35">
      <c r="A50" s="8" t="s">
        <v>82</v>
      </c>
      <c r="B50" s="8" t="str">
        <f>IF(Table2[[#This Row],[Jenis_Proyek]]="", "Tidak Diketahui", Table2[[#This Row],[Jenis_Proyek]])</f>
        <v>Drainase</v>
      </c>
      <c r="C50" s="8" t="str">
        <f>IF(Table2[[#This Row],[Lokasi]]="", "Tidak Diketahui", Table2[[#This Row],[Lokasi]])</f>
        <v>Medan</v>
      </c>
      <c r="D50" s="8" t="str">
        <f>IF(Table2[[#This Row],[Nama_Proyek]]="", "Tidak Diketahui", Table2[[#This Row],[Nama_Proyek]])</f>
        <v>Perbaikan Drainase Medan</v>
      </c>
      <c r="E50" s="14">
        <v>44946</v>
      </c>
      <c r="F50" s="14">
        <v>45105</v>
      </c>
      <c r="G50" s="10">
        <v>443234047</v>
      </c>
      <c r="H50" s="8" t="str">
        <f>IF(Table2[[#This Row],[Kontraktor]]="", "Tidak Diketahui",Table2[[#This Row],[Kontraktor]])</f>
        <v>PT. Lailasari Hariyah (Persero) Tbk</v>
      </c>
      <c r="I50" s="11">
        <f>Table245[[#This Row],[Tanggal_Selesai]]-Table245[[#This Row],[Tanggal_Mulai]]</f>
        <v>159</v>
      </c>
      <c r="J50" s="17">
        <f>Table245[[#This Row],[Anggaran]]/Table245[[#This Row],[Durasi_Proyek]]</f>
        <v>2787635.5157232704</v>
      </c>
      <c r="K50" s="11">
        <f>YEAR(Table245[[#This Row],[Tanggal_Mulai]])</f>
        <v>2023</v>
      </c>
    </row>
    <row r="51" spans="1:11" ht="14.25" customHeight="1" x14ac:dyDescent="0.35">
      <c r="A51" s="8" t="s">
        <v>84</v>
      </c>
      <c r="B51" s="8" t="str">
        <f>IF(Table2[[#This Row],[Jenis_Proyek]]="", "Tidak Diketahui", Table2[[#This Row],[Jenis_Proyek]])</f>
        <v>Flyover</v>
      </c>
      <c r="C51" s="8" t="str">
        <f>IF(Table2[[#This Row],[Lokasi]]="", "Tidak Diketahui", Table2[[#This Row],[Lokasi]])</f>
        <v>Makassar</v>
      </c>
      <c r="D51" s="8" t="str">
        <f>IF(Table2[[#This Row],[Nama_Proyek]]="", "Tidak Diketahui", Table2[[#This Row],[Nama_Proyek]])</f>
        <v>Pembuatan Flyover Makassar</v>
      </c>
      <c r="E51" s="14">
        <v>44947</v>
      </c>
      <c r="F51" s="14">
        <v>45177</v>
      </c>
      <c r="G51" s="10">
        <v>4609627000</v>
      </c>
      <c r="H51" s="8" t="str">
        <f>IF(Table2[[#This Row],[Kontraktor]]="", "Tidak Diketahui",Table2[[#This Row],[Kontraktor]])</f>
        <v>PT C</v>
      </c>
      <c r="I51" s="11">
        <f>Table245[[#This Row],[Tanggal_Selesai]]-Table245[[#This Row],[Tanggal_Mulai]]</f>
        <v>230</v>
      </c>
      <c r="J51" s="17">
        <f>Table245[[#This Row],[Anggaran]]/Table245[[#This Row],[Durasi_Proyek]]</f>
        <v>20041856.521739129</v>
      </c>
      <c r="K51" s="11">
        <f>YEAR(Table245[[#This Row],[Tanggal_Mulai]])</f>
        <v>2023</v>
      </c>
    </row>
    <row r="52" spans="1:11" ht="14.25" customHeight="1" x14ac:dyDescent="0.35">
      <c r="A52" s="8" t="s">
        <v>86</v>
      </c>
      <c r="B52" s="8" t="str">
        <f>IF(Table2[[#This Row],[Jenis_Proyek]]="", "Tidak Diketahui", Table2[[#This Row],[Jenis_Proyek]])</f>
        <v>Jalan Raya</v>
      </c>
      <c r="C52" s="8" t="str">
        <f>IF(Table2[[#This Row],[Lokasi]]="", "Tidak Diketahui", Table2[[#This Row],[Lokasi]])</f>
        <v>Bandung</v>
      </c>
      <c r="D52" s="8" t="str">
        <f>IF(Table2[[#This Row],[Nama_Proyek]]="", "Tidak Diketahui", Table2[[#This Row],[Nama_Proyek]])</f>
        <v>Perbaikan Jalan Raya Bandung</v>
      </c>
      <c r="E52" s="14">
        <v>44948</v>
      </c>
      <c r="F52" s="14">
        <v>45054</v>
      </c>
      <c r="G52" s="10">
        <v>995204213</v>
      </c>
      <c r="H52" s="8" t="str">
        <f>IF(Table2[[#This Row],[Kontraktor]]="", "Tidak Diketahui",Table2[[#This Row],[Kontraktor]])</f>
        <v>PT. Yuniar Hakim Tbk</v>
      </c>
      <c r="I52" s="11">
        <f>Table245[[#This Row],[Tanggal_Selesai]]-Table245[[#This Row],[Tanggal_Mulai]]</f>
        <v>106</v>
      </c>
      <c r="J52" s="17">
        <f>Table245[[#This Row],[Anggaran]]/Table245[[#This Row],[Durasi_Proyek]]</f>
        <v>9388718.9905660376</v>
      </c>
      <c r="K52" s="11">
        <f>YEAR(Table245[[#This Row],[Tanggal_Mulai]])</f>
        <v>2023</v>
      </c>
    </row>
    <row r="53" spans="1:11" ht="14.25" customHeight="1" x14ac:dyDescent="0.35">
      <c r="A53" s="8" t="s">
        <v>88</v>
      </c>
      <c r="B53" s="8" t="str">
        <f>IF(Table2[[#This Row],[Jenis_Proyek]]="", "Tidak Diketahui", Table2[[#This Row],[Jenis_Proyek]])</f>
        <v>Flyover</v>
      </c>
      <c r="C53" s="8" t="str">
        <f>IF(Table2[[#This Row],[Lokasi]]="", "Tidak Diketahui", Table2[[#This Row],[Lokasi]])</f>
        <v>Medan</v>
      </c>
      <c r="D53" s="8" t="str">
        <f>IF(Table2[[#This Row],[Nama_Proyek]]="", "Tidak Diketahui", Table2[[#This Row],[Nama_Proyek]])</f>
        <v>Perbaikan Flyover Medan</v>
      </c>
      <c r="E53" s="14">
        <v>44949</v>
      </c>
      <c r="F53" s="14">
        <v>45041</v>
      </c>
      <c r="G53" s="10">
        <v>3867579335</v>
      </c>
      <c r="H53" s="8" t="str">
        <f>IF(Table2[[#This Row],[Kontraktor]]="", "Tidak Diketahui",Table2[[#This Row],[Kontraktor]])</f>
        <v>PT D</v>
      </c>
      <c r="I53" s="11">
        <f>Table245[[#This Row],[Tanggal_Selesai]]-Table245[[#This Row],[Tanggal_Mulai]]</f>
        <v>92</v>
      </c>
      <c r="J53" s="17">
        <f>Table245[[#This Row],[Anggaran]]/Table245[[#This Row],[Durasi_Proyek]]</f>
        <v>42038905.815217391</v>
      </c>
      <c r="K53" s="11">
        <f>YEAR(Table245[[#This Row],[Tanggal_Mulai]])</f>
        <v>2023</v>
      </c>
    </row>
    <row r="54" spans="1:11" ht="14.25" customHeight="1" x14ac:dyDescent="0.35">
      <c r="A54" s="8" t="s">
        <v>89</v>
      </c>
      <c r="B54" s="8" t="str">
        <f>IF(Table2[[#This Row],[Jenis_Proyek]]="", "Tidak Diketahui", Table2[[#This Row],[Jenis_Proyek]])</f>
        <v>Gedung</v>
      </c>
      <c r="C54" s="8" t="str">
        <f>IF(Table2[[#This Row],[Lokasi]]="", "Tidak Diketahui", Table2[[#This Row],[Lokasi]])</f>
        <v>Depok</v>
      </c>
      <c r="D54" s="8" t="str">
        <f>IF(Table2[[#This Row],[Nama_Proyek]]="", "Tidak Diketahui", Table2[[#This Row],[Nama_Proyek]])</f>
        <v>Perbaikan Gedung Pemerintah Depok</v>
      </c>
      <c r="E54" s="14">
        <v>44949</v>
      </c>
      <c r="F54" s="14">
        <v>44986</v>
      </c>
      <c r="G54" s="10">
        <v>8428412586</v>
      </c>
      <c r="H54" s="8" t="str">
        <f>IF(Table2[[#This Row],[Kontraktor]]="", "Tidak Diketahui",Table2[[#This Row],[Kontraktor]])</f>
        <v>PT. Lailasari Hariyah (Persero) Tbk</v>
      </c>
      <c r="I54" s="11">
        <f>Table245[[#This Row],[Tanggal_Selesai]]-Table245[[#This Row],[Tanggal_Mulai]]</f>
        <v>37</v>
      </c>
      <c r="J54" s="17">
        <f>Table245[[#This Row],[Anggaran]]/Table245[[#This Row],[Durasi_Proyek]]</f>
        <v>227794934.75675675</v>
      </c>
      <c r="K54" s="11">
        <f>YEAR(Table245[[#This Row],[Tanggal_Mulai]])</f>
        <v>2023</v>
      </c>
    </row>
    <row r="55" spans="1:11" ht="14.25" customHeight="1" x14ac:dyDescent="0.35">
      <c r="A55" s="8" t="s">
        <v>90</v>
      </c>
      <c r="B55" s="8" t="str">
        <f>IF(Table2[[#This Row],[Jenis_Proyek]]="", "Tidak Diketahui", Table2[[#This Row],[Jenis_Proyek]])</f>
        <v>Flyover</v>
      </c>
      <c r="C55" s="8" t="str">
        <f>IF(Table2[[#This Row],[Lokasi]]="", "Tidak Diketahui", Table2[[#This Row],[Lokasi]])</f>
        <v>Tomohon</v>
      </c>
      <c r="D55" s="8" t="str">
        <f>IF(Table2[[#This Row],[Nama_Proyek]]="", "Tidak Diketahui", Table2[[#This Row],[Nama_Proyek]])</f>
        <v>Perbaikan Flyover Tomohon</v>
      </c>
      <c r="E55" s="14">
        <v>44950</v>
      </c>
      <c r="F55" s="14">
        <v>45078</v>
      </c>
      <c r="G55" s="10">
        <v>2004784321</v>
      </c>
      <c r="H55" s="8" t="str">
        <f>IF(Table2[[#This Row],[Kontraktor]]="", "Tidak Diketahui",Table2[[#This Row],[Kontraktor]])</f>
        <v>PT A</v>
      </c>
      <c r="I55" s="11">
        <f>Table245[[#This Row],[Tanggal_Selesai]]-Table245[[#This Row],[Tanggal_Mulai]]</f>
        <v>128</v>
      </c>
      <c r="J55" s="17">
        <f>Table245[[#This Row],[Anggaran]]/Table245[[#This Row],[Durasi_Proyek]]</f>
        <v>15662377.5078125</v>
      </c>
      <c r="K55" s="11">
        <f>YEAR(Table245[[#This Row],[Tanggal_Mulai]])</f>
        <v>2023</v>
      </c>
    </row>
    <row r="56" spans="1:11" ht="14.25" customHeight="1" x14ac:dyDescent="0.35">
      <c r="A56" s="8" t="s">
        <v>92</v>
      </c>
      <c r="B56" s="8" t="str">
        <f>IF(Table2[[#This Row],[Jenis_Proyek]]="", "Tidak Diketahui", Table2[[#This Row],[Jenis_Proyek]])</f>
        <v>Jembatan</v>
      </c>
      <c r="C56" s="8" t="str">
        <f>IF(Table2[[#This Row],[Lokasi]]="", "Tidak Diketahui", Table2[[#This Row],[Lokasi]])</f>
        <v>Surabaya</v>
      </c>
      <c r="D56" s="8" t="str">
        <f>IF(Table2[[#This Row],[Nama_Proyek]]="", "Tidak Diketahui", Table2[[#This Row],[Nama_Proyek]])</f>
        <v>Perbaikan Jembatan Surabaya</v>
      </c>
      <c r="E56" s="14">
        <v>44950</v>
      </c>
      <c r="F56" s="14">
        <v>45023</v>
      </c>
      <c r="G56" s="10">
        <v>2364631347</v>
      </c>
      <c r="H56" s="8" t="str">
        <f>IF(Table2[[#This Row],[Kontraktor]]="", "Tidak Diketahui",Table2[[#This Row],[Kontraktor]])</f>
        <v>CV Sihombing</v>
      </c>
      <c r="I56" s="11">
        <f>Table245[[#This Row],[Tanggal_Selesai]]-Table245[[#This Row],[Tanggal_Mulai]]</f>
        <v>73</v>
      </c>
      <c r="J56" s="17">
        <f>Table245[[#This Row],[Anggaran]]/Table245[[#This Row],[Durasi_Proyek]]</f>
        <v>32392210.232876711</v>
      </c>
      <c r="K56" s="11">
        <f>YEAR(Table245[[#This Row],[Tanggal_Mulai]])</f>
        <v>2023</v>
      </c>
    </row>
    <row r="57" spans="1:11" ht="14.25" customHeight="1" x14ac:dyDescent="0.35">
      <c r="A57" s="8" t="s">
        <v>94</v>
      </c>
      <c r="B57" s="8" t="str">
        <f>IF(Table2[[#This Row],[Jenis_Proyek]]="", "Tidak Diketahui", Table2[[#This Row],[Jenis_Proyek]])</f>
        <v>Jembatan</v>
      </c>
      <c r="C57" s="8" t="str">
        <f>IF(Table2[[#This Row],[Lokasi]]="", "Tidak Diketahui", Table2[[#This Row],[Lokasi]])</f>
        <v>Bau-Bau</v>
      </c>
      <c r="D57" s="8" t="str">
        <f>IF(Table2[[#This Row],[Nama_Proyek]]="", "Tidak Diketahui", Table2[[#This Row],[Nama_Proyek]])</f>
        <v>Perbaikan Jembatan Bau-Bau</v>
      </c>
      <c r="E57" s="14">
        <v>44951</v>
      </c>
      <c r="F57" s="14">
        <v>45187</v>
      </c>
      <c r="G57" s="10">
        <v>7177546505</v>
      </c>
      <c r="H57" s="8" t="str">
        <f>IF(Table2[[#This Row],[Kontraktor]]="", "Tidak Diketahui",Table2[[#This Row],[Kontraktor]])</f>
        <v>PT A</v>
      </c>
      <c r="I57" s="11">
        <f>Table245[[#This Row],[Tanggal_Selesai]]-Table245[[#This Row],[Tanggal_Mulai]]</f>
        <v>236</v>
      </c>
      <c r="J57" s="17">
        <f>Table245[[#This Row],[Anggaran]]/Table245[[#This Row],[Durasi_Proyek]]</f>
        <v>30413332.648305085</v>
      </c>
      <c r="K57" s="11">
        <f>YEAR(Table245[[#This Row],[Tanggal_Mulai]])</f>
        <v>2023</v>
      </c>
    </row>
    <row r="58" spans="1:11" ht="14.25" customHeight="1" x14ac:dyDescent="0.35">
      <c r="A58" s="8" t="s">
        <v>96</v>
      </c>
      <c r="B58" s="8" t="str">
        <f>IF(Table2[[#This Row],[Jenis_Proyek]]="", "Tidak Diketahui", Table2[[#This Row],[Jenis_Proyek]])</f>
        <v>Drainase</v>
      </c>
      <c r="C58" s="8" t="str">
        <f>IF(Table2[[#This Row],[Lokasi]]="", "Tidak Diketahui", Table2[[#This Row],[Lokasi]])</f>
        <v>Bau-Bau</v>
      </c>
      <c r="D58" s="8" t="str">
        <f>IF(Table2[[#This Row],[Nama_Proyek]]="", "Tidak Diketahui", Table2[[#This Row],[Nama_Proyek]])</f>
        <v>Perbaikan Drainase Bau-Bau</v>
      </c>
      <c r="E58" s="14">
        <v>44951</v>
      </c>
      <c r="F58" s="14">
        <v>45262</v>
      </c>
      <c r="G58" s="10">
        <v>420827734</v>
      </c>
      <c r="H58" s="8" t="str">
        <f>IF(Table2[[#This Row],[Kontraktor]]="", "Tidak Diketahui",Table2[[#This Row],[Kontraktor]])</f>
        <v>PT B</v>
      </c>
      <c r="I58" s="11">
        <f>Table245[[#This Row],[Tanggal_Selesai]]-Table245[[#This Row],[Tanggal_Mulai]]</f>
        <v>311</v>
      </c>
      <c r="J58" s="17">
        <f>Table245[[#This Row],[Anggaran]]/Table245[[#This Row],[Durasi_Proyek]]</f>
        <v>1353143.8392282957</v>
      </c>
      <c r="K58" s="11">
        <f>YEAR(Table245[[#This Row],[Tanggal_Mulai]])</f>
        <v>2023</v>
      </c>
    </row>
    <row r="59" spans="1:11" ht="14.25" customHeight="1" x14ac:dyDescent="0.35">
      <c r="A59" s="8" t="s">
        <v>98</v>
      </c>
      <c r="B59" s="8" t="str">
        <f>IF(Table2[[#This Row],[Jenis_Proyek]]="", "Tidak Diketahui", Table2[[#This Row],[Jenis_Proyek]])</f>
        <v>Drainase</v>
      </c>
      <c r="C59" s="8" t="str">
        <f>IF(Table2[[#This Row],[Lokasi]]="", "Tidak Diketahui", Table2[[#This Row],[Lokasi]])</f>
        <v>Tomohon</v>
      </c>
      <c r="D59" s="8" t="str">
        <f>IF(Table2[[#This Row],[Nama_Proyek]]="", "Tidak Diketahui", Table2[[#This Row],[Nama_Proyek]])</f>
        <v>Perbaikan Drainase Tomohon</v>
      </c>
      <c r="E59" s="14">
        <v>44954</v>
      </c>
      <c r="F59" s="14">
        <v>45186</v>
      </c>
      <c r="G59" s="10">
        <v>382266210</v>
      </c>
      <c r="H59" s="8" t="str">
        <f>IF(Table2[[#This Row],[Kontraktor]]="", "Tidak Diketahui",Table2[[#This Row],[Kontraktor]])</f>
        <v>Tidak Diketahui</v>
      </c>
      <c r="I59" s="11">
        <f>Table245[[#This Row],[Tanggal_Selesai]]-Table245[[#This Row],[Tanggal_Mulai]]</f>
        <v>232</v>
      </c>
      <c r="J59" s="17">
        <f>Table245[[#This Row],[Anggaran]]/Table245[[#This Row],[Durasi_Proyek]]</f>
        <v>1647699.1810344828</v>
      </c>
      <c r="K59" s="11">
        <f>YEAR(Table245[[#This Row],[Tanggal_Mulai]])</f>
        <v>2023</v>
      </c>
    </row>
    <row r="60" spans="1:11" ht="14.25" customHeight="1" x14ac:dyDescent="0.35">
      <c r="A60" s="8" t="s">
        <v>99</v>
      </c>
      <c r="B60" s="8" t="str">
        <f>IF(Table2[[#This Row],[Jenis_Proyek]]="", "Tidak Diketahui", Table2[[#This Row],[Jenis_Proyek]])</f>
        <v>Flyover</v>
      </c>
      <c r="C60" s="8" t="str">
        <f>IF(Table2[[#This Row],[Lokasi]]="", "Tidak Diketahui", Table2[[#This Row],[Lokasi]])</f>
        <v>Bau-Bau</v>
      </c>
      <c r="D60" s="8" t="str">
        <f>IF(Table2[[#This Row],[Nama_Proyek]]="", "Tidak Diketahui", Table2[[#This Row],[Nama_Proyek]])</f>
        <v>Pembuatan Flyover Bau-Bau</v>
      </c>
      <c r="E60" s="14">
        <v>44954</v>
      </c>
      <c r="F60" s="14">
        <v>45220</v>
      </c>
      <c r="G60" s="10">
        <v>1545241955</v>
      </c>
      <c r="H60" s="8" t="str">
        <f>IF(Table2[[#This Row],[Kontraktor]]="", "Tidak Diketahui",Table2[[#This Row],[Kontraktor]])</f>
        <v>CV Sihombing</v>
      </c>
      <c r="I60" s="11">
        <f>Table245[[#This Row],[Tanggal_Selesai]]-Table245[[#This Row],[Tanggal_Mulai]]</f>
        <v>266</v>
      </c>
      <c r="J60" s="17">
        <f>Table245[[#This Row],[Anggaran]]/Table245[[#This Row],[Durasi_Proyek]]</f>
        <v>5809180.2819548873</v>
      </c>
      <c r="K60" s="11">
        <f>YEAR(Table245[[#This Row],[Tanggal_Mulai]])</f>
        <v>2023</v>
      </c>
    </row>
    <row r="61" spans="1:11" ht="14.25" customHeight="1" x14ac:dyDescent="0.35">
      <c r="A61" s="8" t="s">
        <v>100</v>
      </c>
      <c r="B61" s="8" t="str">
        <f>IF(Table2[[#This Row],[Jenis_Proyek]]="", "Tidak Diketahui", Table2[[#This Row],[Jenis_Proyek]])</f>
        <v>Gedung</v>
      </c>
      <c r="C61" s="8" t="str">
        <f>IF(Table2[[#This Row],[Lokasi]]="", "Tidak Diketahui", Table2[[#This Row],[Lokasi]])</f>
        <v>Medan</v>
      </c>
      <c r="D61" s="8" t="str">
        <f>IF(Table2[[#This Row],[Nama_Proyek]]="", "Tidak Diketahui", Table2[[#This Row],[Nama_Proyek]])</f>
        <v>Perbaikan Gedung Pemerintah Medan</v>
      </c>
      <c r="E61" s="14">
        <v>44954</v>
      </c>
      <c r="F61" s="14">
        <v>45158</v>
      </c>
      <c r="G61" s="10">
        <v>6831252497</v>
      </c>
      <c r="H61" s="8" t="str">
        <f>IF(Table2[[#This Row],[Kontraktor]]="", "Tidak Diketahui",Table2[[#This Row],[Kontraktor]])</f>
        <v>PT A</v>
      </c>
      <c r="I61" s="11">
        <f>Table245[[#This Row],[Tanggal_Selesai]]-Table245[[#This Row],[Tanggal_Mulai]]</f>
        <v>204</v>
      </c>
      <c r="J61" s="17">
        <f>Table245[[#This Row],[Anggaran]]/Table245[[#This Row],[Durasi_Proyek]]</f>
        <v>33486531.848039217</v>
      </c>
      <c r="K61" s="11">
        <f>YEAR(Table245[[#This Row],[Tanggal_Mulai]])</f>
        <v>2023</v>
      </c>
    </row>
    <row r="62" spans="1:11" ht="14.25" customHeight="1" x14ac:dyDescent="0.35">
      <c r="A62" s="8" t="s">
        <v>102</v>
      </c>
      <c r="B62" s="8" t="str">
        <f>IF(Table2[[#This Row],[Jenis_Proyek]]="", "Tidak Diketahui", Table2[[#This Row],[Jenis_Proyek]])</f>
        <v>Jembatan</v>
      </c>
      <c r="C62" s="8" t="str">
        <f>IF(Table2[[#This Row],[Lokasi]]="", "Tidak Diketahui", Table2[[#This Row],[Lokasi]])</f>
        <v>Bau-Bau</v>
      </c>
      <c r="D62" s="8" t="str">
        <f>IF(Table2[[#This Row],[Nama_Proyek]]="", "Tidak Diketahui", Table2[[#This Row],[Nama_Proyek]])</f>
        <v>Perbaikan Jembatan Bau-Bau</v>
      </c>
      <c r="E62" s="14">
        <v>44955</v>
      </c>
      <c r="F62" s="14">
        <v>45116</v>
      </c>
      <c r="G62" s="10">
        <v>3703277131</v>
      </c>
      <c r="H62" s="8" t="str">
        <f>IF(Table2[[#This Row],[Kontraktor]]="", "Tidak Diketahui",Table2[[#This Row],[Kontraktor]])</f>
        <v>Tidak Diketahui</v>
      </c>
      <c r="I62" s="11">
        <f>Table245[[#This Row],[Tanggal_Selesai]]-Table245[[#This Row],[Tanggal_Mulai]]</f>
        <v>161</v>
      </c>
      <c r="J62" s="17">
        <f>Table245[[#This Row],[Anggaran]]/Table245[[#This Row],[Durasi_Proyek]]</f>
        <v>23001721.310559005</v>
      </c>
      <c r="K62" s="11">
        <f>YEAR(Table245[[#This Row],[Tanggal_Mulai]])</f>
        <v>2023</v>
      </c>
    </row>
    <row r="63" spans="1:11" ht="14.25" customHeight="1" x14ac:dyDescent="0.35">
      <c r="A63" s="8" t="s">
        <v>103</v>
      </c>
      <c r="B63" s="8" t="str">
        <f>IF(Table2[[#This Row],[Jenis_Proyek]]="", "Tidak Diketahui", Table2[[#This Row],[Jenis_Proyek]])</f>
        <v>Flyover</v>
      </c>
      <c r="C63" s="8" t="str">
        <f>IF(Table2[[#This Row],[Lokasi]]="", "Tidak Diketahui", Table2[[#This Row],[Lokasi]])</f>
        <v>Surabaya</v>
      </c>
      <c r="D63" s="8" t="str">
        <f>IF(Table2[[#This Row],[Nama_Proyek]]="", "Tidak Diketahui", Table2[[#This Row],[Nama_Proyek]])</f>
        <v>Perbaikan Flyover Surabaya</v>
      </c>
      <c r="E63" s="14">
        <v>44958</v>
      </c>
      <c r="F63" s="14">
        <v>45158</v>
      </c>
      <c r="G63" s="10">
        <v>3678391600</v>
      </c>
      <c r="H63" s="8" t="str">
        <f>IF(Table2[[#This Row],[Kontraktor]]="", "Tidak Diketahui",Table2[[#This Row],[Kontraktor]])</f>
        <v>PT B</v>
      </c>
      <c r="I63" s="11">
        <f>Table245[[#This Row],[Tanggal_Selesai]]-Table245[[#This Row],[Tanggal_Mulai]]</f>
        <v>200</v>
      </c>
      <c r="J63" s="17">
        <f>Table245[[#This Row],[Anggaran]]/Table245[[#This Row],[Durasi_Proyek]]</f>
        <v>18391958</v>
      </c>
      <c r="K63" s="11">
        <f>YEAR(Table245[[#This Row],[Tanggal_Mulai]])</f>
        <v>2023</v>
      </c>
    </row>
    <row r="64" spans="1:11" ht="14.25" customHeight="1" x14ac:dyDescent="0.35">
      <c r="A64" s="8" t="s">
        <v>104</v>
      </c>
      <c r="B64" s="8" t="str">
        <f>IF(Table2[[#This Row],[Jenis_Proyek]]="", "Tidak Diketahui", Table2[[#This Row],[Jenis_Proyek]])</f>
        <v>Jalan Raya</v>
      </c>
      <c r="C64" s="8" t="str">
        <f>IF(Table2[[#This Row],[Lokasi]]="", "Tidak Diketahui", Table2[[#This Row],[Lokasi]])</f>
        <v>Bandung</v>
      </c>
      <c r="D64" s="8" t="str">
        <f>IF(Table2[[#This Row],[Nama_Proyek]]="", "Tidak Diketahui", Table2[[#This Row],[Nama_Proyek]])</f>
        <v>Perbaikan Jalan Raya Bandung</v>
      </c>
      <c r="E64" s="14">
        <v>44959</v>
      </c>
      <c r="F64" s="14">
        <v>45258</v>
      </c>
      <c r="G64" s="10">
        <v>888014731</v>
      </c>
      <c r="H64" s="8" t="str">
        <f>IF(Table2[[#This Row],[Kontraktor]]="", "Tidak Diketahui",Table2[[#This Row],[Kontraktor]])</f>
        <v>PT B</v>
      </c>
      <c r="I64" s="11">
        <f>Table245[[#This Row],[Tanggal_Selesai]]-Table245[[#This Row],[Tanggal_Mulai]]</f>
        <v>299</v>
      </c>
      <c r="J64" s="17">
        <f>Table245[[#This Row],[Anggaran]]/Table245[[#This Row],[Durasi_Proyek]]</f>
        <v>2969948.933110368</v>
      </c>
      <c r="K64" s="11">
        <f>YEAR(Table245[[#This Row],[Tanggal_Mulai]])</f>
        <v>2023</v>
      </c>
    </row>
    <row r="65" spans="1:11" ht="14.25" customHeight="1" x14ac:dyDescent="0.35">
      <c r="A65" s="8" t="s">
        <v>105</v>
      </c>
      <c r="B65" s="8" t="str">
        <f>IF(Table2[[#This Row],[Jenis_Proyek]]="", "Tidak Diketahui", Table2[[#This Row],[Jenis_Proyek]])</f>
        <v>Jalan Raya</v>
      </c>
      <c r="C65" s="8" t="str">
        <f>IF(Table2[[#This Row],[Lokasi]]="", "Tidak Diketahui", Table2[[#This Row],[Lokasi]])</f>
        <v>Jakarta</v>
      </c>
      <c r="D65" s="8" t="str">
        <f>IF(Table2[[#This Row],[Nama_Proyek]]="", "Tidak Diketahui", Table2[[#This Row],[Nama_Proyek]])</f>
        <v>Perbaikan Jalan Raya Jakarta</v>
      </c>
      <c r="E65" s="14">
        <v>44959</v>
      </c>
      <c r="F65" s="14">
        <v>45150</v>
      </c>
      <c r="G65" s="10">
        <v>593629020</v>
      </c>
      <c r="H65" s="8" t="str">
        <f>IF(Table2[[#This Row],[Kontraktor]]="", "Tidak Diketahui",Table2[[#This Row],[Kontraktor]])</f>
        <v>PT D</v>
      </c>
      <c r="I65" s="11">
        <f>Table245[[#This Row],[Tanggal_Selesai]]-Table245[[#This Row],[Tanggal_Mulai]]</f>
        <v>191</v>
      </c>
      <c r="J65" s="17">
        <f>Table245[[#This Row],[Anggaran]]/Table245[[#This Row],[Durasi_Proyek]]</f>
        <v>3108005.3403141364</v>
      </c>
      <c r="K65" s="11">
        <f>YEAR(Table245[[#This Row],[Tanggal_Mulai]])</f>
        <v>2023</v>
      </c>
    </row>
    <row r="66" spans="1:11" ht="14.25" customHeight="1" x14ac:dyDescent="0.35">
      <c r="A66" s="8" t="s">
        <v>106</v>
      </c>
      <c r="B66" s="8" t="str">
        <f>IF(Table2[[#This Row],[Jenis_Proyek]]="", "Tidak Diketahui", Table2[[#This Row],[Jenis_Proyek]])</f>
        <v>Jembatan</v>
      </c>
      <c r="C66" s="8" t="str">
        <f>IF(Table2[[#This Row],[Lokasi]]="", "Tidak Diketahui", Table2[[#This Row],[Lokasi]])</f>
        <v>Makassar</v>
      </c>
      <c r="D66" s="8" t="str">
        <f>IF(Table2[[#This Row],[Nama_Proyek]]="", "Tidak Diketahui", Table2[[#This Row],[Nama_Proyek]])</f>
        <v>Pembuatan Jembatan Makassar</v>
      </c>
      <c r="E66" s="14">
        <v>44959</v>
      </c>
      <c r="F66" s="14">
        <v>45167</v>
      </c>
      <c r="G66" s="10">
        <v>5835541492</v>
      </c>
      <c r="H66" s="8" t="str">
        <f>IF(Table2[[#This Row],[Kontraktor]]="", "Tidak Diketahui",Table2[[#This Row],[Kontraktor]])</f>
        <v>Tidak Diketahui</v>
      </c>
      <c r="I66" s="11">
        <f>Table245[[#This Row],[Tanggal_Selesai]]-Table245[[#This Row],[Tanggal_Mulai]]</f>
        <v>208</v>
      </c>
      <c r="J66" s="17">
        <f>Table245[[#This Row],[Anggaran]]/Table245[[#This Row],[Durasi_Proyek]]</f>
        <v>28055487.942307692</v>
      </c>
      <c r="K66" s="11">
        <f>YEAR(Table245[[#This Row],[Tanggal_Mulai]])</f>
        <v>2023</v>
      </c>
    </row>
    <row r="67" spans="1:11" ht="14.25" customHeight="1" x14ac:dyDescent="0.35">
      <c r="A67" s="8" t="s">
        <v>107</v>
      </c>
      <c r="B67" s="8" t="str">
        <f>IF(Table2[[#This Row],[Jenis_Proyek]]="", "Tidak Diketahui", Table2[[#This Row],[Jenis_Proyek]])</f>
        <v>Drainase</v>
      </c>
      <c r="C67" s="8" t="str">
        <f>IF(Table2[[#This Row],[Lokasi]]="", "Tidak Diketahui", Table2[[#This Row],[Lokasi]])</f>
        <v>Bandung</v>
      </c>
      <c r="D67" s="8" t="str">
        <f>IF(Table2[[#This Row],[Nama_Proyek]]="", "Tidak Diketahui", Table2[[#This Row],[Nama_Proyek]])</f>
        <v>Perbaikan Drainase Bandung</v>
      </c>
      <c r="E67" s="14">
        <v>44960</v>
      </c>
      <c r="F67" s="14">
        <v>45303</v>
      </c>
      <c r="G67" s="10">
        <v>213457440</v>
      </c>
      <c r="H67" s="8" t="str">
        <f>IF(Table2[[#This Row],[Kontraktor]]="", "Tidak Diketahui",Table2[[#This Row],[Kontraktor]])</f>
        <v>PT A</v>
      </c>
      <c r="I67" s="11">
        <f>Table245[[#This Row],[Tanggal_Selesai]]-Table245[[#This Row],[Tanggal_Mulai]]</f>
        <v>343</v>
      </c>
      <c r="J67" s="17">
        <f>Table245[[#This Row],[Anggaran]]/Table245[[#This Row],[Durasi_Proyek]]</f>
        <v>622324.89795918367</v>
      </c>
      <c r="K67" s="11">
        <f>YEAR(Table245[[#This Row],[Tanggal_Mulai]])</f>
        <v>2023</v>
      </c>
    </row>
    <row r="68" spans="1:11" ht="14.25" customHeight="1" x14ac:dyDescent="0.35">
      <c r="A68" s="8" t="s">
        <v>108</v>
      </c>
      <c r="B68" s="8" t="str">
        <f>IF(Table2[[#This Row],[Jenis_Proyek]]="", "Tidak Diketahui", Table2[[#This Row],[Jenis_Proyek]])</f>
        <v>Drainase</v>
      </c>
      <c r="C68" s="8" t="str">
        <f>IF(Table2[[#This Row],[Lokasi]]="", "Tidak Diketahui", Table2[[#This Row],[Lokasi]])</f>
        <v>Jakarta</v>
      </c>
      <c r="D68" s="8" t="str">
        <f>IF(Table2[[#This Row],[Nama_Proyek]]="", "Tidak Diketahui", Table2[[#This Row],[Nama_Proyek]])</f>
        <v>Perbaikan Drainase Jakarta</v>
      </c>
      <c r="E68" s="14">
        <v>44961</v>
      </c>
      <c r="F68" s="14">
        <v>45065</v>
      </c>
      <c r="G68" s="10">
        <v>327569561</v>
      </c>
      <c r="H68" s="8" t="str">
        <f>IF(Table2[[#This Row],[Kontraktor]]="", "Tidak Diketahui",Table2[[#This Row],[Kontraktor]])</f>
        <v>PT A</v>
      </c>
      <c r="I68" s="11">
        <f>Table245[[#This Row],[Tanggal_Selesai]]-Table245[[#This Row],[Tanggal_Mulai]]</f>
        <v>104</v>
      </c>
      <c r="J68" s="17">
        <f>Table245[[#This Row],[Anggaran]]/Table245[[#This Row],[Durasi_Proyek]]</f>
        <v>3149707.3173076925</v>
      </c>
      <c r="K68" s="11">
        <f>YEAR(Table245[[#This Row],[Tanggal_Mulai]])</f>
        <v>2023</v>
      </c>
    </row>
    <row r="69" spans="1:11" ht="14.25" customHeight="1" x14ac:dyDescent="0.35">
      <c r="A69" s="8" t="s">
        <v>109</v>
      </c>
      <c r="B69" s="8" t="str">
        <f>IF(Table2[[#This Row],[Jenis_Proyek]]="", "Tidak Diketahui", Table2[[#This Row],[Jenis_Proyek]])</f>
        <v>Drainase</v>
      </c>
      <c r="C69" s="8" t="str">
        <f>IF(Table2[[#This Row],[Lokasi]]="", "Tidak Diketahui", Table2[[#This Row],[Lokasi]])</f>
        <v>Jakarta</v>
      </c>
      <c r="D69" s="8" t="str">
        <f>IF(Table2[[#This Row],[Nama_Proyek]]="", "Tidak Diketahui", Table2[[#This Row],[Nama_Proyek]])</f>
        <v>Perbaikan Drainase Jakarta</v>
      </c>
      <c r="E69" s="14">
        <v>44961</v>
      </c>
      <c r="F69" s="14">
        <v>45078</v>
      </c>
      <c r="G69" s="10">
        <v>705483967</v>
      </c>
      <c r="H69" s="8" t="str">
        <f>IF(Table2[[#This Row],[Kontraktor]]="", "Tidak Diketahui",Table2[[#This Row],[Kontraktor]])</f>
        <v>CV Sihombing</v>
      </c>
      <c r="I69" s="11">
        <f>Table245[[#This Row],[Tanggal_Selesai]]-Table245[[#This Row],[Tanggal_Mulai]]</f>
        <v>117</v>
      </c>
      <c r="J69" s="17">
        <f>Table245[[#This Row],[Anggaran]]/Table245[[#This Row],[Durasi_Proyek]]</f>
        <v>6029777.495726496</v>
      </c>
      <c r="K69" s="11">
        <f>YEAR(Table245[[#This Row],[Tanggal_Mulai]])</f>
        <v>2023</v>
      </c>
    </row>
    <row r="70" spans="1:11" ht="14.25" customHeight="1" x14ac:dyDescent="0.35">
      <c r="A70" s="8" t="s">
        <v>110</v>
      </c>
      <c r="B70" s="8" t="str">
        <f>IF(Table2[[#This Row],[Jenis_Proyek]]="", "Tidak Diketahui", Table2[[#This Row],[Jenis_Proyek]])</f>
        <v>Jembatan</v>
      </c>
      <c r="C70" s="8" t="str">
        <f>IF(Table2[[#This Row],[Lokasi]]="", "Tidak Diketahui", Table2[[#This Row],[Lokasi]])</f>
        <v>Makassar</v>
      </c>
      <c r="D70" s="8" t="str">
        <f>IF(Table2[[#This Row],[Nama_Proyek]]="", "Tidak Diketahui", Table2[[#This Row],[Nama_Proyek]])</f>
        <v>Perbaikan Jembatan Makassar</v>
      </c>
      <c r="E70" s="14">
        <v>44963</v>
      </c>
      <c r="F70" s="14">
        <v>45048</v>
      </c>
      <c r="G70" s="10">
        <v>3447782131</v>
      </c>
      <c r="H70" s="8" t="str">
        <f>IF(Table2[[#This Row],[Kontraktor]]="", "Tidak Diketahui",Table2[[#This Row],[Kontraktor]])</f>
        <v>PT D</v>
      </c>
      <c r="I70" s="11">
        <f>Table245[[#This Row],[Tanggal_Selesai]]-Table245[[#This Row],[Tanggal_Mulai]]</f>
        <v>85</v>
      </c>
      <c r="J70" s="17">
        <f>Table245[[#This Row],[Anggaran]]/Table245[[#This Row],[Durasi_Proyek]]</f>
        <v>40562142.717647061</v>
      </c>
      <c r="K70" s="11">
        <f>YEAR(Table245[[#This Row],[Tanggal_Mulai]])</f>
        <v>2023</v>
      </c>
    </row>
    <row r="71" spans="1:11" ht="14.25" customHeight="1" x14ac:dyDescent="0.35">
      <c r="A71" s="8" t="s">
        <v>112</v>
      </c>
      <c r="B71" s="8" t="str">
        <f>IF(Table2[[#This Row],[Jenis_Proyek]]="", "Tidak Diketahui", Table2[[#This Row],[Jenis_Proyek]])</f>
        <v>Flyover</v>
      </c>
      <c r="C71" s="8" t="str">
        <f>IF(Table2[[#This Row],[Lokasi]]="", "Tidak Diketahui", Table2[[#This Row],[Lokasi]])</f>
        <v>Depok</v>
      </c>
      <c r="D71" s="8" t="str">
        <f>IF(Table2[[#This Row],[Nama_Proyek]]="", "Tidak Diketahui", Table2[[#This Row],[Nama_Proyek]])</f>
        <v>Pembuatan Flyover Depok</v>
      </c>
      <c r="E71" s="14">
        <v>44963</v>
      </c>
      <c r="F71" s="14">
        <v>45313</v>
      </c>
      <c r="G71" s="10">
        <v>2635808219</v>
      </c>
      <c r="H71" s="8" t="str">
        <f>IF(Table2[[#This Row],[Kontraktor]]="", "Tidak Diketahui",Table2[[#This Row],[Kontraktor]])</f>
        <v>PT B</v>
      </c>
      <c r="I71" s="11">
        <f>Table245[[#This Row],[Tanggal_Selesai]]-Table245[[#This Row],[Tanggal_Mulai]]</f>
        <v>350</v>
      </c>
      <c r="J71" s="17">
        <f>Table245[[#This Row],[Anggaran]]/Table245[[#This Row],[Durasi_Proyek]]</f>
        <v>7530880.6257142853</v>
      </c>
      <c r="K71" s="11">
        <f>YEAR(Table245[[#This Row],[Tanggal_Mulai]])</f>
        <v>2023</v>
      </c>
    </row>
    <row r="72" spans="1:11" ht="14.25" customHeight="1" x14ac:dyDescent="0.35">
      <c r="A72" s="8" t="s">
        <v>113</v>
      </c>
      <c r="B72" s="8" t="str">
        <f>IF(Table2[[#This Row],[Jenis_Proyek]]="", "Tidak Diketahui", Table2[[#This Row],[Jenis_Proyek]])</f>
        <v>Flyover</v>
      </c>
      <c r="C72" s="8" t="str">
        <f>IF(Table2[[#This Row],[Lokasi]]="", "Tidak Diketahui", Table2[[#This Row],[Lokasi]])</f>
        <v>Surabaya</v>
      </c>
      <c r="D72" s="8" t="str">
        <f>IF(Table2[[#This Row],[Nama_Proyek]]="", "Tidak Diketahui", Table2[[#This Row],[Nama_Proyek]])</f>
        <v>Pembuatan Flyover Surabaya</v>
      </c>
      <c r="E72" s="14">
        <v>44965</v>
      </c>
      <c r="F72" s="14">
        <v>45267</v>
      </c>
      <c r="G72" s="10">
        <v>2011712412</v>
      </c>
      <c r="H72" s="8" t="str">
        <f>IF(Table2[[#This Row],[Kontraktor]]="", "Tidak Diketahui",Table2[[#This Row],[Kontraktor]])</f>
        <v>PT D</v>
      </c>
      <c r="I72" s="11">
        <f>Table245[[#This Row],[Tanggal_Selesai]]-Table245[[#This Row],[Tanggal_Mulai]]</f>
        <v>302</v>
      </c>
      <c r="J72" s="17">
        <f>Table245[[#This Row],[Anggaran]]/Table245[[#This Row],[Durasi_Proyek]]</f>
        <v>6661299.3774834434</v>
      </c>
      <c r="K72" s="11">
        <f>YEAR(Table245[[#This Row],[Tanggal_Mulai]])</f>
        <v>2023</v>
      </c>
    </row>
    <row r="73" spans="1:11" ht="14.25" customHeight="1" x14ac:dyDescent="0.35">
      <c r="A73" s="8" t="s">
        <v>114</v>
      </c>
      <c r="B73" s="8" t="str">
        <f>IF(Table2[[#This Row],[Jenis_Proyek]]="", "Tidak Diketahui", Table2[[#This Row],[Jenis_Proyek]])</f>
        <v>Flyover</v>
      </c>
      <c r="C73" s="8" t="str">
        <f>IF(Table2[[#This Row],[Lokasi]]="", "Tidak Diketahui", Table2[[#This Row],[Lokasi]])</f>
        <v>Jakarta</v>
      </c>
      <c r="D73" s="8" t="str">
        <f>IF(Table2[[#This Row],[Nama_Proyek]]="", "Tidak Diketahui", Table2[[#This Row],[Nama_Proyek]])</f>
        <v>Pembuatan Flyover Jakarta</v>
      </c>
      <c r="E73" s="14">
        <v>44965</v>
      </c>
      <c r="F73" s="14">
        <v>45066</v>
      </c>
      <c r="G73" s="10">
        <v>3202495526</v>
      </c>
      <c r="H73" s="8" t="str">
        <f>IF(Table2[[#This Row],[Kontraktor]]="", "Tidak Diketahui",Table2[[#This Row],[Kontraktor]])</f>
        <v>CV Sihombing</v>
      </c>
      <c r="I73" s="11">
        <f>Table245[[#This Row],[Tanggal_Selesai]]-Table245[[#This Row],[Tanggal_Mulai]]</f>
        <v>101</v>
      </c>
      <c r="J73" s="17">
        <f>Table245[[#This Row],[Anggaran]]/Table245[[#This Row],[Durasi_Proyek]]</f>
        <v>31707876.495049506</v>
      </c>
      <c r="K73" s="11">
        <f>YEAR(Table245[[#This Row],[Tanggal_Mulai]])</f>
        <v>2023</v>
      </c>
    </row>
    <row r="74" spans="1:11" ht="14.25" customHeight="1" x14ac:dyDescent="0.35">
      <c r="A74" s="8" t="s">
        <v>115</v>
      </c>
      <c r="B74" s="8" t="str">
        <f>IF(Table2[[#This Row],[Jenis_Proyek]]="", "Tidak Diketahui", Table2[[#This Row],[Jenis_Proyek]])</f>
        <v>Flyover</v>
      </c>
      <c r="C74" s="8" t="str">
        <f>IF(Table2[[#This Row],[Lokasi]]="", "Tidak Diketahui", Table2[[#This Row],[Lokasi]])</f>
        <v>Surabaya</v>
      </c>
      <c r="D74" s="8" t="str">
        <f>IF(Table2[[#This Row],[Nama_Proyek]]="", "Tidak Diketahui", Table2[[#This Row],[Nama_Proyek]])</f>
        <v>Perbaikan Flyover Surabaya</v>
      </c>
      <c r="E74" s="14">
        <v>44967</v>
      </c>
      <c r="F74" s="14">
        <v>45260</v>
      </c>
      <c r="G74" s="10">
        <v>1655558865</v>
      </c>
      <c r="H74" s="8" t="str">
        <f>IF(Table2[[#This Row],[Kontraktor]]="", "Tidak Diketahui",Table2[[#This Row],[Kontraktor]])</f>
        <v>PT B</v>
      </c>
      <c r="I74" s="11">
        <f>Table245[[#This Row],[Tanggal_Selesai]]-Table245[[#This Row],[Tanggal_Mulai]]</f>
        <v>293</v>
      </c>
      <c r="J74" s="17">
        <f>Table245[[#This Row],[Anggaran]]/Table245[[#This Row],[Durasi_Proyek]]</f>
        <v>5650371.552901024</v>
      </c>
      <c r="K74" s="11">
        <f>YEAR(Table245[[#This Row],[Tanggal_Mulai]])</f>
        <v>2023</v>
      </c>
    </row>
    <row r="75" spans="1:11" ht="14.25" customHeight="1" x14ac:dyDescent="0.35">
      <c r="A75" s="8" t="s">
        <v>116</v>
      </c>
      <c r="B75" s="8" t="str">
        <f>IF(Table2[[#This Row],[Jenis_Proyek]]="", "Tidak Diketahui", Table2[[#This Row],[Jenis_Proyek]])</f>
        <v>Flyover</v>
      </c>
      <c r="C75" s="8" t="str">
        <f>IF(Table2[[#This Row],[Lokasi]]="", "Tidak Diketahui", Table2[[#This Row],[Lokasi]])</f>
        <v>Bandung</v>
      </c>
      <c r="D75" s="8" t="str">
        <f>IF(Table2[[#This Row],[Nama_Proyek]]="", "Tidak Diketahui", Table2[[#This Row],[Nama_Proyek]])</f>
        <v>Pembuatan Flyover Bandung</v>
      </c>
      <c r="E75" s="14">
        <v>44967</v>
      </c>
      <c r="F75" s="14">
        <v>45099</v>
      </c>
      <c r="G75" s="10">
        <v>4806787932</v>
      </c>
      <c r="H75" s="8" t="str">
        <f>IF(Table2[[#This Row],[Kontraktor]]="", "Tidak Diketahui",Table2[[#This Row],[Kontraktor]])</f>
        <v>CV Sihombing</v>
      </c>
      <c r="I75" s="11">
        <f>Table245[[#This Row],[Tanggal_Selesai]]-Table245[[#This Row],[Tanggal_Mulai]]</f>
        <v>132</v>
      </c>
      <c r="J75" s="17">
        <f>Table245[[#This Row],[Anggaran]]/Table245[[#This Row],[Durasi_Proyek]]</f>
        <v>36415060.090909094</v>
      </c>
      <c r="K75" s="11">
        <f>YEAR(Table245[[#This Row],[Tanggal_Mulai]])</f>
        <v>2023</v>
      </c>
    </row>
    <row r="76" spans="1:11" ht="14.25" customHeight="1" x14ac:dyDescent="0.35">
      <c r="A76" s="8" t="s">
        <v>117</v>
      </c>
      <c r="B76" s="8" t="str">
        <f>IF(Table2[[#This Row],[Jenis_Proyek]]="", "Tidak Diketahui", Table2[[#This Row],[Jenis_Proyek]])</f>
        <v>Jalan Raya</v>
      </c>
      <c r="C76" s="8" t="str">
        <f>IF(Table2[[#This Row],[Lokasi]]="", "Tidak Diketahui", Table2[[#This Row],[Lokasi]])</f>
        <v>Tomohon</v>
      </c>
      <c r="D76" s="8" t="str">
        <f>IF(Table2[[#This Row],[Nama_Proyek]]="", "Tidak Diketahui", Table2[[#This Row],[Nama_Proyek]])</f>
        <v>Perbaikan Jalan Raya Tomohon</v>
      </c>
      <c r="E76" s="14">
        <v>44968</v>
      </c>
      <c r="F76" s="14">
        <v>45329</v>
      </c>
      <c r="G76" s="10">
        <v>699551361</v>
      </c>
      <c r="H76" s="8" t="str">
        <f>IF(Table2[[#This Row],[Kontraktor]]="", "Tidak Diketahui",Table2[[#This Row],[Kontraktor]])</f>
        <v>PT A</v>
      </c>
      <c r="I76" s="11">
        <f>Table245[[#This Row],[Tanggal_Selesai]]-Table245[[#This Row],[Tanggal_Mulai]]</f>
        <v>361</v>
      </c>
      <c r="J76" s="17">
        <f>Table245[[#This Row],[Anggaran]]/Table245[[#This Row],[Durasi_Proyek]]</f>
        <v>1937815.4044321331</v>
      </c>
      <c r="K76" s="11">
        <f>YEAR(Table245[[#This Row],[Tanggal_Mulai]])</f>
        <v>2023</v>
      </c>
    </row>
    <row r="77" spans="1:11" ht="14.25" customHeight="1" x14ac:dyDescent="0.35">
      <c r="A77" s="8" t="s">
        <v>118</v>
      </c>
      <c r="B77" s="8" t="str">
        <f>IF(Table2[[#This Row],[Jenis_Proyek]]="", "Tidak Diketahui", Table2[[#This Row],[Jenis_Proyek]])</f>
        <v>Drainase</v>
      </c>
      <c r="C77" s="8" t="str">
        <f>IF(Table2[[#This Row],[Lokasi]]="", "Tidak Diketahui", Table2[[#This Row],[Lokasi]])</f>
        <v>Bau-Bau</v>
      </c>
      <c r="D77" s="8" t="str">
        <f>IF(Table2[[#This Row],[Nama_Proyek]]="", "Tidak Diketahui", Table2[[#This Row],[Nama_Proyek]])</f>
        <v>Perbaikan Drainase Bau-Bau</v>
      </c>
      <c r="E77" s="14">
        <v>44968</v>
      </c>
      <c r="F77" s="14">
        <v>45186</v>
      </c>
      <c r="G77" s="10">
        <v>363997813</v>
      </c>
      <c r="H77" s="8" t="str">
        <f>IF(Table2[[#This Row],[Kontraktor]]="", "Tidak Diketahui",Table2[[#This Row],[Kontraktor]])</f>
        <v>PT. Yuniar Hakim Tbk</v>
      </c>
      <c r="I77" s="11">
        <f>Table245[[#This Row],[Tanggal_Selesai]]-Table245[[#This Row],[Tanggal_Mulai]]</f>
        <v>218</v>
      </c>
      <c r="J77" s="17">
        <f>Table245[[#This Row],[Anggaran]]/Table245[[#This Row],[Durasi_Proyek]]</f>
        <v>1669714.7385321101</v>
      </c>
      <c r="K77" s="11">
        <f>YEAR(Table245[[#This Row],[Tanggal_Mulai]])</f>
        <v>2023</v>
      </c>
    </row>
    <row r="78" spans="1:11" ht="14.25" customHeight="1" x14ac:dyDescent="0.35">
      <c r="A78" s="8" t="s">
        <v>119</v>
      </c>
      <c r="B78" s="8" t="str">
        <f>IF(Table2[[#This Row],[Jenis_Proyek]]="", "Tidak Diketahui", Table2[[#This Row],[Jenis_Proyek]])</f>
        <v>Jalan Raya</v>
      </c>
      <c r="C78" s="8" t="str">
        <f>IF(Table2[[#This Row],[Lokasi]]="", "Tidak Diketahui", Table2[[#This Row],[Lokasi]])</f>
        <v>Depok</v>
      </c>
      <c r="D78" s="8" t="str">
        <f>IF(Table2[[#This Row],[Nama_Proyek]]="", "Tidak Diketahui", Table2[[#This Row],[Nama_Proyek]])</f>
        <v>Perbaikan Jalan Raya Depok</v>
      </c>
      <c r="E78" s="14">
        <v>44969</v>
      </c>
      <c r="F78" s="14">
        <v>45123</v>
      </c>
      <c r="G78" s="10">
        <v>926922328</v>
      </c>
      <c r="H78" s="8" t="str">
        <f>IF(Table2[[#This Row],[Kontraktor]]="", "Tidak Diketahui",Table2[[#This Row],[Kontraktor]])</f>
        <v>PT C</v>
      </c>
      <c r="I78" s="11">
        <f>Table245[[#This Row],[Tanggal_Selesai]]-Table245[[#This Row],[Tanggal_Mulai]]</f>
        <v>154</v>
      </c>
      <c r="J78" s="17">
        <f>Table245[[#This Row],[Anggaran]]/Table245[[#This Row],[Durasi_Proyek]]</f>
        <v>6018976.1558441557</v>
      </c>
      <c r="K78" s="11">
        <f>YEAR(Table245[[#This Row],[Tanggal_Mulai]])</f>
        <v>2023</v>
      </c>
    </row>
    <row r="79" spans="1:11" ht="14.25" customHeight="1" x14ac:dyDescent="0.35">
      <c r="A79" s="8" t="s">
        <v>120</v>
      </c>
      <c r="B79" s="8" t="str">
        <f>IF(Table2[[#This Row],[Jenis_Proyek]]="", "Tidak Diketahui", Table2[[#This Row],[Jenis_Proyek]])</f>
        <v>Tidak Diketahui</v>
      </c>
      <c r="C79" s="8" t="str">
        <f>IF(Table2[[#This Row],[Lokasi]]="", "Tidak Diketahui", Table2[[#This Row],[Lokasi]])</f>
        <v>Tidak Diketahui</v>
      </c>
      <c r="D79" s="8" t="str">
        <f>IF(Table2[[#This Row],[Nama_Proyek]]="", "Tidak Diketahui", Table2[[#This Row],[Nama_Proyek]])</f>
        <v>Tidak Diketahui</v>
      </c>
      <c r="E79" s="14">
        <v>44969</v>
      </c>
      <c r="F79" s="14">
        <v>45030</v>
      </c>
      <c r="G79" s="10">
        <v>314690070</v>
      </c>
      <c r="H79" s="8" t="str">
        <f>IF(Table2[[#This Row],[Kontraktor]]="", "Tidak Diketahui",Table2[[#This Row],[Kontraktor]])</f>
        <v>CV Sihombing</v>
      </c>
      <c r="I79" s="11">
        <f>Table245[[#This Row],[Tanggal_Selesai]]-Table245[[#This Row],[Tanggal_Mulai]]</f>
        <v>61</v>
      </c>
      <c r="J79" s="17">
        <f>Table245[[#This Row],[Anggaran]]/Table245[[#This Row],[Durasi_Proyek]]</f>
        <v>5158853.6065573767</v>
      </c>
      <c r="K79" s="11">
        <f>YEAR(Table245[[#This Row],[Tanggal_Mulai]])</f>
        <v>2023</v>
      </c>
    </row>
    <row r="80" spans="1:11" ht="14.25" customHeight="1" x14ac:dyDescent="0.35">
      <c r="A80" s="8" t="s">
        <v>122</v>
      </c>
      <c r="B80" s="8" t="str">
        <f>IF(Table2[[#This Row],[Jenis_Proyek]]="", "Tidak Diketahui", Table2[[#This Row],[Jenis_Proyek]])</f>
        <v>Drainase</v>
      </c>
      <c r="C80" s="8" t="str">
        <f>IF(Table2[[#This Row],[Lokasi]]="", "Tidak Diketahui", Table2[[#This Row],[Lokasi]])</f>
        <v>Surabaya</v>
      </c>
      <c r="D80" s="8" t="str">
        <f>IF(Table2[[#This Row],[Nama_Proyek]]="", "Tidak Diketahui", Table2[[#This Row],[Nama_Proyek]])</f>
        <v>Perbaikan Drainase Surabaya</v>
      </c>
      <c r="E80" s="14">
        <v>44971</v>
      </c>
      <c r="F80" s="14">
        <v>45232</v>
      </c>
      <c r="G80" s="10">
        <v>708312743</v>
      </c>
      <c r="H80" s="8" t="str">
        <f>IF(Table2[[#This Row],[Kontraktor]]="", "Tidak Diketahui",Table2[[#This Row],[Kontraktor]])</f>
        <v>PT D</v>
      </c>
      <c r="I80" s="11">
        <f>Table245[[#This Row],[Tanggal_Selesai]]-Table245[[#This Row],[Tanggal_Mulai]]</f>
        <v>261</v>
      </c>
      <c r="J80" s="17">
        <f>Table245[[#This Row],[Anggaran]]/Table245[[#This Row],[Durasi_Proyek]]</f>
        <v>2713841.9272030653</v>
      </c>
      <c r="K80" s="11">
        <f>YEAR(Table245[[#This Row],[Tanggal_Mulai]])</f>
        <v>2023</v>
      </c>
    </row>
    <row r="81" spans="1:11" ht="14.25" customHeight="1" x14ac:dyDescent="0.35">
      <c r="A81" s="8" t="s">
        <v>123</v>
      </c>
      <c r="B81" s="8" t="str">
        <f>IF(Table2[[#This Row],[Jenis_Proyek]]="", "Tidak Diketahui", Table2[[#This Row],[Jenis_Proyek]])</f>
        <v>Drainase</v>
      </c>
      <c r="C81" s="8" t="str">
        <f>IF(Table2[[#This Row],[Lokasi]]="", "Tidak Diketahui", Table2[[#This Row],[Lokasi]])</f>
        <v>Medan</v>
      </c>
      <c r="D81" s="8" t="str">
        <f>IF(Table2[[#This Row],[Nama_Proyek]]="", "Tidak Diketahui", Table2[[#This Row],[Nama_Proyek]])</f>
        <v>Perbaikan Drainase Medan</v>
      </c>
      <c r="E81" s="14">
        <v>44971</v>
      </c>
      <c r="F81" s="14">
        <v>45228</v>
      </c>
      <c r="G81" s="10">
        <v>419037113</v>
      </c>
      <c r="H81" s="8" t="str">
        <f>IF(Table2[[#This Row],[Kontraktor]]="", "Tidak Diketahui",Table2[[#This Row],[Kontraktor]])</f>
        <v>PT A</v>
      </c>
      <c r="I81" s="11">
        <f>Table245[[#This Row],[Tanggal_Selesai]]-Table245[[#This Row],[Tanggal_Mulai]]</f>
        <v>257</v>
      </c>
      <c r="J81" s="17">
        <f>Table245[[#This Row],[Anggaran]]/Table245[[#This Row],[Durasi_Proyek]]</f>
        <v>1630494.6031128406</v>
      </c>
      <c r="K81" s="11">
        <f>YEAR(Table245[[#This Row],[Tanggal_Mulai]])</f>
        <v>2023</v>
      </c>
    </row>
    <row r="82" spans="1:11" ht="14.25" customHeight="1" x14ac:dyDescent="0.35">
      <c r="A82" s="8" t="s">
        <v>124</v>
      </c>
      <c r="B82" s="8" t="str">
        <f>IF(Table2[[#This Row],[Jenis_Proyek]]="", "Tidak Diketahui", Table2[[#This Row],[Jenis_Proyek]])</f>
        <v>Drainase</v>
      </c>
      <c r="C82" s="8" t="str">
        <f>IF(Table2[[#This Row],[Lokasi]]="", "Tidak Diketahui", Table2[[#This Row],[Lokasi]])</f>
        <v>Jakarta</v>
      </c>
      <c r="D82" s="8" t="str">
        <f>IF(Table2[[#This Row],[Nama_Proyek]]="", "Tidak Diketahui", Table2[[#This Row],[Nama_Proyek]])</f>
        <v>Perbaikan Drainase Jakarta</v>
      </c>
      <c r="E82" s="14">
        <v>44972</v>
      </c>
      <c r="F82" s="14">
        <v>45130</v>
      </c>
      <c r="G82" s="10">
        <v>500841363</v>
      </c>
      <c r="H82" s="8" t="str">
        <f>IF(Table2[[#This Row],[Kontraktor]]="", "Tidak Diketahui",Table2[[#This Row],[Kontraktor]])</f>
        <v>PT. Yuniar Hakim Tbk</v>
      </c>
      <c r="I82" s="11">
        <f>Table245[[#This Row],[Tanggal_Selesai]]-Table245[[#This Row],[Tanggal_Mulai]]</f>
        <v>158</v>
      </c>
      <c r="J82" s="17">
        <f>Table245[[#This Row],[Anggaran]]/Table245[[#This Row],[Durasi_Proyek]]</f>
        <v>3169882.0443037977</v>
      </c>
      <c r="K82" s="11">
        <f>YEAR(Table245[[#This Row],[Tanggal_Mulai]])</f>
        <v>2023</v>
      </c>
    </row>
    <row r="83" spans="1:11" ht="14.25" customHeight="1" x14ac:dyDescent="0.35">
      <c r="A83" s="8" t="s">
        <v>125</v>
      </c>
      <c r="B83" s="8" t="str">
        <f>IF(Table2[[#This Row],[Jenis_Proyek]]="", "Tidak Diketahui", Table2[[#This Row],[Jenis_Proyek]])</f>
        <v>Jalan Raya</v>
      </c>
      <c r="C83" s="8" t="str">
        <f>IF(Table2[[#This Row],[Lokasi]]="", "Tidak Diketahui", Table2[[#This Row],[Lokasi]])</f>
        <v>Jakarta</v>
      </c>
      <c r="D83" s="8" t="str">
        <f>IF(Table2[[#This Row],[Nama_Proyek]]="", "Tidak Diketahui", Table2[[#This Row],[Nama_Proyek]])</f>
        <v>Perbaikan Jalan Raya Jakarta</v>
      </c>
      <c r="E83" s="14">
        <v>44973</v>
      </c>
      <c r="F83" s="14">
        <v>45289</v>
      </c>
      <c r="G83" s="10">
        <v>209304110</v>
      </c>
      <c r="H83" s="8" t="str">
        <f>IF(Table2[[#This Row],[Kontraktor]]="", "Tidak Diketahui",Table2[[#This Row],[Kontraktor]])</f>
        <v>PT. Yuniar Hakim Tbk</v>
      </c>
      <c r="I83" s="11">
        <f>Table245[[#This Row],[Tanggal_Selesai]]-Table245[[#This Row],[Tanggal_Mulai]]</f>
        <v>316</v>
      </c>
      <c r="J83" s="17">
        <f>Table245[[#This Row],[Anggaran]]/Table245[[#This Row],[Durasi_Proyek]]</f>
        <v>662354.77848101268</v>
      </c>
      <c r="K83" s="11">
        <f>YEAR(Table245[[#This Row],[Tanggal_Mulai]])</f>
        <v>2023</v>
      </c>
    </row>
    <row r="84" spans="1:11" ht="14.25" customHeight="1" x14ac:dyDescent="0.35">
      <c r="A84" s="8" t="s">
        <v>126</v>
      </c>
      <c r="B84" s="8" t="str">
        <f>IF(Table2[[#This Row],[Jenis_Proyek]]="", "Tidak Diketahui", Table2[[#This Row],[Jenis_Proyek]])</f>
        <v>Jembatan</v>
      </c>
      <c r="C84" s="8" t="str">
        <f>IF(Table2[[#This Row],[Lokasi]]="", "Tidak Diketahui", Table2[[#This Row],[Lokasi]])</f>
        <v>Medan</v>
      </c>
      <c r="D84" s="8" t="str">
        <f>IF(Table2[[#This Row],[Nama_Proyek]]="", "Tidak Diketahui", Table2[[#This Row],[Nama_Proyek]])</f>
        <v>Perbaikan Jembatan Medan</v>
      </c>
      <c r="E84" s="14">
        <v>44974</v>
      </c>
      <c r="F84" s="14">
        <v>45082</v>
      </c>
      <c r="G84" s="10">
        <v>3686469051</v>
      </c>
      <c r="H84" s="8" t="str">
        <f>IF(Table2[[#This Row],[Kontraktor]]="", "Tidak Diketahui",Table2[[#This Row],[Kontraktor]])</f>
        <v>PT. Yuniar Hakim Tbk</v>
      </c>
      <c r="I84" s="11">
        <f>Table245[[#This Row],[Tanggal_Selesai]]-Table245[[#This Row],[Tanggal_Mulai]]</f>
        <v>108</v>
      </c>
      <c r="J84" s="17">
        <f>Table245[[#This Row],[Anggaran]]/Table245[[#This Row],[Durasi_Proyek]]</f>
        <v>34133972.694444448</v>
      </c>
      <c r="K84" s="11">
        <f>YEAR(Table245[[#This Row],[Tanggal_Mulai]])</f>
        <v>2023</v>
      </c>
    </row>
    <row r="85" spans="1:11" ht="14.25" customHeight="1" x14ac:dyDescent="0.35">
      <c r="A85" s="8" t="s">
        <v>127</v>
      </c>
      <c r="B85" s="8" t="str">
        <f>IF(Table2[[#This Row],[Jenis_Proyek]]="", "Tidak Diketahui", Table2[[#This Row],[Jenis_Proyek]])</f>
        <v>Jalan Raya</v>
      </c>
      <c r="C85" s="8" t="str">
        <f>IF(Table2[[#This Row],[Lokasi]]="", "Tidak Diketahui", Table2[[#This Row],[Lokasi]])</f>
        <v>Bandung</v>
      </c>
      <c r="D85" s="8" t="str">
        <f>IF(Table2[[#This Row],[Nama_Proyek]]="", "Tidak Diketahui", Table2[[#This Row],[Nama_Proyek]])</f>
        <v>Perbaikan Jalan Raya Bandung</v>
      </c>
      <c r="E85" s="14">
        <v>44974</v>
      </c>
      <c r="F85" s="14">
        <v>45112</v>
      </c>
      <c r="G85" s="10">
        <v>353290709</v>
      </c>
      <c r="H85" s="8" t="str">
        <f>IF(Table2[[#This Row],[Kontraktor]]="", "Tidak Diketahui",Table2[[#This Row],[Kontraktor]])</f>
        <v>PT. Lailasari Hariyah (Persero) Tbk</v>
      </c>
      <c r="I85" s="11">
        <f>Table245[[#This Row],[Tanggal_Selesai]]-Table245[[#This Row],[Tanggal_Mulai]]</f>
        <v>138</v>
      </c>
      <c r="J85" s="17">
        <f>Table245[[#This Row],[Anggaran]]/Table245[[#This Row],[Durasi_Proyek]]</f>
        <v>2560077.6014492754</v>
      </c>
      <c r="K85" s="11">
        <f>YEAR(Table245[[#This Row],[Tanggal_Mulai]])</f>
        <v>2023</v>
      </c>
    </row>
    <row r="86" spans="1:11" ht="14.25" customHeight="1" x14ac:dyDescent="0.35">
      <c r="A86" s="8" t="s">
        <v>128</v>
      </c>
      <c r="B86" s="8" t="str">
        <f>IF(Table2[[#This Row],[Jenis_Proyek]]="", "Tidak Diketahui", Table2[[#This Row],[Jenis_Proyek]])</f>
        <v>Gedung</v>
      </c>
      <c r="C86" s="8" t="str">
        <f>IF(Table2[[#This Row],[Lokasi]]="", "Tidak Diketahui", Table2[[#This Row],[Lokasi]])</f>
        <v>Jakarta</v>
      </c>
      <c r="D86" s="8" t="str">
        <f>IF(Table2[[#This Row],[Nama_Proyek]]="", "Tidak Diketahui", Table2[[#This Row],[Nama_Proyek]])</f>
        <v>Perbaikan Gedung Pemerintah Jakarta</v>
      </c>
      <c r="E86" s="14">
        <v>44974</v>
      </c>
      <c r="F86" s="14">
        <v>45230</v>
      </c>
      <c r="G86" s="10">
        <v>8935017863</v>
      </c>
      <c r="H86" s="8" t="str">
        <f>IF(Table2[[#This Row],[Kontraktor]]="", "Tidak Diketahui",Table2[[#This Row],[Kontraktor]])</f>
        <v>PT A</v>
      </c>
      <c r="I86" s="11">
        <f>Table245[[#This Row],[Tanggal_Selesai]]-Table245[[#This Row],[Tanggal_Mulai]]</f>
        <v>256</v>
      </c>
      <c r="J86" s="17">
        <f>Table245[[#This Row],[Anggaran]]/Table245[[#This Row],[Durasi_Proyek]]</f>
        <v>34902413.52734375</v>
      </c>
      <c r="K86" s="11">
        <f>YEAR(Table245[[#This Row],[Tanggal_Mulai]])</f>
        <v>2023</v>
      </c>
    </row>
    <row r="87" spans="1:11" ht="14.25" customHeight="1" x14ac:dyDescent="0.35">
      <c r="A87" s="8" t="s">
        <v>129</v>
      </c>
      <c r="B87" s="8" t="str">
        <f>IF(Table2[[#This Row],[Jenis_Proyek]]="", "Tidak Diketahui", Table2[[#This Row],[Jenis_Proyek]])</f>
        <v>Jembatan</v>
      </c>
      <c r="C87" s="8" t="str">
        <f>IF(Table2[[#This Row],[Lokasi]]="", "Tidak Diketahui", Table2[[#This Row],[Lokasi]])</f>
        <v>Bau-Bau</v>
      </c>
      <c r="D87" s="8" t="str">
        <f>IF(Table2[[#This Row],[Nama_Proyek]]="", "Tidak Diketahui", Table2[[#This Row],[Nama_Proyek]])</f>
        <v>Perbaikan Jembatan Bau-Bau</v>
      </c>
      <c r="E87" s="14">
        <v>44975</v>
      </c>
      <c r="F87" s="14">
        <v>45193</v>
      </c>
      <c r="G87" s="10">
        <v>5518454926</v>
      </c>
      <c r="H87" s="8" t="str">
        <f>IF(Table2[[#This Row],[Kontraktor]]="", "Tidak Diketahui",Table2[[#This Row],[Kontraktor]])</f>
        <v>PT C</v>
      </c>
      <c r="I87" s="11">
        <f>Table245[[#This Row],[Tanggal_Selesai]]-Table245[[#This Row],[Tanggal_Mulai]]</f>
        <v>218</v>
      </c>
      <c r="J87" s="17">
        <f>Table245[[#This Row],[Anggaran]]/Table245[[#This Row],[Durasi_Proyek]]</f>
        <v>25314013.422018349</v>
      </c>
      <c r="K87" s="11">
        <f>YEAR(Table245[[#This Row],[Tanggal_Mulai]])</f>
        <v>2023</v>
      </c>
    </row>
    <row r="88" spans="1:11" ht="14.25" customHeight="1" x14ac:dyDescent="0.35">
      <c r="A88" s="8" t="s">
        <v>130</v>
      </c>
      <c r="B88" s="8" t="str">
        <f>IF(Table2[[#This Row],[Jenis_Proyek]]="", "Tidak Diketahui", Table2[[#This Row],[Jenis_Proyek]])</f>
        <v>Flyover</v>
      </c>
      <c r="C88" s="8" t="str">
        <f>IF(Table2[[#This Row],[Lokasi]]="", "Tidak Diketahui", Table2[[#This Row],[Lokasi]])</f>
        <v>Medan</v>
      </c>
      <c r="D88" s="8" t="str">
        <f>IF(Table2[[#This Row],[Nama_Proyek]]="", "Tidak Diketahui", Table2[[#This Row],[Nama_Proyek]])</f>
        <v>Perbaikan Flyover Medan</v>
      </c>
      <c r="E88" s="14">
        <v>44975</v>
      </c>
      <c r="F88" s="14">
        <v>45256</v>
      </c>
      <c r="G88" s="10">
        <v>3367495384</v>
      </c>
      <c r="H88" s="8" t="str">
        <f>IF(Table2[[#This Row],[Kontraktor]]="", "Tidak Diketahui",Table2[[#This Row],[Kontraktor]])</f>
        <v>Tidak Diketahui</v>
      </c>
      <c r="I88" s="11">
        <f>Table245[[#This Row],[Tanggal_Selesai]]-Table245[[#This Row],[Tanggal_Mulai]]</f>
        <v>281</v>
      </c>
      <c r="J88" s="17">
        <f>Table245[[#This Row],[Anggaran]]/Table245[[#This Row],[Durasi_Proyek]]</f>
        <v>11983969.338078292</v>
      </c>
      <c r="K88" s="11">
        <f>YEAR(Table245[[#This Row],[Tanggal_Mulai]])</f>
        <v>2023</v>
      </c>
    </row>
    <row r="89" spans="1:11" ht="14.25" customHeight="1" x14ac:dyDescent="0.35">
      <c r="A89" s="8" t="s">
        <v>131</v>
      </c>
      <c r="B89" s="8" t="str">
        <f>IF(Table2[[#This Row],[Jenis_Proyek]]="", "Tidak Diketahui", Table2[[#This Row],[Jenis_Proyek]])</f>
        <v>Flyover</v>
      </c>
      <c r="C89" s="8" t="str">
        <f>IF(Table2[[#This Row],[Lokasi]]="", "Tidak Diketahui", Table2[[#This Row],[Lokasi]])</f>
        <v>Bandung</v>
      </c>
      <c r="D89" s="8" t="str">
        <f>IF(Table2[[#This Row],[Nama_Proyek]]="", "Tidak Diketahui", Table2[[#This Row],[Nama_Proyek]])</f>
        <v>Perbaikan Flyover Bandung</v>
      </c>
      <c r="E89" s="14">
        <v>44976</v>
      </c>
      <c r="F89" s="14">
        <v>45307</v>
      </c>
      <c r="G89" s="10">
        <v>2293993253</v>
      </c>
      <c r="H89" s="8" t="str">
        <f>IF(Table2[[#This Row],[Kontraktor]]="", "Tidak Diketahui",Table2[[#This Row],[Kontraktor]])</f>
        <v>PT C</v>
      </c>
      <c r="I89" s="11">
        <f>Table245[[#This Row],[Tanggal_Selesai]]-Table245[[#This Row],[Tanggal_Mulai]]</f>
        <v>331</v>
      </c>
      <c r="J89" s="17">
        <f>Table245[[#This Row],[Anggaran]]/Table245[[#This Row],[Durasi_Proyek]]</f>
        <v>6930493.2114803623</v>
      </c>
      <c r="K89" s="11">
        <f>YEAR(Table245[[#This Row],[Tanggal_Mulai]])</f>
        <v>2023</v>
      </c>
    </row>
    <row r="90" spans="1:11" ht="14.25" customHeight="1" x14ac:dyDescent="0.35">
      <c r="A90" s="8" t="s">
        <v>132</v>
      </c>
      <c r="B90" s="8" t="str">
        <f>IF(Table2[[#This Row],[Jenis_Proyek]]="", "Tidak Diketahui", Table2[[#This Row],[Jenis_Proyek]])</f>
        <v>Flyover</v>
      </c>
      <c r="C90" s="8" t="str">
        <f>IF(Table2[[#This Row],[Lokasi]]="", "Tidak Diketahui", Table2[[#This Row],[Lokasi]])</f>
        <v>Makassar</v>
      </c>
      <c r="D90" s="8" t="str">
        <f>IF(Table2[[#This Row],[Nama_Proyek]]="", "Tidak Diketahui", Table2[[#This Row],[Nama_Proyek]])</f>
        <v>Pembuatan Flyover Makassar</v>
      </c>
      <c r="E90" s="14">
        <v>44976</v>
      </c>
      <c r="F90" s="14">
        <v>45318</v>
      </c>
      <c r="G90" s="10">
        <v>1790927128</v>
      </c>
      <c r="H90" s="8" t="str">
        <f>IF(Table2[[#This Row],[Kontraktor]]="", "Tidak Diketahui",Table2[[#This Row],[Kontraktor]])</f>
        <v>PT D</v>
      </c>
      <c r="I90" s="11">
        <f>Table245[[#This Row],[Tanggal_Selesai]]-Table245[[#This Row],[Tanggal_Mulai]]</f>
        <v>342</v>
      </c>
      <c r="J90" s="17">
        <f>Table245[[#This Row],[Anggaran]]/Table245[[#This Row],[Durasi_Proyek]]</f>
        <v>5236629.0292397663</v>
      </c>
      <c r="K90" s="11">
        <f>YEAR(Table245[[#This Row],[Tanggal_Mulai]])</f>
        <v>2023</v>
      </c>
    </row>
    <row r="91" spans="1:11" ht="14.25" customHeight="1" x14ac:dyDescent="0.35">
      <c r="A91" s="8" t="s">
        <v>134</v>
      </c>
      <c r="B91" s="8" t="str">
        <f>IF(Table2[[#This Row],[Jenis_Proyek]]="", "Tidak Diketahui", Table2[[#This Row],[Jenis_Proyek]])</f>
        <v>Gedung</v>
      </c>
      <c r="C91" s="8" t="str">
        <f>IF(Table2[[#This Row],[Lokasi]]="", "Tidak Diketahui", Table2[[#This Row],[Lokasi]])</f>
        <v>Jakarta</v>
      </c>
      <c r="D91" s="8" t="str">
        <f>IF(Table2[[#This Row],[Nama_Proyek]]="", "Tidak Diketahui", Table2[[#This Row],[Nama_Proyek]])</f>
        <v>Tidak Diketahui</v>
      </c>
      <c r="E91" s="14">
        <v>44977</v>
      </c>
      <c r="F91" s="14">
        <v>45285</v>
      </c>
      <c r="G91" s="10">
        <v>7432359735</v>
      </c>
      <c r="H91" s="8" t="str">
        <f>IF(Table2[[#This Row],[Kontraktor]]="", "Tidak Diketahui",Table2[[#This Row],[Kontraktor]])</f>
        <v>Tidak Diketahui</v>
      </c>
      <c r="I91" s="11">
        <f>Table245[[#This Row],[Tanggal_Selesai]]-Table245[[#This Row],[Tanggal_Mulai]]</f>
        <v>308</v>
      </c>
      <c r="J91" s="17">
        <f>Table245[[#This Row],[Anggaran]]/Table245[[#This Row],[Durasi_Proyek]]</f>
        <v>24131038.100649349</v>
      </c>
      <c r="K91" s="11">
        <f>YEAR(Table245[[#This Row],[Tanggal_Mulai]])</f>
        <v>2023</v>
      </c>
    </row>
    <row r="92" spans="1:11" ht="14.25" customHeight="1" x14ac:dyDescent="0.35">
      <c r="A92" s="8" t="s">
        <v>136</v>
      </c>
      <c r="B92" s="8" t="str">
        <f>IF(Table2[[#This Row],[Jenis_Proyek]]="", "Tidak Diketahui", Table2[[#This Row],[Jenis_Proyek]])</f>
        <v>Gedung</v>
      </c>
      <c r="C92" s="8" t="str">
        <f>IF(Table2[[#This Row],[Lokasi]]="", "Tidak Diketahui", Table2[[#This Row],[Lokasi]])</f>
        <v>Surabaya</v>
      </c>
      <c r="D92" s="8" t="str">
        <f>IF(Table2[[#This Row],[Nama_Proyek]]="", "Tidak Diketahui", Table2[[#This Row],[Nama_Proyek]])</f>
        <v>Perbaikan Gedung Pemerintah Surabaya</v>
      </c>
      <c r="E92" s="14">
        <v>44977</v>
      </c>
      <c r="F92" s="14">
        <v>45233</v>
      </c>
      <c r="G92" s="10">
        <v>7645065116</v>
      </c>
      <c r="H92" s="8" t="str">
        <f>IF(Table2[[#This Row],[Kontraktor]]="", "Tidak Diketahui",Table2[[#This Row],[Kontraktor]])</f>
        <v>Tidak Diketahui</v>
      </c>
      <c r="I92" s="11">
        <f>Table245[[#This Row],[Tanggal_Selesai]]-Table245[[#This Row],[Tanggal_Mulai]]</f>
        <v>256</v>
      </c>
      <c r="J92" s="17">
        <f>Table245[[#This Row],[Anggaran]]/Table245[[#This Row],[Durasi_Proyek]]</f>
        <v>29863535.609375</v>
      </c>
      <c r="K92" s="11">
        <f>YEAR(Table245[[#This Row],[Tanggal_Mulai]])</f>
        <v>2023</v>
      </c>
    </row>
    <row r="93" spans="1:11" ht="14.25" customHeight="1" x14ac:dyDescent="0.35">
      <c r="A93" s="8" t="s">
        <v>137</v>
      </c>
      <c r="B93" s="8" t="str">
        <f>IF(Table2[[#This Row],[Jenis_Proyek]]="", "Tidak Diketahui", Table2[[#This Row],[Jenis_Proyek]])</f>
        <v>Jembatan</v>
      </c>
      <c r="C93" s="8" t="str">
        <f>IF(Table2[[#This Row],[Lokasi]]="", "Tidak Diketahui", Table2[[#This Row],[Lokasi]])</f>
        <v>Tomohon</v>
      </c>
      <c r="D93" s="8" t="str">
        <f>IF(Table2[[#This Row],[Nama_Proyek]]="", "Tidak Diketahui", Table2[[#This Row],[Nama_Proyek]])</f>
        <v>Perbaikan Jembatan Tomohon</v>
      </c>
      <c r="E93" s="14">
        <v>44979</v>
      </c>
      <c r="F93" s="14">
        <v>45295</v>
      </c>
      <c r="G93" s="10">
        <v>5522312320</v>
      </c>
      <c r="H93" s="8" t="str">
        <f>IF(Table2[[#This Row],[Kontraktor]]="", "Tidak Diketahui",Table2[[#This Row],[Kontraktor]])</f>
        <v>PT. Yuniar Hakim Tbk</v>
      </c>
      <c r="I93" s="11">
        <f>Table245[[#This Row],[Tanggal_Selesai]]-Table245[[#This Row],[Tanggal_Mulai]]</f>
        <v>316</v>
      </c>
      <c r="J93" s="17">
        <f>Table245[[#This Row],[Anggaran]]/Table245[[#This Row],[Durasi_Proyek]]</f>
        <v>17475671.898734178</v>
      </c>
      <c r="K93" s="11">
        <f>YEAR(Table245[[#This Row],[Tanggal_Mulai]])</f>
        <v>2023</v>
      </c>
    </row>
    <row r="94" spans="1:11" ht="14.25" customHeight="1" x14ac:dyDescent="0.35">
      <c r="A94" s="8" t="s">
        <v>138</v>
      </c>
      <c r="B94" s="8" t="str">
        <f>IF(Table2[[#This Row],[Jenis_Proyek]]="", "Tidak Diketahui", Table2[[#This Row],[Jenis_Proyek]])</f>
        <v>Jalan Raya</v>
      </c>
      <c r="C94" s="8" t="str">
        <f>IF(Table2[[#This Row],[Lokasi]]="", "Tidak Diketahui", Table2[[#This Row],[Lokasi]])</f>
        <v>Medan</v>
      </c>
      <c r="D94" s="8" t="str">
        <f>IF(Table2[[#This Row],[Nama_Proyek]]="", "Tidak Diketahui", Table2[[#This Row],[Nama_Proyek]])</f>
        <v>Perbaikan Jalan Raya Medan</v>
      </c>
      <c r="E94" s="14">
        <v>44979</v>
      </c>
      <c r="F94" s="14">
        <v>45074</v>
      </c>
      <c r="G94" s="10">
        <v>934325560</v>
      </c>
      <c r="H94" s="8" t="str">
        <f>IF(Table2[[#This Row],[Kontraktor]]="", "Tidak Diketahui",Table2[[#This Row],[Kontraktor]])</f>
        <v>PT D</v>
      </c>
      <c r="I94" s="11">
        <f>Table245[[#This Row],[Tanggal_Selesai]]-Table245[[#This Row],[Tanggal_Mulai]]</f>
        <v>95</v>
      </c>
      <c r="J94" s="17">
        <f>Table245[[#This Row],[Anggaran]]/Table245[[#This Row],[Durasi_Proyek]]</f>
        <v>9835005.8947368413</v>
      </c>
      <c r="K94" s="11">
        <f>YEAR(Table245[[#This Row],[Tanggal_Mulai]])</f>
        <v>2023</v>
      </c>
    </row>
    <row r="95" spans="1:11" ht="14.25" customHeight="1" x14ac:dyDescent="0.35">
      <c r="A95" s="8" t="s">
        <v>139</v>
      </c>
      <c r="B95" s="8" t="str">
        <f>IF(Table2[[#This Row],[Jenis_Proyek]]="", "Tidak Diketahui", Table2[[#This Row],[Jenis_Proyek]])</f>
        <v>Jalan Raya</v>
      </c>
      <c r="C95" s="8" t="str">
        <f>IF(Table2[[#This Row],[Lokasi]]="", "Tidak Diketahui", Table2[[#This Row],[Lokasi]])</f>
        <v>Makassar</v>
      </c>
      <c r="D95" s="8" t="str">
        <f>IF(Table2[[#This Row],[Nama_Proyek]]="", "Tidak Diketahui", Table2[[#This Row],[Nama_Proyek]])</f>
        <v>Perbaikan Jalan Raya Makassar</v>
      </c>
      <c r="E95" s="14">
        <v>44979</v>
      </c>
      <c r="F95" s="14">
        <v>45058</v>
      </c>
      <c r="G95" s="10">
        <v>121142623</v>
      </c>
      <c r="H95" s="8" t="str">
        <f>IF(Table2[[#This Row],[Kontraktor]]="", "Tidak Diketahui",Table2[[#This Row],[Kontraktor]])</f>
        <v>CV Sihombing</v>
      </c>
      <c r="I95" s="11">
        <f>Table245[[#This Row],[Tanggal_Selesai]]-Table245[[#This Row],[Tanggal_Mulai]]</f>
        <v>79</v>
      </c>
      <c r="J95" s="17">
        <f>Table245[[#This Row],[Anggaran]]/Table245[[#This Row],[Durasi_Proyek]]</f>
        <v>1533450.9240506329</v>
      </c>
      <c r="K95" s="11">
        <f>YEAR(Table245[[#This Row],[Tanggal_Mulai]])</f>
        <v>2023</v>
      </c>
    </row>
    <row r="96" spans="1:11" ht="14.25" customHeight="1" x14ac:dyDescent="0.35">
      <c r="A96" s="8" t="s">
        <v>140</v>
      </c>
      <c r="B96" s="8" t="str">
        <f>IF(Table2[[#This Row],[Jenis_Proyek]]="", "Tidak Diketahui", Table2[[#This Row],[Jenis_Proyek]])</f>
        <v>Jembatan</v>
      </c>
      <c r="C96" s="8" t="str">
        <f>IF(Table2[[#This Row],[Lokasi]]="", "Tidak Diketahui", Table2[[#This Row],[Lokasi]])</f>
        <v>Medan</v>
      </c>
      <c r="D96" s="8" t="str">
        <f>IF(Table2[[#This Row],[Nama_Proyek]]="", "Tidak Diketahui", Table2[[#This Row],[Nama_Proyek]])</f>
        <v>Pembuatan Jembatan Medan</v>
      </c>
      <c r="E96" s="14">
        <v>44982</v>
      </c>
      <c r="F96" s="14">
        <v>45181</v>
      </c>
      <c r="G96" s="10">
        <v>1493231996</v>
      </c>
      <c r="H96" s="8" t="str">
        <f>IF(Table2[[#This Row],[Kontraktor]]="", "Tidak Diketahui",Table2[[#This Row],[Kontraktor]])</f>
        <v>PT C</v>
      </c>
      <c r="I96" s="11">
        <f>Table245[[#This Row],[Tanggal_Selesai]]-Table245[[#This Row],[Tanggal_Mulai]]</f>
        <v>199</v>
      </c>
      <c r="J96" s="17">
        <f>Table245[[#This Row],[Anggaran]]/Table245[[#This Row],[Durasi_Proyek]]</f>
        <v>7503678.3718592962</v>
      </c>
      <c r="K96" s="11">
        <f>YEAR(Table245[[#This Row],[Tanggal_Mulai]])</f>
        <v>2023</v>
      </c>
    </row>
    <row r="97" spans="1:11" ht="14.25" customHeight="1" x14ac:dyDescent="0.35">
      <c r="A97" s="8" t="s">
        <v>141</v>
      </c>
      <c r="B97" s="8" t="str">
        <f>IF(Table2[[#This Row],[Jenis_Proyek]]="", "Tidak Diketahui", Table2[[#This Row],[Jenis_Proyek]])</f>
        <v>Jembatan</v>
      </c>
      <c r="C97" s="8" t="str">
        <f>IF(Table2[[#This Row],[Lokasi]]="", "Tidak Diketahui", Table2[[#This Row],[Lokasi]])</f>
        <v>Jakarta</v>
      </c>
      <c r="D97" s="8" t="str">
        <f>IF(Table2[[#This Row],[Nama_Proyek]]="", "Tidak Diketahui", Table2[[#This Row],[Nama_Proyek]])</f>
        <v>Pembuatan Jembatan Jakarta</v>
      </c>
      <c r="E97" s="14">
        <v>44984</v>
      </c>
      <c r="F97" s="14">
        <v>45324</v>
      </c>
      <c r="G97" s="10">
        <v>5860997586</v>
      </c>
      <c r="H97" s="8" t="str">
        <f>IF(Table2[[#This Row],[Kontraktor]]="", "Tidak Diketahui",Table2[[#This Row],[Kontraktor]])</f>
        <v>PT. Lailasari Hariyah (Persero) Tbk</v>
      </c>
      <c r="I97" s="11">
        <f>Table245[[#This Row],[Tanggal_Selesai]]-Table245[[#This Row],[Tanggal_Mulai]]</f>
        <v>340</v>
      </c>
      <c r="J97" s="17">
        <f>Table245[[#This Row],[Anggaran]]/Table245[[#This Row],[Durasi_Proyek]]</f>
        <v>17238228.194117647</v>
      </c>
      <c r="K97" s="11">
        <f>YEAR(Table245[[#This Row],[Tanggal_Mulai]])</f>
        <v>2023</v>
      </c>
    </row>
    <row r="98" spans="1:11" ht="14.25" customHeight="1" x14ac:dyDescent="0.35">
      <c r="A98" s="8" t="s">
        <v>142</v>
      </c>
      <c r="B98" s="8" t="str">
        <f>IF(Table2[[#This Row],[Jenis_Proyek]]="", "Tidak Diketahui", Table2[[#This Row],[Jenis_Proyek]])</f>
        <v>Drainase</v>
      </c>
      <c r="C98" s="8" t="str">
        <f>IF(Table2[[#This Row],[Lokasi]]="", "Tidak Diketahui", Table2[[#This Row],[Lokasi]])</f>
        <v>Jakarta</v>
      </c>
      <c r="D98" s="8" t="str">
        <f>IF(Table2[[#This Row],[Nama_Proyek]]="", "Tidak Diketahui", Table2[[#This Row],[Nama_Proyek]])</f>
        <v>Perbaikan Drainase Jakarta</v>
      </c>
      <c r="E98" s="14">
        <v>44984</v>
      </c>
      <c r="F98" s="14">
        <v>45149</v>
      </c>
      <c r="G98" s="10">
        <v>551513519</v>
      </c>
      <c r="H98" s="8" t="str">
        <f>IF(Table2[[#This Row],[Kontraktor]]="", "Tidak Diketahui",Table2[[#This Row],[Kontraktor]])</f>
        <v>CV Sihombing</v>
      </c>
      <c r="I98" s="11">
        <f>Table245[[#This Row],[Tanggal_Selesai]]-Table245[[#This Row],[Tanggal_Mulai]]</f>
        <v>165</v>
      </c>
      <c r="J98" s="17">
        <f>Table245[[#This Row],[Anggaran]]/Table245[[#This Row],[Durasi_Proyek]]</f>
        <v>3342506.1757575758</v>
      </c>
      <c r="K98" s="11">
        <f>YEAR(Table245[[#This Row],[Tanggal_Mulai]])</f>
        <v>2023</v>
      </c>
    </row>
    <row r="99" spans="1:11" ht="14.25" customHeight="1" x14ac:dyDescent="0.35">
      <c r="A99" s="8" t="s">
        <v>144</v>
      </c>
      <c r="B99" s="8" t="str">
        <f>IF(Table2[[#This Row],[Jenis_Proyek]]="", "Tidak Diketahui", Table2[[#This Row],[Jenis_Proyek]])</f>
        <v>Jalan Raya</v>
      </c>
      <c r="C99" s="8" t="str">
        <f>IF(Table2[[#This Row],[Lokasi]]="", "Tidak Diketahui", Table2[[#This Row],[Lokasi]])</f>
        <v>Surabaya</v>
      </c>
      <c r="D99" s="8" t="str">
        <f>IF(Table2[[#This Row],[Nama_Proyek]]="", "Tidak Diketahui", Table2[[#This Row],[Nama_Proyek]])</f>
        <v>Perbaikan Jalan Raya Surabaya</v>
      </c>
      <c r="E99" s="14">
        <v>44985</v>
      </c>
      <c r="F99" s="14">
        <v>45186</v>
      </c>
      <c r="G99" s="10">
        <v>359783228</v>
      </c>
      <c r="H99" s="8" t="str">
        <f>IF(Table2[[#This Row],[Kontraktor]]="", "Tidak Diketahui",Table2[[#This Row],[Kontraktor]])</f>
        <v>CV Sihombing</v>
      </c>
      <c r="I99" s="11">
        <f>Table245[[#This Row],[Tanggal_Selesai]]-Table245[[#This Row],[Tanggal_Mulai]]</f>
        <v>201</v>
      </c>
      <c r="J99" s="17">
        <f>Table245[[#This Row],[Anggaran]]/Table245[[#This Row],[Durasi_Proyek]]</f>
        <v>1789966.3084577115</v>
      </c>
      <c r="K99" s="11">
        <f>YEAR(Table245[[#This Row],[Tanggal_Mulai]])</f>
        <v>2023</v>
      </c>
    </row>
    <row r="100" spans="1:11" ht="14.25" customHeight="1" x14ac:dyDescent="0.35">
      <c r="A100" s="8" t="s">
        <v>146</v>
      </c>
      <c r="B100" s="8" t="str">
        <f>IF(Table2[[#This Row],[Jenis_Proyek]]="", "Tidak Diketahui", Table2[[#This Row],[Jenis_Proyek]])</f>
        <v>Flyover</v>
      </c>
      <c r="C100" s="8" t="str">
        <f>IF(Table2[[#This Row],[Lokasi]]="", "Tidak Diketahui", Table2[[#This Row],[Lokasi]])</f>
        <v>Surabaya</v>
      </c>
      <c r="D100" s="8" t="str">
        <f>IF(Table2[[#This Row],[Nama_Proyek]]="", "Tidak Diketahui", Table2[[#This Row],[Nama_Proyek]])</f>
        <v>Perbaikan Flyover Surabaya</v>
      </c>
      <c r="E100" s="14">
        <v>44986</v>
      </c>
      <c r="F100" s="14">
        <v>45105</v>
      </c>
      <c r="G100" s="10">
        <v>4429242773</v>
      </c>
      <c r="H100" s="8" t="str">
        <f>IF(Table2[[#This Row],[Kontraktor]]="", "Tidak Diketahui",Table2[[#This Row],[Kontraktor]])</f>
        <v>PT D</v>
      </c>
      <c r="I100" s="11">
        <f>Table245[[#This Row],[Tanggal_Selesai]]-Table245[[#This Row],[Tanggal_Mulai]]</f>
        <v>119</v>
      </c>
      <c r="J100" s="17">
        <f>Table245[[#This Row],[Anggaran]]/Table245[[#This Row],[Durasi_Proyek]]</f>
        <v>37220527.50420168</v>
      </c>
      <c r="K100" s="11">
        <f>YEAR(Table245[[#This Row],[Tanggal_Mulai]])</f>
        <v>2023</v>
      </c>
    </row>
    <row r="101" spans="1:11" ht="14.25" customHeight="1" x14ac:dyDescent="0.35">
      <c r="A101" s="8" t="s">
        <v>147</v>
      </c>
      <c r="B101" s="8" t="str">
        <f>IF(Table2[[#This Row],[Jenis_Proyek]]="", "Tidak Diketahui", Table2[[#This Row],[Jenis_Proyek]])</f>
        <v>Gedung</v>
      </c>
      <c r="C101" s="8" t="str">
        <f>IF(Table2[[#This Row],[Lokasi]]="", "Tidak Diketahui", Table2[[#This Row],[Lokasi]])</f>
        <v>Tomohon</v>
      </c>
      <c r="D101" s="8" t="str">
        <f>IF(Table2[[#This Row],[Nama_Proyek]]="", "Tidak Diketahui", Table2[[#This Row],[Nama_Proyek]])</f>
        <v>Perbaikan Gedung Pemerintah Tomohon</v>
      </c>
      <c r="E101" s="14">
        <v>44987</v>
      </c>
      <c r="F101" s="14">
        <v>45234</v>
      </c>
      <c r="G101" s="10">
        <v>2034415367</v>
      </c>
      <c r="H101" s="8" t="str">
        <f>IF(Table2[[#This Row],[Kontraktor]]="", "Tidak Diketahui",Table2[[#This Row],[Kontraktor]])</f>
        <v>PT B</v>
      </c>
      <c r="I101" s="11">
        <f>Table245[[#This Row],[Tanggal_Selesai]]-Table245[[#This Row],[Tanggal_Mulai]]</f>
        <v>247</v>
      </c>
      <c r="J101" s="17">
        <f>Table245[[#This Row],[Anggaran]]/Table245[[#This Row],[Durasi_Proyek]]</f>
        <v>8236499.461538462</v>
      </c>
      <c r="K101" s="11">
        <f>YEAR(Table245[[#This Row],[Tanggal_Mulai]])</f>
        <v>2023</v>
      </c>
    </row>
    <row r="102" spans="1:11" ht="14.25" customHeight="1" x14ac:dyDescent="0.35">
      <c r="A102" s="8" t="s">
        <v>148</v>
      </c>
      <c r="B102" s="8" t="str">
        <f>IF(Table2[[#This Row],[Jenis_Proyek]]="", "Tidak Diketahui", Table2[[#This Row],[Jenis_Proyek]])</f>
        <v>Jembatan</v>
      </c>
      <c r="C102" s="8" t="str">
        <f>IF(Table2[[#This Row],[Lokasi]]="", "Tidak Diketahui", Table2[[#This Row],[Lokasi]])</f>
        <v>Medan</v>
      </c>
      <c r="D102" s="8" t="str">
        <f>IF(Table2[[#This Row],[Nama_Proyek]]="", "Tidak Diketahui", Table2[[#This Row],[Nama_Proyek]])</f>
        <v>Perbaikan Jembatan Medan</v>
      </c>
      <c r="E102" s="14">
        <v>44989</v>
      </c>
      <c r="F102" s="14">
        <v>45301</v>
      </c>
      <c r="G102" s="10">
        <v>1597122511</v>
      </c>
      <c r="H102" s="8" t="str">
        <f>IF(Table2[[#This Row],[Kontraktor]]="", "Tidak Diketahui",Table2[[#This Row],[Kontraktor]])</f>
        <v>CV Sihombing</v>
      </c>
      <c r="I102" s="11">
        <f>Table245[[#This Row],[Tanggal_Selesai]]-Table245[[#This Row],[Tanggal_Mulai]]</f>
        <v>312</v>
      </c>
      <c r="J102" s="17">
        <f>Table245[[#This Row],[Anggaran]]/Table245[[#This Row],[Durasi_Proyek]]</f>
        <v>5118982.407051282</v>
      </c>
      <c r="K102" s="11">
        <f>YEAR(Table245[[#This Row],[Tanggal_Mulai]])</f>
        <v>2023</v>
      </c>
    </row>
    <row r="103" spans="1:11" ht="14.25" customHeight="1" x14ac:dyDescent="0.35">
      <c r="A103" s="8" t="s">
        <v>149</v>
      </c>
      <c r="B103" s="8" t="str">
        <f>IF(Table2[[#This Row],[Jenis_Proyek]]="", "Tidak Diketahui", Table2[[#This Row],[Jenis_Proyek]])</f>
        <v>Jalan Raya</v>
      </c>
      <c r="C103" s="8" t="str">
        <f>IF(Table2[[#This Row],[Lokasi]]="", "Tidak Diketahui", Table2[[#This Row],[Lokasi]])</f>
        <v>Medan</v>
      </c>
      <c r="D103" s="8" t="str">
        <f>IF(Table2[[#This Row],[Nama_Proyek]]="", "Tidak Diketahui", Table2[[#This Row],[Nama_Proyek]])</f>
        <v>Perbaikan Jalan Raya Medan</v>
      </c>
      <c r="E103" s="14">
        <v>44989</v>
      </c>
      <c r="F103" s="14">
        <v>45120</v>
      </c>
      <c r="G103" s="10">
        <v>966519099</v>
      </c>
      <c r="H103" s="8" t="str">
        <f>IF(Table2[[#This Row],[Kontraktor]]="", "Tidak Diketahui",Table2[[#This Row],[Kontraktor]])</f>
        <v>PT C</v>
      </c>
      <c r="I103" s="11">
        <f>Table245[[#This Row],[Tanggal_Selesai]]-Table245[[#This Row],[Tanggal_Mulai]]</f>
        <v>131</v>
      </c>
      <c r="J103" s="17">
        <f>Table245[[#This Row],[Anggaran]]/Table245[[#This Row],[Durasi_Proyek]]</f>
        <v>7378008.389312977</v>
      </c>
      <c r="K103" s="11">
        <f>YEAR(Table245[[#This Row],[Tanggal_Mulai]])</f>
        <v>2023</v>
      </c>
    </row>
    <row r="104" spans="1:11" ht="14.25" customHeight="1" x14ac:dyDescent="0.35">
      <c r="A104" s="8" t="s">
        <v>150</v>
      </c>
      <c r="B104" s="8" t="str">
        <f>IF(Table2[[#This Row],[Jenis_Proyek]]="", "Tidak Diketahui", Table2[[#This Row],[Jenis_Proyek]])</f>
        <v>Jalan Raya</v>
      </c>
      <c r="C104" s="8" t="str">
        <f>IF(Table2[[#This Row],[Lokasi]]="", "Tidak Diketahui", Table2[[#This Row],[Lokasi]])</f>
        <v>Tomohon</v>
      </c>
      <c r="D104" s="8" t="str">
        <f>IF(Table2[[#This Row],[Nama_Proyek]]="", "Tidak Diketahui", Table2[[#This Row],[Nama_Proyek]])</f>
        <v>Perbaikan Jalan Raya Tomohon</v>
      </c>
      <c r="E104" s="14">
        <v>44990</v>
      </c>
      <c r="F104" s="14">
        <v>45158</v>
      </c>
      <c r="G104" s="10">
        <v>881938572</v>
      </c>
      <c r="H104" s="8" t="str">
        <f>IF(Table2[[#This Row],[Kontraktor]]="", "Tidak Diketahui",Table2[[#This Row],[Kontraktor]])</f>
        <v>PT. Yuniar Hakim Tbk</v>
      </c>
      <c r="I104" s="11">
        <f>Table245[[#This Row],[Tanggal_Selesai]]-Table245[[#This Row],[Tanggal_Mulai]]</f>
        <v>168</v>
      </c>
      <c r="J104" s="17">
        <f>Table245[[#This Row],[Anggaran]]/Table245[[#This Row],[Durasi_Proyek]]</f>
        <v>5249634.3571428573</v>
      </c>
      <c r="K104" s="11">
        <f>YEAR(Table245[[#This Row],[Tanggal_Mulai]])</f>
        <v>2023</v>
      </c>
    </row>
    <row r="105" spans="1:11" ht="14.25" customHeight="1" x14ac:dyDescent="0.35">
      <c r="A105" s="8" t="s">
        <v>151</v>
      </c>
      <c r="B105" s="8" t="str">
        <f>IF(Table2[[#This Row],[Jenis_Proyek]]="", "Tidak Diketahui", Table2[[#This Row],[Jenis_Proyek]])</f>
        <v>Flyover</v>
      </c>
      <c r="C105" s="8" t="str">
        <f>IF(Table2[[#This Row],[Lokasi]]="", "Tidak Diketahui", Table2[[#This Row],[Lokasi]])</f>
        <v>Jakarta</v>
      </c>
      <c r="D105" s="8" t="str">
        <f>IF(Table2[[#This Row],[Nama_Proyek]]="", "Tidak Diketahui", Table2[[#This Row],[Nama_Proyek]])</f>
        <v>Pembuatan Flyover Jakarta</v>
      </c>
      <c r="E105" s="14">
        <v>44990</v>
      </c>
      <c r="F105" s="14">
        <v>45020</v>
      </c>
      <c r="G105" s="10">
        <v>4508122990</v>
      </c>
      <c r="H105" s="8" t="str">
        <f>IF(Table2[[#This Row],[Kontraktor]]="", "Tidak Diketahui",Table2[[#This Row],[Kontraktor]])</f>
        <v>PT D</v>
      </c>
      <c r="I105" s="11">
        <f>Table245[[#This Row],[Tanggal_Selesai]]-Table245[[#This Row],[Tanggal_Mulai]]</f>
        <v>30</v>
      </c>
      <c r="J105" s="17">
        <f>Table245[[#This Row],[Anggaran]]/Table245[[#This Row],[Durasi_Proyek]]</f>
        <v>150270766.33333334</v>
      </c>
      <c r="K105" s="11">
        <f>YEAR(Table245[[#This Row],[Tanggal_Mulai]])</f>
        <v>2023</v>
      </c>
    </row>
    <row r="106" spans="1:11" ht="14.25" customHeight="1" x14ac:dyDescent="0.35">
      <c r="A106" s="8" t="s">
        <v>152</v>
      </c>
      <c r="B106" s="8" t="str">
        <f>IF(Table2[[#This Row],[Jenis_Proyek]]="", "Tidak Diketahui", Table2[[#This Row],[Jenis_Proyek]])</f>
        <v>Flyover</v>
      </c>
      <c r="C106" s="8" t="str">
        <f>IF(Table2[[#This Row],[Lokasi]]="", "Tidak Diketahui", Table2[[#This Row],[Lokasi]])</f>
        <v>Medan</v>
      </c>
      <c r="D106" s="8" t="str">
        <f>IF(Table2[[#This Row],[Nama_Proyek]]="", "Tidak Diketahui", Table2[[#This Row],[Nama_Proyek]])</f>
        <v>Pembuatan Flyover Medan</v>
      </c>
      <c r="E106" s="14">
        <v>44990</v>
      </c>
      <c r="F106" s="14">
        <v>45311</v>
      </c>
      <c r="G106" s="10">
        <v>1863372939</v>
      </c>
      <c r="H106" s="8" t="str">
        <f>IF(Table2[[#This Row],[Kontraktor]]="", "Tidak Diketahui",Table2[[#This Row],[Kontraktor]])</f>
        <v>CV Sihombing</v>
      </c>
      <c r="I106" s="11">
        <f>Table245[[#This Row],[Tanggal_Selesai]]-Table245[[#This Row],[Tanggal_Mulai]]</f>
        <v>321</v>
      </c>
      <c r="J106" s="17">
        <f>Table245[[#This Row],[Anggaran]]/Table245[[#This Row],[Durasi_Proyek]]</f>
        <v>5804900.121495327</v>
      </c>
      <c r="K106" s="11">
        <f>YEAR(Table245[[#This Row],[Tanggal_Mulai]])</f>
        <v>2023</v>
      </c>
    </row>
    <row r="107" spans="1:11" ht="14.25" customHeight="1" x14ac:dyDescent="0.35">
      <c r="A107" s="8" t="s">
        <v>153</v>
      </c>
      <c r="B107" s="8" t="str">
        <f>IF(Table2[[#This Row],[Jenis_Proyek]]="", "Tidak Diketahui", Table2[[#This Row],[Jenis_Proyek]])</f>
        <v>Drainase</v>
      </c>
      <c r="C107" s="8" t="str">
        <f>IF(Table2[[#This Row],[Lokasi]]="", "Tidak Diketahui", Table2[[#This Row],[Lokasi]])</f>
        <v>Tomohon</v>
      </c>
      <c r="D107" s="8" t="str">
        <f>IF(Table2[[#This Row],[Nama_Proyek]]="", "Tidak Diketahui", Table2[[#This Row],[Nama_Proyek]])</f>
        <v>Perbaikan Drainase Tomohon</v>
      </c>
      <c r="E107" s="14">
        <v>44991</v>
      </c>
      <c r="F107" s="14">
        <v>45062</v>
      </c>
      <c r="G107" s="10">
        <v>512883235</v>
      </c>
      <c r="H107" s="8" t="str">
        <f>IF(Table2[[#This Row],[Kontraktor]]="", "Tidak Diketahui",Table2[[#This Row],[Kontraktor]])</f>
        <v>PT. Lailasari Hariyah (Persero) Tbk</v>
      </c>
      <c r="I107" s="11">
        <f>Table245[[#This Row],[Tanggal_Selesai]]-Table245[[#This Row],[Tanggal_Mulai]]</f>
        <v>71</v>
      </c>
      <c r="J107" s="17">
        <f>Table245[[#This Row],[Anggaran]]/Table245[[#This Row],[Durasi_Proyek]]</f>
        <v>7223707.5352112679</v>
      </c>
      <c r="K107" s="11">
        <f>YEAR(Table245[[#This Row],[Tanggal_Mulai]])</f>
        <v>2023</v>
      </c>
    </row>
    <row r="108" spans="1:11" ht="14.25" customHeight="1" x14ac:dyDescent="0.35">
      <c r="A108" s="8" t="s">
        <v>155</v>
      </c>
      <c r="B108" s="8" t="str">
        <f>IF(Table2[[#This Row],[Jenis_Proyek]]="", "Tidak Diketahui", Table2[[#This Row],[Jenis_Proyek]])</f>
        <v>Gedung</v>
      </c>
      <c r="C108" s="8" t="str">
        <f>IF(Table2[[#This Row],[Lokasi]]="", "Tidak Diketahui", Table2[[#This Row],[Lokasi]])</f>
        <v>Medan</v>
      </c>
      <c r="D108" s="8" t="str">
        <f>IF(Table2[[#This Row],[Nama_Proyek]]="", "Tidak Diketahui", Table2[[#This Row],[Nama_Proyek]])</f>
        <v>Perbaikan Gedung Pemerintah Medan</v>
      </c>
      <c r="E108" s="14">
        <v>44991</v>
      </c>
      <c r="F108" s="14">
        <v>45338</v>
      </c>
      <c r="G108" s="10">
        <v>4679669631</v>
      </c>
      <c r="H108" s="8" t="str">
        <f>IF(Table2[[#This Row],[Kontraktor]]="", "Tidak Diketahui",Table2[[#This Row],[Kontraktor]])</f>
        <v>CV Sihombing</v>
      </c>
      <c r="I108" s="11">
        <f>Table245[[#This Row],[Tanggal_Selesai]]-Table245[[#This Row],[Tanggal_Mulai]]</f>
        <v>347</v>
      </c>
      <c r="J108" s="17">
        <f>Table245[[#This Row],[Anggaran]]/Table245[[#This Row],[Durasi_Proyek]]</f>
        <v>13486079.628242075</v>
      </c>
      <c r="K108" s="11">
        <f>YEAR(Table245[[#This Row],[Tanggal_Mulai]])</f>
        <v>2023</v>
      </c>
    </row>
    <row r="109" spans="1:11" ht="14.25" customHeight="1" x14ac:dyDescent="0.35">
      <c r="A109" s="8" t="s">
        <v>156</v>
      </c>
      <c r="B109" s="8" t="str">
        <f>IF(Table2[[#This Row],[Jenis_Proyek]]="", "Tidak Diketahui", Table2[[#This Row],[Jenis_Proyek]])</f>
        <v>Jembatan</v>
      </c>
      <c r="C109" s="8" t="str">
        <f>IF(Table2[[#This Row],[Lokasi]]="", "Tidak Diketahui", Table2[[#This Row],[Lokasi]])</f>
        <v>Bau-Bau</v>
      </c>
      <c r="D109" s="8" t="str">
        <f>IF(Table2[[#This Row],[Nama_Proyek]]="", "Tidak Diketahui", Table2[[#This Row],[Nama_Proyek]])</f>
        <v>Pembuatan Jembatan Bau-Bau</v>
      </c>
      <c r="E109" s="14">
        <v>44991</v>
      </c>
      <c r="F109" s="14">
        <v>45269</v>
      </c>
      <c r="G109" s="10">
        <v>4513453864</v>
      </c>
      <c r="H109" s="8" t="str">
        <f>IF(Table2[[#This Row],[Kontraktor]]="", "Tidak Diketahui",Table2[[#This Row],[Kontraktor]])</f>
        <v>PT. Lailasari Hariyah (Persero) Tbk</v>
      </c>
      <c r="I109" s="11">
        <f>Table245[[#This Row],[Tanggal_Selesai]]-Table245[[#This Row],[Tanggal_Mulai]]</f>
        <v>278</v>
      </c>
      <c r="J109" s="17">
        <f>Table245[[#This Row],[Anggaran]]/Table245[[#This Row],[Durasi_Proyek]]</f>
        <v>16235445.553956835</v>
      </c>
      <c r="K109" s="11">
        <f>YEAR(Table245[[#This Row],[Tanggal_Mulai]])</f>
        <v>2023</v>
      </c>
    </row>
    <row r="110" spans="1:11" ht="14.25" customHeight="1" x14ac:dyDescent="0.35">
      <c r="A110" s="8" t="s">
        <v>157</v>
      </c>
      <c r="B110" s="8" t="str">
        <f>IF(Table2[[#This Row],[Jenis_Proyek]]="", "Tidak Diketahui", Table2[[#This Row],[Jenis_Proyek]])</f>
        <v>Jembatan</v>
      </c>
      <c r="C110" s="8" t="str">
        <f>IF(Table2[[#This Row],[Lokasi]]="", "Tidak Diketahui", Table2[[#This Row],[Lokasi]])</f>
        <v>Bandung</v>
      </c>
      <c r="D110" s="8" t="str">
        <f>IF(Table2[[#This Row],[Nama_Proyek]]="", "Tidak Diketahui", Table2[[#This Row],[Nama_Proyek]])</f>
        <v>Perbaikan Jembatan Bandung</v>
      </c>
      <c r="E110" s="14">
        <v>44992</v>
      </c>
      <c r="F110" s="14">
        <v>45322</v>
      </c>
      <c r="G110" s="10">
        <v>7126604362</v>
      </c>
      <c r="H110" s="8" t="str">
        <f>IF(Table2[[#This Row],[Kontraktor]]="", "Tidak Diketahui",Table2[[#This Row],[Kontraktor]])</f>
        <v>PT D</v>
      </c>
      <c r="I110" s="11">
        <f>Table245[[#This Row],[Tanggal_Selesai]]-Table245[[#This Row],[Tanggal_Mulai]]</f>
        <v>330</v>
      </c>
      <c r="J110" s="17">
        <f>Table245[[#This Row],[Anggaran]]/Table245[[#This Row],[Durasi_Proyek]]</f>
        <v>21595770.793939393</v>
      </c>
      <c r="K110" s="11">
        <f>YEAR(Table245[[#This Row],[Tanggal_Mulai]])</f>
        <v>2023</v>
      </c>
    </row>
    <row r="111" spans="1:11" ht="14.25" customHeight="1" x14ac:dyDescent="0.35">
      <c r="A111" s="8" t="s">
        <v>158</v>
      </c>
      <c r="B111" s="8" t="str">
        <f>IF(Table2[[#This Row],[Jenis_Proyek]]="", "Tidak Diketahui", Table2[[#This Row],[Jenis_Proyek]])</f>
        <v>Jembatan</v>
      </c>
      <c r="C111" s="8" t="str">
        <f>IF(Table2[[#This Row],[Lokasi]]="", "Tidak Diketahui", Table2[[#This Row],[Lokasi]])</f>
        <v>Medan</v>
      </c>
      <c r="D111" s="8" t="str">
        <f>IF(Table2[[#This Row],[Nama_Proyek]]="", "Tidak Diketahui", Table2[[#This Row],[Nama_Proyek]])</f>
        <v>Perbaikan Jembatan Medan</v>
      </c>
      <c r="E111" s="14">
        <v>44994</v>
      </c>
      <c r="F111" s="14">
        <v>45241</v>
      </c>
      <c r="G111" s="10">
        <v>4952427692</v>
      </c>
      <c r="H111" s="8" t="str">
        <f>IF(Table2[[#This Row],[Kontraktor]]="", "Tidak Diketahui",Table2[[#This Row],[Kontraktor]])</f>
        <v>PT. Lailasari Hariyah (Persero) Tbk</v>
      </c>
      <c r="I111" s="11">
        <f>Table245[[#This Row],[Tanggal_Selesai]]-Table245[[#This Row],[Tanggal_Mulai]]</f>
        <v>247</v>
      </c>
      <c r="J111" s="17">
        <f>Table245[[#This Row],[Anggaran]]/Table245[[#This Row],[Durasi_Proyek]]</f>
        <v>20050314.542510122</v>
      </c>
      <c r="K111" s="11">
        <f>YEAR(Table245[[#This Row],[Tanggal_Mulai]])</f>
        <v>2023</v>
      </c>
    </row>
    <row r="112" spans="1:11" ht="14.25" customHeight="1" x14ac:dyDescent="0.35">
      <c r="A112" s="8" t="s">
        <v>159</v>
      </c>
      <c r="B112" s="8" t="str">
        <f>IF(Table2[[#This Row],[Jenis_Proyek]]="", "Tidak Diketahui", Table2[[#This Row],[Jenis_Proyek]])</f>
        <v>Drainase</v>
      </c>
      <c r="C112" s="8" t="str">
        <f>IF(Table2[[#This Row],[Lokasi]]="", "Tidak Diketahui", Table2[[#This Row],[Lokasi]])</f>
        <v>Bau-Bau</v>
      </c>
      <c r="D112" s="8" t="str">
        <f>IF(Table2[[#This Row],[Nama_Proyek]]="", "Tidak Diketahui", Table2[[#This Row],[Nama_Proyek]])</f>
        <v>Perbaikan Drainase Bau-Bau</v>
      </c>
      <c r="E112" s="14">
        <v>44994</v>
      </c>
      <c r="F112" s="14">
        <v>45231</v>
      </c>
      <c r="G112" s="10">
        <v>542759810</v>
      </c>
      <c r="H112" s="8" t="str">
        <f>IF(Table2[[#This Row],[Kontraktor]]="", "Tidak Diketahui",Table2[[#This Row],[Kontraktor]])</f>
        <v>CV Sihombing</v>
      </c>
      <c r="I112" s="11">
        <f>Table245[[#This Row],[Tanggal_Selesai]]-Table245[[#This Row],[Tanggal_Mulai]]</f>
        <v>237</v>
      </c>
      <c r="J112" s="17">
        <f>Table245[[#This Row],[Anggaran]]/Table245[[#This Row],[Durasi_Proyek]]</f>
        <v>2290125.7805907172</v>
      </c>
      <c r="K112" s="11">
        <f>YEAR(Table245[[#This Row],[Tanggal_Mulai]])</f>
        <v>2023</v>
      </c>
    </row>
    <row r="113" spans="1:11" ht="14.25" customHeight="1" x14ac:dyDescent="0.35">
      <c r="A113" s="8" t="s">
        <v>161</v>
      </c>
      <c r="B113" s="8" t="str">
        <f>IF(Table2[[#This Row],[Jenis_Proyek]]="", "Tidak Diketahui", Table2[[#This Row],[Jenis_Proyek]])</f>
        <v>Gedung</v>
      </c>
      <c r="C113" s="8" t="str">
        <f>IF(Table2[[#This Row],[Lokasi]]="", "Tidak Diketahui", Table2[[#This Row],[Lokasi]])</f>
        <v>Surabaya</v>
      </c>
      <c r="D113" s="8" t="str">
        <f>IF(Table2[[#This Row],[Nama_Proyek]]="", "Tidak Diketahui", Table2[[#This Row],[Nama_Proyek]])</f>
        <v>Perbaikan Gedung Pemerintah Surabaya</v>
      </c>
      <c r="E113" s="14">
        <v>44994</v>
      </c>
      <c r="F113" s="14">
        <v>45074</v>
      </c>
      <c r="G113" s="10">
        <v>5059161734</v>
      </c>
      <c r="H113" s="8" t="str">
        <f>IF(Table2[[#This Row],[Kontraktor]]="", "Tidak Diketahui",Table2[[#This Row],[Kontraktor]])</f>
        <v>PT D</v>
      </c>
      <c r="I113" s="11">
        <f>Table245[[#This Row],[Tanggal_Selesai]]-Table245[[#This Row],[Tanggal_Mulai]]</f>
        <v>80</v>
      </c>
      <c r="J113" s="17">
        <f>Table245[[#This Row],[Anggaran]]/Table245[[#This Row],[Durasi_Proyek]]</f>
        <v>63239521.674999997</v>
      </c>
      <c r="K113" s="11">
        <f>YEAR(Table245[[#This Row],[Tanggal_Mulai]])</f>
        <v>2023</v>
      </c>
    </row>
    <row r="114" spans="1:11" ht="14.25" customHeight="1" x14ac:dyDescent="0.35">
      <c r="A114" s="8" t="s">
        <v>162</v>
      </c>
      <c r="B114" s="8" t="str">
        <f>IF(Table2[[#This Row],[Jenis_Proyek]]="", "Tidak Diketahui", Table2[[#This Row],[Jenis_Proyek]])</f>
        <v>Jembatan</v>
      </c>
      <c r="C114" s="8" t="str">
        <f>IF(Table2[[#This Row],[Lokasi]]="", "Tidak Diketahui", Table2[[#This Row],[Lokasi]])</f>
        <v>Bau-Bau</v>
      </c>
      <c r="D114" s="8" t="str">
        <f>IF(Table2[[#This Row],[Nama_Proyek]]="", "Tidak Diketahui", Table2[[#This Row],[Nama_Proyek]])</f>
        <v>Perbaikan Jembatan Bau-Bau</v>
      </c>
      <c r="E114" s="14">
        <v>44996</v>
      </c>
      <c r="F114" s="14">
        <v>45203</v>
      </c>
      <c r="G114" s="10">
        <v>5462259142</v>
      </c>
      <c r="H114" s="8" t="str">
        <f>IF(Table2[[#This Row],[Kontraktor]]="", "Tidak Diketahui",Table2[[#This Row],[Kontraktor]])</f>
        <v>PT A</v>
      </c>
      <c r="I114" s="11">
        <f>Table245[[#This Row],[Tanggal_Selesai]]-Table245[[#This Row],[Tanggal_Mulai]]</f>
        <v>207</v>
      </c>
      <c r="J114" s="17">
        <f>Table245[[#This Row],[Anggaran]]/Table245[[#This Row],[Durasi_Proyek]]</f>
        <v>26387725.323671497</v>
      </c>
      <c r="K114" s="11">
        <f>YEAR(Table245[[#This Row],[Tanggal_Mulai]])</f>
        <v>2023</v>
      </c>
    </row>
    <row r="115" spans="1:11" ht="14.25" customHeight="1" x14ac:dyDescent="0.35">
      <c r="A115" s="8" t="s">
        <v>163</v>
      </c>
      <c r="B115" s="8" t="str">
        <f>IF(Table2[[#This Row],[Jenis_Proyek]]="", "Tidak Diketahui", Table2[[#This Row],[Jenis_Proyek]])</f>
        <v>Flyover</v>
      </c>
      <c r="C115" s="8" t="str">
        <f>IF(Table2[[#This Row],[Lokasi]]="", "Tidak Diketahui", Table2[[#This Row],[Lokasi]])</f>
        <v>Tomohon</v>
      </c>
      <c r="D115" s="8" t="str">
        <f>IF(Table2[[#This Row],[Nama_Proyek]]="", "Tidak Diketahui", Table2[[#This Row],[Nama_Proyek]])</f>
        <v>Perbaikan Flyover Tomohon</v>
      </c>
      <c r="E115" s="14">
        <v>44996</v>
      </c>
      <c r="F115" s="14">
        <v>45181</v>
      </c>
      <c r="G115" s="10">
        <v>3922070251</v>
      </c>
      <c r="H115" s="8" t="str">
        <f>IF(Table2[[#This Row],[Kontraktor]]="", "Tidak Diketahui",Table2[[#This Row],[Kontraktor]])</f>
        <v>PT D</v>
      </c>
      <c r="I115" s="11">
        <f>Table245[[#This Row],[Tanggal_Selesai]]-Table245[[#This Row],[Tanggal_Mulai]]</f>
        <v>185</v>
      </c>
      <c r="J115" s="17">
        <f>Table245[[#This Row],[Anggaran]]/Table245[[#This Row],[Durasi_Proyek]]</f>
        <v>21200379.735135134</v>
      </c>
      <c r="K115" s="11">
        <f>YEAR(Table245[[#This Row],[Tanggal_Mulai]])</f>
        <v>2023</v>
      </c>
    </row>
    <row r="116" spans="1:11" ht="14.25" customHeight="1" x14ac:dyDescent="0.35">
      <c r="A116" s="8" t="s">
        <v>164</v>
      </c>
      <c r="B116" s="8" t="str">
        <f>IF(Table2[[#This Row],[Jenis_Proyek]]="", "Tidak Diketahui", Table2[[#This Row],[Jenis_Proyek]])</f>
        <v>Gedung</v>
      </c>
      <c r="C116" s="8" t="str">
        <f>IF(Table2[[#This Row],[Lokasi]]="", "Tidak Diketahui", Table2[[#This Row],[Lokasi]])</f>
        <v>Makassar</v>
      </c>
      <c r="D116" s="8" t="str">
        <f>IF(Table2[[#This Row],[Nama_Proyek]]="", "Tidak Diketahui", Table2[[#This Row],[Nama_Proyek]])</f>
        <v>Perbaikan Gedung Pemerintah Makassar</v>
      </c>
      <c r="E116" s="14">
        <v>44998</v>
      </c>
      <c r="F116" s="14">
        <v>45341</v>
      </c>
      <c r="G116" s="10">
        <v>9404668499</v>
      </c>
      <c r="H116" s="8" t="str">
        <f>IF(Table2[[#This Row],[Kontraktor]]="", "Tidak Diketahui",Table2[[#This Row],[Kontraktor]])</f>
        <v>Tidak Diketahui</v>
      </c>
      <c r="I116" s="11">
        <f>Table245[[#This Row],[Tanggal_Selesai]]-Table245[[#This Row],[Tanggal_Mulai]]</f>
        <v>343</v>
      </c>
      <c r="J116" s="17">
        <f>Table245[[#This Row],[Anggaran]]/Table245[[#This Row],[Durasi_Proyek]]</f>
        <v>27418858.597667638</v>
      </c>
      <c r="K116" s="11">
        <f>YEAR(Table245[[#This Row],[Tanggal_Mulai]])</f>
        <v>2023</v>
      </c>
    </row>
    <row r="117" spans="1:11" ht="14.25" customHeight="1" x14ac:dyDescent="0.35">
      <c r="A117" s="8" t="s">
        <v>165</v>
      </c>
      <c r="B117" s="8" t="str">
        <f>IF(Table2[[#This Row],[Jenis_Proyek]]="", "Tidak Diketahui", Table2[[#This Row],[Jenis_Proyek]])</f>
        <v>Gedung</v>
      </c>
      <c r="C117" s="8" t="str">
        <f>IF(Table2[[#This Row],[Lokasi]]="", "Tidak Diketahui", Table2[[#This Row],[Lokasi]])</f>
        <v>Tomohon</v>
      </c>
      <c r="D117" s="8" t="str">
        <f>IF(Table2[[#This Row],[Nama_Proyek]]="", "Tidak Diketahui", Table2[[#This Row],[Nama_Proyek]])</f>
        <v>Perbaikan Gedung Pemerintah Tomohon</v>
      </c>
      <c r="E117" s="14">
        <v>45000</v>
      </c>
      <c r="F117" s="14">
        <v>45038</v>
      </c>
      <c r="G117" s="10">
        <v>6049021945</v>
      </c>
      <c r="H117" s="8" t="str">
        <f>IF(Table2[[#This Row],[Kontraktor]]="", "Tidak Diketahui",Table2[[#This Row],[Kontraktor]])</f>
        <v>CV Sihombing</v>
      </c>
      <c r="I117" s="11">
        <f>Table245[[#This Row],[Tanggal_Selesai]]-Table245[[#This Row],[Tanggal_Mulai]]</f>
        <v>38</v>
      </c>
      <c r="J117" s="17">
        <f>Table245[[#This Row],[Anggaran]]/Table245[[#This Row],[Durasi_Proyek]]</f>
        <v>159184788.02631578</v>
      </c>
      <c r="K117" s="11">
        <f>YEAR(Table245[[#This Row],[Tanggal_Mulai]])</f>
        <v>2023</v>
      </c>
    </row>
    <row r="118" spans="1:11" ht="14.25" customHeight="1" x14ac:dyDescent="0.35">
      <c r="A118" s="8" t="s">
        <v>166</v>
      </c>
      <c r="B118" s="8" t="str">
        <f>IF(Table2[[#This Row],[Jenis_Proyek]]="", "Tidak Diketahui", Table2[[#This Row],[Jenis_Proyek]])</f>
        <v>Jalan Raya</v>
      </c>
      <c r="C118" s="8" t="str">
        <f>IF(Table2[[#This Row],[Lokasi]]="", "Tidak Diketahui", Table2[[#This Row],[Lokasi]])</f>
        <v>Tomohon</v>
      </c>
      <c r="D118" s="8" t="str">
        <f>IF(Table2[[#This Row],[Nama_Proyek]]="", "Tidak Diketahui", Table2[[#This Row],[Nama_Proyek]])</f>
        <v>Perbaikan Jalan Raya Tomohon</v>
      </c>
      <c r="E118" s="14">
        <v>45001</v>
      </c>
      <c r="F118" s="14">
        <v>45325</v>
      </c>
      <c r="G118" s="10">
        <v>989197622</v>
      </c>
      <c r="H118" s="8" t="str">
        <f>IF(Table2[[#This Row],[Kontraktor]]="", "Tidak Diketahui",Table2[[#This Row],[Kontraktor]])</f>
        <v>CV Sihombing</v>
      </c>
      <c r="I118" s="11">
        <f>Table245[[#This Row],[Tanggal_Selesai]]-Table245[[#This Row],[Tanggal_Mulai]]</f>
        <v>324</v>
      </c>
      <c r="J118" s="17">
        <f>Table245[[#This Row],[Anggaran]]/Table245[[#This Row],[Durasi_Proyek]]</f>
        <v>3053079.0802469137</v>
      </c>
      <c r="K118" s="11">
        <f>YEAR(Table245[[#This Row],[Tanggal_Mulai]])</f>
        <v>2023</v>
      </c>
    </row>
    <row r="119" spans="1:11" ht="14.25" customHeight="1" x14ac:dyDescent="0.35">
      <c r="A119" s="8" t="s">
        <v>167</v>
      </c>
      <c r="B119" s="8" t="str">
        <f>IF(Table2[[#This Row],[Jenis_Proyek]]="", "Tidak Diketahui", Table2[[#This Row],[Jenis_Proyek]])</f>
        <v>Jalan Raya</v>
      </c>
      <c r="C119" s="8" t="str">
        <f>IF(Table2[[#This Row],[Lokasi]]="", "Tidak Diketahui", Table2[[#This Row],[Lokasi]])</f>
        <v>Bandung</v>
      </c>
      <c r="D119" s="8" t="str">
        <f>IF(Table2[[#This Row],[Nama_Proyek]]="", "Tidak Diketahui", Table2[[#This Row],[Nama_Proyek]])</f>
        <v>Perbaikan Jalan Raya Bandung</v>
      </c>
      <c r="E119" s="14">
        <v>45001</v>
      </c>
      <c r="F119" s="14">
        <v>45268</v>
      </c>
      <c r="G119" s="10">
        <v>923609376</v>
      </c>
      <c r="H119" s="8" t="str">
        <f>IF(Table2[[#This Row],[Kontraktor]]="", "Tidak Diketahui",Table2[[#This Row],[Kontraktor]])</f>
        <v>PT C</v>
      </c>
      <c r="I119" s="11">
        <f>Table245[[#This Row],[Tanggal_Selesai]]-Table245[[#This Row],[Tanggal_Mulai]]</f>
        <v>267</v>
      </c>
      <c r="J119" s="17">
        <f>Table245[[#This Row],[Anggaran]]/Table245[[#This Row],[Durasi_Proyek]]</f>
        <v>3459211.1460674158</v>
      </c>
      <c r="K119" s="11">
        <f>YEAR(Table245[[#This Row],[Tanggal_Mulai]])</f>
        <v>2023</v>
      </c>
    </row>
    <row r="120" spans="1:11" ht="14.25" customHeight="1" x14ac:dyDescent="0.35">
      <c r="A120" s="8" t="s">
        <v>168</v>
      </c>
      <c r="B120" s="8" t="str">
        <f>IF(Table2[[#This Row],[Jenis_Proyek]]="", "Tidak Diketahui", Table2[[#This Row],[Jenis_Proyek]])</f>
        <v>Gedung</v>
      </c>
      <c r="C120" s="8" t="str">
        <f>IF(Table2[[#This Row],[Lokasi]]="", "Tidak Diketahui", Table2[[#This Row],[Lokasi]])</f>
        <v>Bandung</v>
      </c>
      <c r="D120" s="8" t="str">
        <f>IF(Table2[[#This Row],[Nama_Proyek]]="", "Tidak Diketahui", Table2[[#This Row],[Nama_Proyek]])</f>
        <v>Perbaikan Gedung Pemerintah Bandung</v>
      </c>
      <c r="E120" s="14">
        <v>45001</v>
      </c>
      <c r="F120" s="14">
        <v>45173</v>
      </c>
      <c r="G120" s="10">
        <v>7000822070</v>
      </c>
      <c r="H120" s="8" t="str">
        <f>IF(Table2[[#This Row],[Kontraktor]]="", "Tidak Diketahui",Table2[[#This Row],[Kontraktor]])</f>
        <v>PT D</v>
      </c>
      <c r="I120" s="11">
        <f>Table245[[#This Row],[Tanggal_Selesai]]-Table245[[#This Row],[Tanggal_Mulai]]</f>
        <v>172</v>
      </c>
      <c r="J120" s="17">
        <f>Table245[[#This Row],[Anggaran]]/Table245[[#This Row],[Durasi_Proyek]]</f>
        <v>40702453.895348839</v>
      </c>
      <c r="K120" s="11">
        <f>YEAR(Table245[[#This Row],[Tanggal_Mulai]])</f>
        <v>2023</v>
      </c>
    </row>
    <row r="121" spans="1:11" ht="14.25" customHeight="1" x14ac:dyDescent="0.35">
      <c r="A121" s="8" t="s">
        <v>169</v>
      </c>
      <c r="B121" s="8" t="str">
        <f>IF(Table2[[#This Row],[Jenis_Proyek]]="", "Tidak Diketahui", Table2[[#This Row],[Jenis_Proyek]])</f>
        <v>Gedung</v>
      </c>
      <c r="C121" s="8" t="str">
        <f>IF(Table2[[#This Row],[Lokasi]]="", "Tidak Diketahui", Table2[[#This Row],[Lokasi]])</f>
        <v>Jakarta</v>
      </c>
      <c r="D121" s="8" t="str">
        <f>IF(Table2[[#This Row],[Nama_Proyek]]="", "Tidak Diketahui", Table2[[#This Row],[Nama_Proyek]])</f>
        <v>Perbaikan Gedung Pemerintah Jakarta</v>
      </c>
      <c r="E121" s="14">
        <v>45003</v>
      </c>
      <c r="F121" s="14">
        <v>45165</v>
      </c>
      <c r="G121" s="10">
        <v>4006400142</v>
      </c>
      <c r="H121" s="8" t="str">
        <f>IF(Table2[[#This Row],[Kontraktor]]="", "Tidak Diketahui",Table2[[#This Row],[Kontraktor]])</f>
        <v>PT. Lailasari Hariyah (Persero) Tbk</v>
      </c>
      <c r="I121" s="11">
        <f>Table245[[#This Row],[Tanggal_Selesai]]-Table245[[#This Row],[Tanggal_Mulai]]</f>
        <v>162</v>
      </c>
      <c r="J121" s="17">
        <f>Table245[[#This Row],[Anggaran]]/Table245[[#This Row],[Durasi_Proyek]]</f>
        <v>24730865.074074075</v>
      </c>
      <c r="K121" s="11">
        <f>YEAR(Table245[[#This Row],[Tanggal_Mulai]])</f>
        <v>2023</v>
      </c>
    </row>
    <row r="122" spans="1:11" ht="14.25" customHeight="1" x14ac:dyDescent="0.35">
      <c r="A122" s="8" t="s">
        <v>170</v>
      </c>
      <c r="B122" s="8" t="str">
        <f>IF(Table2[[#This Row],[Jenis_Proyek]]="", "Tidak Diketahui", Table2[[#This Row],[Jenis_Proyek]])</f>
        <v>Gedung</v>
      </c>
      <c r="C122" s="8" t="str">
        <f>IF(Table2[[#This Row],[Lokasi]]="", "Tidak Diketahui", Table2[[#This Row],[Lokasi]])</f>
        <v>Depok</v>
      </c>
      <c r="D122" s="8" t="str">
        <f>IF(Table2[[#This Row],[Nama_Proyek]]="", "Tidak Diketahui", Table2[[#This Row],[Nama_Proyek]])</f>
        <v>Perbaikan Gedung Pemerintah Depok</v>
      </c>
      <c r="E122" s="14">
        <v>45004</v>
      </c>
      <c r="F122" s="14">
        <v>45314</v>
      </c>
      <c r="G122" s="10">
        <v>7054924571</v>
      </c>
      <c r="H122" s="8" t="str">
        <f>IF(Table2[[#This Row],[Kontraktor]]="", "Tidak Diketahui",Table2[[#This Row],[Kontraktor]])</f>
        <v>PT. Yuniar Hakim Tbk</v>
      </c>
      <c r="I122" s="11">
        <f>Table245[[#This Row],[Tanggal_Selesai]]-Table245[[#This Row],[Tanggal_Mulai]]</f>
        <v>310</v>
      </c>
      <c r="J122" s="17">
        <f>Table245[[#This Row],[Anggaran]]/Table245[[#This Row],[Durasi_Proyek]]</f>
        <v>22757821.196774192</v>
      </c>
      <c r="K122" s="11">
        <f>YEAR(Table245[[#This Row],[Tanggal_Mulai]])</f>
        <v>2023</v>
      </c>
    </row>
    <row r="123" spans="1:11" ht="14.25" customHeight="1" x14ac:dyDescent="0.35">
      <c r="A123" s="8" t="s">
        <v>172</v>
      </c>
      <c r="B123" s="8" t="str">
        <f>IF(Table2[[#This Row],[Jenis_Proyek]]="", "Tidak Diketahui", Table2[[#This Row],[Jenis_Proyek]])</f>
        <v>Jembatan</v>
      </c>
      <c r="C123" s="8" t="str">
        <f>IF(Table2[[#This Row],[Lokasi]]="", "Tidak Diketahui", Table2[[#This Row],[Lokasi]])</f>
        <v>Medan</v>
      </c>
      <c r="D123" s="8" t="str">
        <f>IF(Table2[[#This Row],[Nama_Proyek]]="", "Tidak Diketahui", Table2[[#This Row],[Nama_Proyek]])</f>
        <v>Perbaikan Jembatan Medan</v>
      </c>
      <c r="E123" s="14">
        <v>45006</v>
      </c>
      <c r="F123" s="14">
        <v>45234</v>
      </c>
      <c r="G123" s="10">
        <v>7494641055</v>
      </c>
      <c r="H123" s="8" t="str">
        <f>IF(Table2[[#This Row],[Kontraktor]]="", "Tidak Diketahui",Table2[[#This Row],[Kontraktor]])</f>
        <v>Tidak Diketahui</v>
      </c>
      <c r="I123" s="11">
        <f>Table245[[#This Row],[Tanggal_Selesai]]-Table245[[#This Row],[Tanggal_Mulai]]</f>
        <v>228</v>
      </c>
      <c r="J123" s="17">
        <f>Table245[[#This Row],[Anggaran]]/Table245[[#This Row],[Durasi_Proyek]]</f>
        <v>32871232.697368421</v>
      </c>
      <c r="K123" s="11">
        <f>YEAR(Table245[[#This Row],[Tanggal_Mulai]])</f>
        <v>2023</v>
      </c>
    </row>
    <row r="124" spans="1:11" ht="14.25" customHeight="1" x14ac:dyDescent="0.35">
      <c r="A124" s="8" t="s">
        <v>173</v>
      </c>
      <c r="B124" s="8" t="str">
        <f>IF(Table2[[#This Row],[Jenis_Proyek]]="", "Tidak Diketahui", Table2[[#This Row],[Jenis_Proyek]])</f>
        <v>Gedung</v>
      </c>
      <c r="C124" s="8" t="str">
        <f>IF(Table2[[#This Row],[Lokasi]]="", "Tidak Diketahui", Table2[[#This Row],[Lokasi]])</f>
        <v>Medan</v>
      </c>
      <c r="D124" s="8" t="str">
        <f>IF(Table2[[#This Row],[Nama_Proyek]]="", "Tidak Diketahui", Table2[[#This Row],[Nama_Proyek]])</f>
        <v>Perbaikan Gedung Pemerintah Medan</v>
      </c>
      <c r="E124" s="14">
        <v>45008</v>
      </c>
      <c r="F124" s="14">
        <v>45268</v>
      </c>
      <c r="G124" s="10">
        <v>7221183664</v>
      </c>
      <c r="H124" s="8" t="str">
        <f>IF(Table2[[#This Row],[Kontraktor]]="", "Tidak Diketahui",Table2[[#This Row],[Kontraktor]])</f>
        <v>PT C</v>
      </c>
      <c r="I124" s="11">
        <f>Table245[[#This Row],[Tanggal_Selesai]]-Table245[[#This Row],[Tanggal_Mulai]]</f>
        <v>260</v>
      </c>
      <c r="J124" s="17">
        <f>Table245[[#This Row],[Anggaran]]/Table245[[#This Row],[Durasi_Proyek]]</f>
        <v>27773783.323076922</v>
      </c>
      <c r="K124" s="11">
        <f>YEAR(Table245[[#This Row],[Tanggal_Mulai]])</f>
        <v>2023</v>
      </c>
    </row>
    <row r="125" spans="1:11" ht="14.25" customHeight="1" x14ac:dyDescent="0.35">
      <c r="A125" s="8" t="s">
        <v>174</v>
      </c>
      <c r="B125" s="8" t="str">
        <f>IF(Table2[[#This Row],[Jenis_Proyek]]="", "Tidak Diketahui", Table2[[#This Row],[Jenis_Proyek]])</f>
        <v>Jalan Raya</v>
      </c>
      <c r="C125" s="8" t="str">
        <f>IF(Table2[[#This Row],[Lokasi]]="", "Tidak Diketahui", Table2[[#This Row],[Lokasi]])</f>
        <v>Bandung</v>
      </c>
      <c r="D125" s="8" t="str">
        <f>IF(Table2[[#This Row],[Nama_Proyek]]="", "Tidak Diketahui", Table2[[#This Row],[Nama_Proyek]])</f>
        <v>Perbaikan Jalan Raya Bandung</v>
      </c>
      <c r="E125" s="14">
        <v>45008</v>
      </c>
      <c r="F125" s="14">
        <v>45121</v>
      </c>
      <c r="G125" s="10">
        <v>870876750</v>
      </c>
      <c r="H125" s="8" t="str">
        <f>IF(Table2[[#This Row],[Kontraktor]]="", "Tidak Diketahui",Table2[[#This Row],[Kontraktor]])</f>
        <v>PT. Lailasari Hariyah (Persero) Tbk</v>
      </c>
      <c r="I125" s="11">
        <f>Table245[[#This Row],[Tanggal_Selesai]]-Table245[[#This Row],[Tanggal_Mulai]]</f>
        <v>113</v>
      </c>
      <c r="J125" s="17">
        <f>Table245[[#This Row],[Anggaran]]/Table245[[#This Row],[Durasi_Proyek]]</f>
        <v>7706873.8938053101</v>
      </c>
      <c r="K125" s="11">
        <f>YEAR(Table245[[#This Row],[Tanggal_Mulai]])</f>
        <v>2023</v>
      </c>
    </row>
    <row r="126" spans="1:11" ht="14.25" customHeight="1" x14ac:dyDescent="0.35">
      <c r="A126" s="8" t="s">
        <v>175</v>
      </c>
      <c r="B126" s="8" t="str">
        <f>IF(Table2[[#This Row],[Jenis_Proyek]]="", "Tidak Diketahui", Table2[[#This Row],[Jenis_Proyek]])</f>
        <v>Flyover</v>
      </c>
      <c r="C126" s="8" t="str">
        <f>IF(Table2[[#This Row],[Lokasi]]="", "Tidak Diketahui", Table2[[#This Row],[Lokasi]])</f>
        <v>Makassar</v>
      </c>
      <c r="D126" s="8" t="str">
        <f>IF(Table2[[#This Row],[Nama_Proyek]]="", "Tidak Diketahui", Table2[[#This Row],[Nama_Proyek]])</f>
        <v>Perbaikan Flyover Makassar</v>
      </c>
      <c r="E126" s="14">
        <v>45009</v>
      </c>
      <c r="F126" s="14">
        <v>45316</v>
      </c>
      <c r="G126" s="10">
        <v>2164051592</v>
      </c>
      <c r="H126" s="8" t="str">
        <f>IF(Table2[[#This Row],[Kontraktor]]="", "Tidak Diketahui",Table2[[#This Row],[Kontraktor]])</f>
        <v>PT C</v>
      </c>
      <c r="I126" s="11">
        <f>Table245[[#This Row],[Tanggal_Selesai]]-Table245[[#This Row],[Tanggal_Mulai]]</f>
        <v>307</v>
      </c>
      <c r="J126" s="17">
        <f>Table245[[#This Row],[Anggaran]]/Table245[[#This Row],[Durasi_Proyek]]</f>
        <v>7049027.9869706845</v>
      </c>
      <c r="K126" s="11">
        <f>YEAR(Table245[[#This Row],[Tanggal_Mulai]])</f>
        <v>2023</v>
      </c>
    </row>
    <row r="127" spans="1:11" ht="14.25" customHeight="1" x14ac:dyDescent="0.35">
      <c r="A127" s="8" t="s">
        <v>176</v>
      </c>
      <c r="B127" s="8" t="str">
        <f>IF(Table2[[#This Row],[Jenis_Proyek]]="", "Tidak Diketahui", Table2[[#This Row],[Jenis_Proyek]])</f>
        <v>Flyover</v>
      </c>
      <c r="C127" s="8" t="str">
        <f>IF(Table2[[#This Row],[Lokasi]]="", "Tidak Diketahui", Table2[[#This Row],[Lokasi]])</f>
        <v>Bandung</v>
      </c>
      <c r="D127" s="8" t="str">
        <f>IF(Table2[[#This Row],[Nama_Proyek]]="", "Tidak Diketahui", Table2[[#This Row],[Nama_Proyek]])</f>
        <v>Pembuatan Flyover Bandung</v>
      </c>
      <c r="E127" s="14">
        <v>45009</v>
      </c>
      <c r="F127" s="14">
        <v>45280</v>
      </c>
      <c r="G127" s="10">
        <v>3746270294</v>
      </c>
      <c r="H127" s="8" t="str">
        <f>IF(Table2[[#This Row],[Kontraktor]]="", "Tidak Diketahui",Table2[[#This Row],[Kontraktor]])</f>
        <v>PT C</v>
      </c>
      <c r="I127" s="11">
        <f>Table245[[#This Row],[Tanggal_Selesai]]-Table245[[#This Row],[Tanggal_Mulai]]</f>
        <v>271</v>
      </c>
      <c r="J127" s="17">
        <f>Table245[[#This Row],[Anggaran]]/Table245[[#This Row],[Durasi_Proyek]]</f>
        <v>13823875.623616235</v>
      </c>
      <c r="K127" s="11">
        <f>YEAR(Table245[[#This Row],[Tanggal_Mulai]])</f>
        <v>2023</v>
      </c>
    </row>
    <row r="128" spans="1:11" ht="14.25" customHeight="1" x14ac:dyDescent="0.35">
      <c r="A128" s="8" t="s">
        <v>177</v>
      </c>
      <c r="B128" s="8" t="str">
        <f>IF(Table2[[#This Row],[Jenis_Proyek]]="", "Tidak Diketahui", Table2[[#This Row],[Jenis_Proyek]])</f>
        <v>Gedung</v>
      </c>
      <c r="C128" s="8" t="str">
        <f>IF(Table2[[#This Row],[Lokasi]]="", "Tidak Diketahui", Table2[[#This Row],[Lokasi]])</f>
        <v>Bau-Bau</v>
      </c>
      <c r="D128" s="8" t="str">
        <f>IF(Table2[[#This Row],[Nama_Proyek]]="", "Tidak Diketahui", Table2[[#This Row],[Nama_Proyek]])</f>
        <v>Perbaikan Gedung Pemerintah Bau-Bau</v>
      </c>
      <c r="E128" s="14">
        <v>45010</v>
      </c>
      <c r="F128" s="14">
        <v>45049</v>
      </c>
      <c r="G128" s="10">
        <v>3094147448</v>
      </c>
      <c r="H128" s="8" t="str">
        <f>IF(Table2[[#This Row],[Kontraktor]]="", "Tidak Diketahui",Table2[[#This Row],[Kontraktor]])</f>
        <v>PT. Yuniar Hakim Tbk</v>
      </c>
      <c r="I128" s="11">
        <f>Table245[[#This Row],[Tanggal_Selesai]]-Table245[[#This Row],[Tanggal_Mulai]]</f>
        <v>39</v>
      </c>
      <c r="J128" s="17">
        <f>Table245[[#This Row],[Anggaran]]/Table245[[#This Row],[Durasi_Proyek]]</f>
        <v>79337114.051282048</v>
      </c>
      <c r="K128" s="11">
        <f>YEAR(Table245[[#This Row],[Tanggal_Mulai]])</f>
        <v>2023</v>
      </c>
    </row>
    <row r="129" spans="1:11" ht="14.25" customHeight="1" x14ac:dyDescent="0.35">
      <c r="A129" s="8" t="s">
        <v>178</v>
      </c>
      <c r="B129" s="8" t="str">
        <f>IF(Table2[[#This Row],[Jenis_Proyek]]="", "Tidak Diketahui", Table2[[#This Row],[Jenis_Proyek]])</f>
        <v>Tidak Diketahui</v>
      </c>
      <c r="C129" s="8" t="str">
        <f>IF(Table2[[#This Row],[Lokasi]]="", "Tidak Diketahui", Table2[[#This Row],[Lokasi]])</f>
        <v>Bandung</v>
      </c>
      <c r="D129" s="8" t="str">
        <f>IF(Table2[[#This Row],[Nama_Proyek]]="", "Tidak Diketahui", Table2[[#This Row],[Nama_Proyek]])</f>
        <v>Tidak Diketahui</v>
      </c>
      <c r="E129" s="14">
        <v>45010</v>
      </c>
      <c r="F129" s="14">
        <v>45091</v>
      </c>
      <c r="G129" s="10">
        <v>2960912774</v>
      </c>
      <c r="H129" s="8" t="str">
        <f>IF(Table2[[#This Row],[Kontraktor]]="", "Tidak Diketahui",Table2[[#This Row],[Kontraktor]])</f>
        <v>Tidak Diketahui</v>
      </c>
      <c r="I129" s="11">
        <f>Table245[[#This Row],[Tanggal_Selesai]]-Table245[[#This Row],[Tanggal_Mulai]]</f>
        <v>81</v>
      </c>
      <c r="J129" s="17">
        <f>Table245[[#This Row],[Anggaran]]/Table245[[#This Row],[Durasi_Proyek]]</f>
        <v>36554478.691358022</v>
      </c>
      <c r="K129" s="11">
        <f>YEAR(Table245[[#This Row],[Tanggal_Mulai]])</f>
        <v>2023</v>
      </c>
    </row>
    <row r="130" spans="1:11" ht="14.25" customHeight="1" x14ac:dyDescent="0.35">
      <c r="A130" s="8" t="s">
        <v>179</v>
      </c>
      <c r="B130" s="8" t="str">
        <f>IF(Table2[[#This Row],[Jenis_Proyek]]="", "Tidak Diketahui", Table2[[#This Row],[Jenis_Proyek]])</f>
        <v>Drainase</v>
      </c>
      <c r="C130" s="8" t="str">
        <f>IF(Table2[[#This Row],[Lokasi]]="", "Tidak Diketahui", Table2[[#This Row],[Lokasi]])</f>
        <v>Makassar</v>
      </c>
      <c r="D130" s="8" t="str">
        <f>IF(Table2[[#This Row],[Nama_Proyek]]="", "Tidak Diketahui", Table2[[#This Row],[Nama_Proyek]])</f>
        <v>Perbaikan Drainase Makassar</v>
      </c>
      <c r="E130" s="14">
        <v>45011</v>
      </c>
      <c r="F130" s="14">
        <v>45235</v>
      </c>
      <c r="G130" s="10">
        <v>421859230</v>
      </c>
      <c r="H130" s="8" t="str">
        <f>IF(Table2[[#This Row],[Kontraktor]]="", "Tidak Diketahui",Table2[[#This Row],[Kontraktor]])</f>
        <v>Tidak Diketahui</v>
      </c>
      <c r="I130" s="11">
        <f>Table245[[#This Row],[Tanggal_Selesai]]-Table245[[#This Row],[Tanggal_Mulai]]</f>
        <v>224</v>
      </c>
      <c r="J130" s="17">
        <f>Table245[[#This Row],[Anggaran]]/Table245[[#This Row],[Durasi_Proyek]]</f>
        <v>1883300.1339285714</v>
      </c>
      <c r="K130" s="11">
        <f>YEAR(Table245[[#This Row],[Tanggal_Mulai]])</f>
        <v>2023</v>
      </c>
    </row>
    <row r="131" spans="1:11" ht="14.25" customHeight="1" x14ac:dyDescent="0.35">
      <c r="A131" s="8" t="s">
        <v>180</v>
      </c>
      <c r="B131" s="8" t="str">
        <f>IF(Table2[[#This Row],[Jenis_Proyek]]="", "Tidak Diketahui", Table2[[#This Row],[Jenis_Proyek]])</f>
        <v>Jalan Raya</v>
      </c>
      <c r="C131" s="8" t="str">
        <f>IF(Table2[[#This Row],[Lokasi]]="", "Tidak Diketahui", Table2[[#This Row],[Lokasi]])</f>
        <v>Medan</v>
      </c>
      <c r="D131" s="8" t="str">
        <f>IF(Table2[[#This Row],[Nama_Proyek]]="", "Tidak Diketahui", Table2[[#This Row],[Nama_Proyek]])</f>
        <v>Perbaikan Jalan Raya Medan</v>
      </c>
      <c r="E131" s="14">
        <v>45013</v>
      </c>
      <c r="F131" s="14">
        <v>45161</v>
      </c>
      <c r="G131" s="10">
        <v>776411814</v>
      </c>
      <c r="H131" s="8" t="str">
        <f>IF(Table2[[#This Row],[Kontraktor]]="", "Tidak Diketahui",Table2[[#This Row],[Kontraktor]])</f>
        <v>CV Sihombing</v>
      </c>
      <c r="I131" s="11">
        <f>Table245[[#This Row],[Tanggal_Selesai]]-Table245[[#This Row],[Tanggal_Mulai]]</f>
        <v>148</v>
      </c>
      <c r="J131" s="17">
        <f>Table245[[#This Row],[Anggaran]]/Table245[[#This Row],[Durasi_Proyek]]</f>
        <v>5246025.7702702703</v>
      </c>
      <c r="K131" s="11">
        <f>YEAR(Table245[[#This Row],[Tanggal_Mulai]])</f>
        <v>2023</v>
      </c>
    </row>
    <row r="132" spans="1:11" ht="14.25" customHeight="1" x14ac:dyDescent="0.35">
      <c r="A132" s="8" t="s">
        <v>181</v>
      </c>
      <c r="B132" s="8" t="str">
        <f>IF(Table2[[#This Row],[Jenis_Proyek]]="", "Tidak Diketahui", Table2[[#This Row],[Jenis_Proyek]])</f>
        <v>Gedung</v>
      </c>
      <c r="C132" s="8" t="str">
        <f>IF(Table2[[#This Row],[Lokasi]]="", "Tidak Diketahui", Table2[[#This Row],[Lokasi]])</f>
        <v>Bandung</v>
      </c>
      <c r="D132" s="8" t="str">
        <f>IF(Table2[[#This Row],[Nama_Proyek]]="", "Tidak Diketahui", Table2[[#This Row],[Nama_Proyek]])</f>
        <v>Perbaikan Gedung Pemerintah Bandung</v>
      </c>
      <c r="E132" s="14">
        <v>45013</v>
      </c>
      <c r="F132" s="14">
        <v>45095</v>
      </c>
      <c r="G132" s="10">
        <v>5326254824</v>
      </c>
      <c r="H132" s="8" t="str">
        <f>IF(Table2[[#This Row],[Kontraktor]]="", "Tidak Diketahui",Table2[[#This Row],[Kontraktor]])</f>
        <v>PT. Yuniar Hakim Tbk</v>
      </c>
      <c r="I132" s="11">
        <f>Table245[[#This Row],[Tanggal_Selesai]]-Table245[[#This Row],[Tanggal_Mulai]]</f>
        <v>82</v>
      </c>
      <c r="J132" s="17">
        <f>Table245[[#This Row],[Anggaran]]/Table245[[#This Row],[Durasi_Proyek]]</f>
        <v>64954327.121951222</v>
      </c>
      <c r="K132" s="11">
        <f>YEAR(Table245[[#This Row],[Tanggal_Mulai]])</f>
        <v>2023</v>
      </c>
    </row>
    <row r="133" spans="1:11" ht="14.25" customHeight="1" x14ac:dyDescent="0.35">
      <c r="A133" s="8" t="s">
        <v>183</v>
      </c>
      <c r="B133" s="8" t="str">
        <f>IF(Table2[[#This Row],[Jenis_Proyek]]="", "Tidak Diketahui", Table2[[#This Row],[Jenis_Proyek]])</f>
        <v>Drainase</v>
      </c>
      <c r="C133" s="8" t="str">
        <f>IF(Table2[[#This Row],[Lokasi]]="", "Tidak Diketahui", Table2[[#This Row],[Lokasi]])</f>
        <v>Bandung</v>
      </c>
      <c r="D133" s="8" t="str">
        <f>IF(Table2[[#This Row],[Nama_Proyek]]="", "Tidak Diketahui", Table2[[#This Row],[Nama_Proyek]])</f>
        <v>Perbaikan Drainase Bandung</v>
      </c>
      <c r="E133" s="14">
        <v>45015</v>
      </c>
      <c r="F133" s="14">
        <v>45074</v>
      </c>
      <c r="G133" s="10">
        <v>737874671</v>
      </c>
      <c r="H133" s="8" t="str">
        <f>IF(Table2[[#This Row],[Kontraktor]]="", "Tidak Diketahui",Table2[[#This Row],[Kontraktor]])</f>
        <v>PT A</v>
      </c>
      <c r="I133" s="11">
        <f>Table245[[#This Row],[Tanggal_Selesai]]-Table245[[#This Row],[Tanggal_Mulai]]</f>
        <v>59</v>
      </c>
      <c r="J133" s="17">
        <f>Table245[[#This Row],[Anggaran]]/Table245[[#This Row],[Durasi_Proyek]]</f>
        <v>12506350.355932204</v>
      </c>
      <c r="K133" s="11">
        <f>YEAR(Table245[[#This Row],[Tanggal_Mulai]])</f>
        <v>2023</v>
      </c>
    </row>
    <row r="134" spans="1:11" ht="14.25" customHeight="1" x14ac:dyDescent="0.35">
      <c r="A134" s="8" t="s">
        <v>184</v>
      </c>
      <c r="B134" s="8" t="str">
        <f>IF(Table2[[#This Row],[Jenis_Proyek]]="", "Tidak Diketahui", Table2[[#This Row],[Jenis_Proyek]])</f>
        <v>Gedung</v>
      </c>
      <c r="C134" s="8" t="str">
        <f>IF(Table2[[#This Row],[Lokasi]]="", "Tidak Diketahui", Table2[[#This Row],[Lokasi]])</f>
        <v>Medan</v>
      </c>
      <c r="D134" s="8" t="str">
        <f>IF(Table2[[#This Row],[Nama_Proyek]]="", "Tidak Diketahui", Table2[[#This Row],[Nama_Proyek]])</f>
        <v>Perbaikan Gedung Pemerintah Medan</v>
      </c>
      <c r="E134" s="14">
        <v>45016</v>
      </c>
      <c r="F134" s="14">
        <v>45248</v>
      </c>
      <c r="G134" s="10">
        <v>6410731228</v>
      </c>
      <c r="H134" s="8" t="str">
        <f>IF(Table2[[#This Row],[Kontraktor]]="", "Tidak Diketahui",Table2[[#This Row],[Kontraktor]])</f>
        <v>PT B</v>
      </c>
      <c r="I134" s="11">
        <f>Table245[[#This Row],[Tanggal_Selesai]]-Table245[[#This Row],[Tanggal_Mulai]]</f>
        <v>232</v>
      </c>
      <c r="J134" s="17">
        <f>Table245[[#This Row],[Anggaran]]/Table245[[#This Row],[Durasi_Proyek]]</f>
        <v>27632462.189655174</v>
      </c>
      <c r="K134" s="11">
        <f>YEAR(Table245[[#This Row],[Tanggal_Mulai]])</f>
        <v>2023</v>
      </c>
    </row>
    <row r="135" spans="1:11" ht="14.25" customHeight="1" x14ac:dyDescent="0.35">
      <c r="A135" s="8" t="s">
        <v>186</v>
      </c>
      <c r="B135" s="8" t="str">
        <f>IF(Table2[[#This Row],[Jenis_Proyek]]="", "Tidak Diketahui", Table2[[#This Row],[Jenis_Proyek]])</f>
        <v>Jalan Raya</v>
      </c>
      <c r="C135" s="8" t="str">
        <f>IF(Table2[[#This Row],[Lokasi]]="", "Tidak Diketahui", Table2[[#This Row],[Lokasi]])</f>
        <v>Depok</v>
      </c>
      <c r="D135" s="8" t="str">
        <f>IF(Table2[[#This Row],[Nama_Proyek]]="", "Tidak Diketahui", Table2[[#This Row],[Nama_Proyek]])</f>
        <v>Perbaikan Jalan Raya Depok</v>
      </c>
      <c r="E135" s="14">
        <v>45017</v>
      </c>
      <c r="F135" s="14">
        <v>45162</v>
      </c>
      <c r="G135" s="10">
        <v>584530717</v>
      </c>
      <c r="H135" s="8" t="str">
        <f>IF(Table2[[#This Row],[Kontraktor]]="", "Tidak Diketahui",Table2[[#This Row],[Kontraktor]])</f>
        <v>PT. Yuniar Hakim Tbk</v>
      </c>
      <c r="I135" s="11">
        <f>Table245[[#This Row],[Tanggal_Selesai]]-Table245[[#This Row],[Tanggal_Mulai]]</f>
        <v>145</v>
      </c>
      <c r="J135" s="17">
        <f>Table245[[#This Row],[Anggaran]]/Table245[[#This Row],[Durasi_Proyek]]</f>
        <v>4031246.3241379312</v>
      </c>
      <c r="K135" s="11">
        <f>YEAR(Table245[[#This Row],[Tanggal_Mulai]])</f>
        <v>2023</v>
      </c>
    </row>
    <row r="136" spans="1:11" ht="14.25" customHeight="1" x14ac:dyDescent="0.35">
      <c r="A136" s="8" t="s">
        <v>187</v>
      </c>
      <c r="B136" s="8" t="str">
        <f>IF(Table2[[#This Row],[Jenis_Proyek]]="", "Tidak Diketahui", Table2[[#This Row],[Jenis_Proyek]])</f>
        <v>Gedung</v>
      </c>
      <c r="C136" s="8" t="str">
        <f>IF(Table2[[#This Row],[Lokasi]]="", "Tidak Diketahui", Table2[[#This Row],[Lokasi]])</f>
        <v>Surabaya</v>
      </c>
      <c r="D136" s="8" t="str">
        <f>IF(Table2[[#This Row],[Nama_Proyek]]="", "Tidak Diketahui", Table2[[#This Row],[Nama_Proyek]])</f>
        <v>Perbaikan Gedung Pemerintah Surabaya</v>
      </c>
      <c r="E136" s="14">
        <v>45017</v>
      </c>
      <c r="F136" s="14">
        <v>45209</v>
      </c>
      <c r="G136" s="10">
        <v>5399904068</v>
      </c>
      <c r="H136" s="8" t="str">
        <f>IF(Table2[[#This Row],[Kontraktor]]="", "Tidak Diketahui",Table2[[#This Row],[Kontraktor]])</f>
        <v>PT C</v>
      </c>
      <c r="I136" s="11">
        <f>Table245[[#This Row],[Tanggal_Selesai]]-Table245[[#This Row],[Tanggal_Mulai]]</f>
        <v>192</v>
      </c>
      <c r="J136" s="17">
        <f>Table245[[#This Row],[Anggaran]]/Table245[[#This Row],[Durasi_Proyek]]</f>
        <v>28124500.354166668</v>
      </c>
      <c r="K136" s="11">
        <f>YEAR(Table245[[#This Row],[Tanggal_Mulai]])</f>
        <v>2023</v>
      </c>
    </row>
    <row r="137" spans="1:11" ht="14.25" customHeight="1" x14ac:dyDescent="0.35">
      <c r="A137" s="8" t="s">
        <v>188</v>
      </c>
      <c r="B137" s="8" t="str">
        <f>IF(Table2[[#This Row],[Jenis_Proyek]]="", "Tidak Diketahui", Table2[[#This Row],[Jenis_Proyek]])</f>
        <v>Drainase</v>
      </c>
      <c r="C137" s="8" t="str">
        <f>IF(Table2[[#This Row],[Lokasi]]="", "Tidak Diketahui", Table2[[#This Row],[Lokasi]])</f>
        <v>Depok</v>
      </c>
      <c r="D137" s="8" t="str">
        <f>IF(Table2[[#This Row],[Nama_Proyek]]="", "Tidak Diketahui", Table2[[#This Row],[Nama_Proyek]])</f>
        <v>Perbaikan Drainase Depok</v>
      </c>
      <c r="E137" s="14">
        <v>45017</v>
      </c>
      <c r="F137" s="14">
        <v>45267</v>
      </c>
      <c r="G137" s="10">
        <v>620525430</v>
      </c>
      <c r="H137" s="8" t="str">
        <f>IF(Table2[[#This Row],[Kontraktor]]="", "Tidak Diketahui",Table2[[#This Row],[Kontraktor]])</f>
        <v>PT D</v>
      </c>
      <c r="I137" s="11">
        <f>Table245[[#This Row],[Tanggal_Selesai]]-Table245[[#This Row],[Tanggal_Mulai]]</f>
        <v>250</v>
      </c>
      <c r="J137" s="17">
        <f>Table245[[#This Row],[Anggaran]]/Table245[[#This Row],[Durasi_Proyek]]</f>
        <v>2482101.7200000002</v>
      </c>
      <c r="K137" s="11">
        <f>YEAR(Table245[[#This Row],[Tanggal_Mulai]])</f>
        <v>2023</v>
      </c>
    </row>
    <row r="138" spans="1:11" ht="14.25" customHeight="1" x14ac:dyDescent="0.35">
      <c r="A138" s="8" t="s">
        <v>189</v>
      </c>
      <c r="B138" s="8" t="str">
        <f>IF(Table2[[#This Row],[Jenis_Proyek]]="", "Tidak Diketahui", Table2[[#This Row],[Jenis_Proyek]])</f>
        <v>Flyover</v>
      </c>
      <c r="C138" s="8" t="str">
        <f>IF(Table2[[#This Row],[Lokasi]]="", "Tidak Diketahui", Table2[[#This Row],[Lokasi]])</f>
        <v>Jakarta</v>
      </c>
      <c r="D138" s="8" t="str">
        <f>IF(Table2[[#This Row],[Nama_Proyek]]="", "Tidak Diketahui", Table2[[#This Row],[Nama_Proyek]])</f>
        <v>Pembuatan Flyover Jakarta</v>
      </c>
      <c r="E138" s="14">
        <v>45017</v>
      </c>
      <c r="F138" s="14">
        <v>45372</v>
      </c>
      <c r="G138" s="10">
        <v>2278233533</v>
      </c>
      <c r="H138" s="8" t="str">
        <f>IF(Table2[[#This Row],[Kontraktor]]="", "Tidak Diketahui",Table2[[#This Row],[Kontraktor]])</f>
        <v>PT. Yuniar Hakim Tbk</v>
      </c>
      <c r="I138" s="11">
        <f>Table245[[#This Row],[Tanggal_Selesai]]-Table245[[#This Row],[Tanggal_Mulai]]</f>
        <v>355</v>
      </c>
      <c r="J138" s="17">
        <f>Table245[[#This Row],[Anggaran]]/Table245[[#This Row],[Durasi_Proyek]]</f>
        <v>6417559.2478873236</v>
      </c>
      <c r="K138" s="11">
        <f>YEAR(Table245[[#This Row],[Tanggal_Mulai]])</f>
        <v>2023</v>
      </c>
    </row>
    <row r="139" spans="1:11" ht="14.25" customHeight="1" x14ac:dyDescent="0.35">
      <c r="A139" s="8" t="s">
        <v>190</v>
      </c>
      <c r="B139" s="8" t="str">
        <f>IF(Table2[[#This Row],[Jenis_Proyek]]="", "Tidak Diketahui", Table2[[#This Row],[Jenis_Proyek]])</f>
        <v>Gedung</v>
      </c>
      <c r="C139" s="8" t="str">
        <f>IF(Table2[[#This Row],[Lokasi]]="", "Tidak Diketahui", Table2[[#This Row],[Lokasi]])</f>
        <v>Jakarta</v>
      </c>
      <c r="D139" s="8" t="str">
        <f>IF(Table2[[#This Row],[Nama_Proyek]]="", "Tidak Diketahui", Table2[[#This Row],[Nama_Proyek]])</f>
        <v>Perbaikan Gedung Pemerintah Jakarta</v>
      </c>
      <c r="E139" s="14">
        <v>45017</v>
      </c>
      <c r="F139" s="14">
        <v>45369</v>
      </c>
      <c r="G139" s="10">
        <v>2425304687</v>
      </c>
      <c r="H139" s="8" t="str">
        <f>IF(Table2[[#This Row],[Kontraktor]]="", "Tidak Diketahui",Table2[[#This Row],[Kontraktor]])</f>
        <v>PT C</v>
      </c>
      <c r="I139" s="11">
        <f>Table245[[#This Row],[Tanggal_Selesai]]-Table245[[#This Row],[Tanggal_Mulai]]</f>
        <v>352</v>
      </c>
      <c r="J139" s="17">
        <f>Table245[[#This Row],[Anggaran]]/Table245[[#This Row],[Durasi_Proyek]]</f>
        <v>6890070.1335227275</v>
      </c>
      <c r="K139" s="11">
        <f>YEAR(Table245[[#This Row],[Tanggal_Mulai]])</f>
        <v>2023</v>
      </c>
    </row>
    <row r="140" spans="1:11" ht="14.25" customHeight="1" x14ac:dyDescent="0.35">
      <c r="A140" s="8" t="s">
        <v>191</v>
      </c>
      <c r="B140" s="8" t="str">
        <f>IF(Table2[[#This Row],[Jenis_Proyek]]="", "Tidak Diketahui", Table2[[#This Row],[Jenis_Proyek]])</f>
        <v>Gedung</v>
      </c>
      <c r="C140" s="8" t="str">
        <f>IF(Table2[[#This Row],[Lokasi]]="", "Tidak Diketahui", Table2[[#This Row],[Lokasi]])</f>
        <v>Depok</v>
      </c>
      <c r="D140" s="8" t="str">
        <f>IF(Table2[[#This Row],[Nama_Proyek]]="", "Tidak Diketahui", Table2[[#This Row],[Nama_Proyek]])</f>
        <v>Perbaikan Gedung Pemerintah Depok</v>
      </c>
      <c r="E140" s="14">
        <v>45017</v>
      </c>
      <c r="F140" s="14">
        <v>45053</v>
      </c>
      <c r="G140" s="10">
        <v>3263728734</v>
      </c>
      <c r="H140" s="8" t="str">
        <f>IF(Table2[[#This Row],[Kontraktor]]="", "Tidak Diketahui",Table2[[#This Row],[Kontraktor]])</f>
        <v>CV Sihombing</v>
      </c>
      <c r="I140" s="11">
        <f>Table245[[#This Row],[Tanggal_Selesai]]-Table245[[#This Row],[Tanggal_Mulai]]</f>
        <v>36</v>
      </c>
      <c r="J140" s="17">
        <f>Table245[[#This Row],[Anggaran]]/Table245[[#This Row],[Durasi_Proyek]]</f>
        <v>90659131.5</v>
      </c>
      <c r="K140" s="11">
        <f>YEAR(Table245[[#This Row],[Tanggal_Mulai]])</f>
        <v>2023</v>
      </c>
    </row>
    <row r="141" spans="1:11" ht="14.25" customHeight="1" x14ac:dyDescent="0.35">
      <c r="A141" s="8" t="s">
        <v>192</v>
      </c>
      <c r="B141" s="8" t="str">
        <f>IF(Table2[[#This Row],[Jenis_Proyek]]="", "Tidak Diketahui", Table2[[#This Row],[Jenis_Proyek]])</f>
        <v>Gedung</v>
      </c>
      <c r="C141" s="8" t="str">
        <f>IF(Table2[[#This Row],[Lokasi]]="", "Tidak Diketahui", Table2[[#This Row],[Lokasi]])</f>
        <v>Makassar</v>
      </c>
      <c r="D141" s="8" t="str">
        <f>IF(Table2[[#This Row],[Nama_Proyek]]="", "Tidak Diketahui", Table2[[#This Row],[Nama_Proyek]])</f>
        <v>Perbaikan Gedung Pemerintah Makassar</v>
      </c>
      <c r="E141" s="14">
        <v>45018</v>
      </c>
      <c r="F141" s="14">
        <v>45255</v>
      </c>
      <c r="G141" s="10">
        <v>7299558365</v>
      </c>
      <c r="H141" s="8" t="str">
        <f>IF(Table2[[#This Row],[Kontraktor]]="", "Tidak Diketahui",Table2[[#This Row],[Kontraktor]])</f>
        <v>PT. Yuniar Hakim Tbk</v>
      </c>
      <c r="I141" s="11">
        <f>Table245[[#This Row],[Tanggal_Selesai]]-Table245[[#This Row],[Tanggal_Mulai]]</f>
        <v>237</v>
      </c>
      <c r="J141" s="17">
        <f>Table245[[#This Row],[Anggaran]]/Table245[[#This Row],[Durasi_Proyek]]</f>
        <v>30799824.324894514</v>
      </c>
      <c r="K141" s="11">
        <f>YEAR(Table245[[#This Row],[Tanggal_Mulai]])</f>
        <v>2023</v>
      </c>
    </row>
    <row r="142" spans="1:11" ht="14.25" customHeight="1" x14ac:dyDescent="0.35">
      <c r="A142" s="8" t="s">
        <v>193</v>
      </c>
      <c r="B142" s="8" t="str">
        <f>IF(Table2[[#This Row],[Jenis_Proyek]]="", "Tidak Diketahui", Table2[[#This Row],[Jenis_Proyek]])</f>
        <v>Jalan Raya</v>
      </c>
      <c r="C142" s="8" t="str">
        <f>IF(Table2[[#This Row],[Lokasi]]="", "Tidak Diketahui", Table2[[#This Row],[Lokasi]])</f>
        <v>Medan</v>
      </c>
      <c r="D142" s="8" t="str">
        <f>IF(Table2[[#This Row],[Nama_Proyek]]="", "Tidak Diketahui", Table2[[#This Row],[Nama_Proyek]])</f>
        <v>Perbaikan Jalan Raya Medan</v>
      </c>
      <c r="E142" s="14">
        <v>45018</v>
      </c>
      <c r="F142" s="14">
        <v>45084</v>
      </c>
      <c r="G142" s="10">
        <v>304540977</v>
      </c>
      <c r="H142" s="8" t="str">
        <f>IF(Table2[[#This Row],[Kontraktor]]="", "Tidak Diketahui",Table2[[#This Row],[Kontraktor]])</f>
        <v>CV Sihombing</v>
      </c>
      <c r="I142" s="11">
        <f>Table245[[#This Row],[Tanggal_Selesai]]-Table245[[#This Row],[Tanggal_Mulai]]</f>
        <v>66</v>
      </c>
      <c r="J142" s="17">
        <f>Table245[[#This Row],[Anggaran]]/Table245[[#This Row],[Durasi_Proyek]]</f>
        <v>4614257.2272727275</v>
      </c>
      <c r="K142" s="11">
        <f>YEAR(Table245[[#This Row],[Tanggal_Mulai]])</f>
        <v>2023</v>
      </c>
    </row>
    <row r="143" spans="1:11" ht="14.25" customHeight="1" x14ac:dyDescent="0.35">
      <c r="A143" s="8" t="s">
        <v>194</v>
      </c>
      <c r="B143" s="8" t="str">
        <f>IF(Table2[[#This Row],[Jenis_Proyek]]="", "Tidak Diketahui", Table2[[#This Row],[Jenis_Proyek]])</f>
        <v>Jembatan</v>
      </c>
      <c r="C143" s="8" t="str">
        <f>IF(Table2[[#This Row],[Lokasi]]="", "Tidak Diketahui", Table2[[#This Row],[Lokasi]])</f>
        <v>Depok</v>
      </c>
      <c r="D143" s="8" t="str">
        <f>IF(Table2[[#This Row],[Nama_Proyek]]="", "Tidak Diketahui", Table2[[#This Row],[Nama_Proyek]])</f>
        <v>Perbaikan Jembatan Depok</v>
      </c>
      <c r="E143" s="14">
        <v>45018</v>
      </c>
      <c r="F143" s="14">
        <v>45371</v>
      </c>
      <c r="G143" s="10">
        <v>5043663492</v>
      </c>
      <c r="H143" s="8" t="str">
        <f>IF(Table2[[#This Row],[Kontraktor]]="", "Tidak Diketahui",Table2[[#This Row],[Kontraktor]])</f>
        <v>PT. Yuniar Hakim Tbk</v>
      </c>
      <c r="I143" s="11">
        <f>Table245[[#This Row],[Tanggal_Selesai]]-Table245[[#This Row],[Tanggal_Mulai]]</f>
        <v>353</v>
      </c>
      <c r="J143" s="17">
        <f>Table245[[#This Row],[Anggaran]]/Table245[[#This Row],[Durasi_Proyek]]</f>
        <v>14287998.560906516</v>
      </c>
      <c r="K143" s="11">
        <f>YEAR(Table245[[#This Row],[Tanggal_Mulai]])</f>
        <v>2023</v>
      </c>
    </row>
    <row r="144" spans="1:11" ht="14.25" customHeight="1" x14ac:dyDescent="0.35">
      <c r="A144" s="8" t="s">
        <v>195</v>
      </c>
      <c r="B144" s="8" t="str">
        <f>IF(Table2[[#This Row],[Jenis_Proyek]]="", "Tidak Diketahui", Table2[[#This Row],[Jenis_Proyek]])</f>
        <v>Flyover</v>
      </c>
      <c r="C144" s="8" t="str">
        <f>IF(Table2[[#This Row],[Lokasi]]="", "Tidak Diketahui", Table2[[#This Row],[Lokasi]])</f>
        <v>Makassar</v>
      </c>
      <c r="D144" s="8" t="str">
        <f>IF(Table2[[#This Row],[Nama_Proyek]]="", "Tidak Diketahui", Table2[[#This Row],[Nama_Proyek]])</f>
        <v>Perbaikan Flyover Makassar</v>
      </c>
      <c r="E144" s="14">
        <v>45020</v>
      </c>
      <c r="F144" s="14">
        <v>45200</v>
      </c>
      <c r="G144" s="10">
        <v>3438414318</v>
      </c>
      <c r="H144" s="8" t="str">
        <f>IF(Table2[[#This Row],[Kontraktor]]="", "Tidak Diketahui",Table2[[#This Row],[Kontraktor]])</f>
        <v>PT. Lailasari Hariyah (Persero) Tbk</v>
      </c>
      <c r="I144" s="11">
        <f>Table245[[#This Row],[Tanggal_Selesai]]-Table245[[#This Row],[Tanggal_Mulai]]</f>
        <v>180</v>
      </c>
      <c r="J144" s="17">
        <f>Table245[[#This Row],[Anggaran]]/Table245[[#This Row],[Durasi_Proyek]]</f>
        <v>19102301.766666666</v>
      </c>
      <c r="K144" s="11">
        <f>YEAR(Table245[[#This Row],[Tanggal_Mulai]])</f>
        <v>2023</v>
      </c>
    </row>
    <row r="145" spans="1:11" ht="14.25" customHeight="1" x14ac:dyDescent="0.35">
      <c r="A145" s="8" t="s">
        <v>196</v>
      </c>
      <c r="B145" s="8" t="str">
        <f>IF(Table2[[#This Row],[Jenis_Proyek]]="", "Tidak Diketahui", Table2[[#This Row],[Jenis_Proyek]])</f>
        <v>Jalan Raya</v>
      </c>
      <c r="C145" s="8" t="str">
        <f>IF(Table2[[#This Row],[Lokasi]]="", "Tidak Diketahui", Table2[[#This Row],[Lokasi]])</f>
        <v>Makassar</v>
      </c>
      <c r="D145" s="8" t="str">
        <f>IF(Table2[[#This Row],[Nama_Proyek]]="", "Tidak Diketahui", Table2[[#This Row],[Nama_Proyek]])</f>
        <v>Perbaikan Jalan Raya Makassar</v>
      </c>
      <c r="E145" s="14">
        <v>45020</v>
      </c>
      <c r="F145" s="14">
        <v>45381</v>
      </c>
      <c r="G145" s="10">
        <v>538173778</v>
      </c>
      <c r="H145" s="8" t="str">
        <f>IF(Table2[[#This Row],[Kontraktor]]="", "Tidak Diketahui",Table2[[#This Row],[Kontraktor]])</f>
        <v>PT. Yuniar Hakim Tbk</v>
      </c>
      <c r="I145" s="11">
        <f>Table245[[#This Row],[Tanggal_Selesai]]-Table245[[#This Row],[Tanggal_Mulai]]</f>
        <v>361</v>
      </c>
      <c r="J145" s="17">
        <f>Table245[[#This Row],[Anggaran]]/Table245[[#This Row],[Durasi_Proyek]]</f>
        <v>1490786.0886426594</v>
      </c>
      <c r="K145" s="11">
        <f>YEAR(Table245[[#This Row],[Tanggal_Mulai]])</f>
        <v>2023</v>
      </c>
    </row>
    <row r="146" spans="1:11" ht="14.25" customHeight="1" x14ac:dyDescent="0.35">
      <c r="A146" s="8" t="s">
        <v>197</v>
      </c>
      <c r="B146" s="8" t="str">
        <f>IF(Table2[[#This Row],[Jenis_Proyek]]="", "Tidak Diketahui", Table2[[#This Row],[Jenis_Proyek]])</f>
        <v>Gedung</v>
      </c>
      <c r="C146" s="8" t="str">
        <f>IF(Table2[[#This Row],[Lokasi]]="", "Tidak Diketahui", Table2[[#This Row],[Lokasi]])</f>
        <v>Jakarta</v>
      </c>
      <c r="D146" s="8" t="str">
        <f>IF(Table2[[#This Row],[Nama_Proyek]]="", "Tidak Diketahui", Table2[[#This Row],[Nama_Proyek]])</f>
        <v>Perbaikan Gedung Pemerintah Jakarta</v>
      </c>
      <c r="E146" s="14">
        <v>45022</v>
      </c>
      <c r="F146" s="14">
        <v>45248</v>
      </c>
      <c r="G146" s="10">
        <v>4142478037</v>
      </c>
      <c r="H146" s="8" t="str">
        <f>IF(Table2[[#This Row],[Kontraktor]]="", "Tidak Diketahui",Table2[[#This Row],[Kontraktor]])</f>
        <v>PT B</v>
      </c>
      <c r="I146" s="11">
        <f>Table245[[#This Row],[Tanggal_Selesai]]-Table245[[#This Row],[Tanggal_Mulai]]</f>
        <v>226</v>
      </c>
      <c r="J146" s="17">
        <f>Table245[[#This Row],[Anggaran]]/Table245[[#This Row],[Durasi_Proyek]]</f>
        <v>18329548.836283185</v>
      </c>
      <c r="K146" s="11">
        <f>YEAR(Table245[[#This Row],[Tanggal_Mulai]])</f>
        <v>2023</v>
      </c>
    </row>
    <row r="147" spans="1:11" ht="14.25" customHeight="1" x14ac:dyDescent="0.35">
      <c r="A147" s="8" t="s">
        <v>198</v>
      </c>
      <c r="B147" s="8" t="str">
        <f>IF(Table2[[#This Row],[Jenis_Proyek]]="", "Tidak Diketahui", Table2[[#This Row],[Jenis_Proyek]])</f>
        <v>Jembatan</v>
      </c>
      <c r="C147" s="8" t="str">
        <f>IF(Table2[[#This Row],[Lokasi]]="", "Tidak Diketahui", Table2[[#This Row],[Lokasi]])</f>
        <v>Surabaya</v>
      </c>
      <c r="D147" s="8" t="str">
        <f>IF(Table2[[#This Row],[Nama_Proyek]]="", "Tidak Diketahui", Table2[[#This Row],[Nama_Proyek]])</f>
        <v>Pembuatan Jembatan Surabaya</v>
      </c>
      <c r="E147" s="14">
        <v>45023</v>
      </c>
      <c r="F147" s="14">
        <v>45075</v>
      </c>
      <c r="G147" s="10">
        <v>4552866676</v>
      </c>
      <c r="H147" s="8" t="str">
        <f>IF(Table2[[#This Row],[Kontraktor]]="", "Tidak Diketahui",Table2[[#This Row],[Kontraktor]])</f>
        <v>PT A</v>
      </c>
      <c r="I147" s="11">
        <f>Table245[[#This Row],[Tanggal_Selesai]]-Table245[[#This Row],[Tanggal_Mulai]]</f>
        <v>52</v>
      </c>
      <c r="J147" s="17">
        <f>Table245[[#This Row],[Anggaran]]/Table245[[#This Row],[Durasi_Proyek]]</f>
        <v>87555128.384615391</v>
      </c>
      <c r="K147" s="11">
        <f>YEAR(Table245[[#This Row],[Tanggal_Mulai]])</f>
        <v>2023</v>
      </c>
    </row>
    <row r="148" spans="1:11" ht="14.25" customHeight="1" x14ac:dyDescent="0.35">
      <c r="A148" s="8" t="s">
        <v>199</v>
      </c>
      <c r="B148" s="8" t="str">
        <f>IF(Table2[[#This Row],[Jenis_Proyek]]="", "Tidak Diketahui", Table2[[#This Row],[Jenis_Proyek]])</f>
        <v>Jalan Raya</v>
      </c>
      <c r="C148" s="8" t="str">
        <f>IF(Table2[[#This Row],[Lokasi]]="", "Tidak Diketahui", Table2[[#This Row],[Lokasi]])</f>
        <v>Tomohon</v>
      </c>
      <c r="D148" s="8" t="str">
        <f>IF(Table2[[#This Row],[Nama_Proyek]]="", "Tidak Diketahui", Table2[[#This Row],[Nama_Proyek]])</f>
        <v>Perbaikan Jalan Raya Tomohon</v>
      </c>
      <c r="E148" s="14">
        <v>45024</v>
      </c>
      <c r="F148" s="14">
        <v>45121</v>
      </c>
      <c r="G148" s="10">
        <v>902216985</v>
      </c>
      <c r="H148" s="8" t="str">
        <f>IF(Table2[[#This Row],[Kontraktor]]="", "Tidak Diketahui",Table2[[#This Row],[Kontraktor]])</f>
        <v>PT D</v>
      </c>
      <c r="I148" s="11">
        <f>Table245[[#This Row],[Tanggal_Selesai]]-Table245[[#This Row],[Tanggal_Mulai]]</f>
        <v>97</v>
      </c>
      <c r="J148" s="17">
        <f>Table245[[#This Row],[Anggaran]]/Table245[[#This Row],[Durasi_Proyek]]</f>
        <v>9301206.030927835</v>
      </c>
      <c r="K148" s="11">
        <f>YEAR(Table245[[#This Row],[Tanggal_Mulai]])</f>
        <v>2023</v>
      </c>
    </row>
    <row r="149" spans="1:11" ht="14.25" customHeight="1" x14ac:dyDescent="0.35">
      <c r="A149" s="8" t="s">
        <v>200</v>
      </c>
      <c r="B149" s="8" t="str">
        <f>IF(Table2[[#This Row],[Jenis_Proyek]]="", "Tidak Diketahui", Table2[[#This Row],[Jenis_Proyek]])</f>
        <v>Jembatan</v>
      </c>
      <c r="C149" s="8" t="str">
        <f>IF(Table2[[#This Row],[Lokasi]]="", "Tidak Diketahui", Table2[[#This Row],[Lokasi]])</f>
        <v>Bandung</v>
      </c>
      <c r="D149" s="8" t="str">
        <f>IF(Table2[[#This Row],[Nama_Proyek]]="", "Tidak Diketahui", Table2[[#This Row],[Nama_Proyek]])</f>
        <v>Perbaikan Jembatan Bandung</v>
      </c>
      <c r="E149" s="14">
        <v>45024</v>
      </c>
      <c r="F149" s="14">
        <v>45253</v>
      </c>
      <c r="G149" s="10">
        <v>6582376288</v>
      </c>
      <c r="H149" s="8" t="str">
        <f>IF(Table2[[#This Row],[Kontraktor]]="", "Tidak Diketahui",Table2[[#This Row],[Kontraktor]])</f>
        <v>PT C</v>
      </c>
      <c r="I149" s="11">
        <f>Table245[[#This Row],[Tanggal_Selesai]]-Table245[[#This Row],[Tanggal_Mulai]]</f>
        <v>229</v>
      </c>
      <c r="J149" s="17">
        <f>Table245[[#This Row],[Anggaran]]/Table245[[#This Row],[Durasi_Proyek]]</f>
        <v>28744001.257641923</v>
      </c>
      <c r="K149" s="11">
        <f>YEAR(Table245[[#This Row],[Tanggal_Mulai]])</f>
        <v>2023</v>
      </c>
    </row>
    <row r="150" spans="1:11" ht="14.25" customHeight="1" x14ac:dyDescent="0.35">
      <c r="A150" s="8" t="s">
        <v>201</v>
      </c>
      <c r="B150" s="8" t="str">
        <f>IF(Table2[[#This Row],[Jenis_Proyek]]="", "Tidak Diketahui", Table2[[#This Row],[Jenis_Proyek]])</f>
        <v>Drainase</v>
      </c>
      <c r="C150" s="8" t="str">
        <f>IF(Table2[[#This Row],[Lokasi]]="", "Tidak Diketahui", Table2[[#This Row],[Lokasi]])</f>
        <v>Surabaya</v>
      </c>
      <c r="D150" s="8" t="str">
        <f>IF(Table2[[#This Row],[Nama_Proyek]]="", "Tidak Diketahui", Table2[[#This Row],[Nama_Proyek]])</f>
        <v>Perbaikan Drainase Surabaya</v>
      </c>
      <c r="E150" s="14">
        <v>45026</v>
      </c>
      <c r="F150" s="14">
        <v>45305</v>
      </c>
      <c r="G150" s="10">
        <v>204769884</v>
      </c>
      <c r="H150" s="8" t="str">
        <f>IF(Table2[[#This Row],[Kontraktor]]="", "Tidak Diketahui",Table2[[#This Row],[Kontraktor]])</f>
        <v>PT. Lailasari Hariyah (Persero) Tbk</v>
      </c>
      <c r="I150" s="11">
        <f>Table245[[#This Row],[Tanggal_Selesai]]-Table245[[#This Row],[Tanggal_Mulai]]</f>
        <v>279</v>
      </c>
      <c r="J150" s="17">
        <f>Table245[[#This Row],[Anggaran]]/Table245[[#This Row],[Durasi_Proyek]]</f>
        <v>733942.2365591398</v>
      </c>
      <c r="K150" s="11">
        <f>YEAR(Table245[[#This Row],[Tanggal_Mulai]])</f>
        <v>2023</v>
      </c>
    </row>
    <row r="151" spans="1:11" ht="14.25" customHeight="1" x14ac:dyDescent="0.35">
      <c r="A151" s="8" t="s">
        <v>202</v>
      </c>
      <c r="B151" s="8" t="str">
        <f>IF(Table2[[#This Row],[Jenis_Proyek]]="", "Tidak Diketahui", Table2[[#This Row],[Jenis_Proyek]])</f>
        <v>Jalan Raya</v>
      </c>
      <c r="C151" s="8" t="str">
        <f>IF(Table2[[#This Row],[Lokasi]]="", "Tidak Diketahui", Table2[[#This Row],[Lokasi]])</f>
        <v>Bandung</v>
      </c>
      <c r="D151" s="8" t="str">
        <f>IF(Table2[[#This Row],[Nama_Proyek]]="", "Tidak Diketahui", Table2[[#This Row],[Nama_Proyek]])</f>
        <v>Perbaikan Jalan Raya Bandung</v>
      </c>
      <c r="E151" s="14">
        <v>45026</v>
      </c>
      <c r="F151" s="14">
        <v>45320</v>
      </c>
      <c r="G151" s="10">
        <v>100103542</v>
      </c>
      <c r="H151" s="8" t="str">
        <f>IF(Table2[[#This Row],[Kontraktor]]="", "Tidak Diketahui",Table2[[#This Row],[Kontraktor]])</f>
        <v>PT B</v>
      </c>
      <c r="I151" s="11">
        <f>Table245[[#This Row],[Tanggal_Selesai]]-Table245[[#This Row],[Tanggal_Mulai]]</f>
        <v>294</v>
      </c>
      <c r="J151" s="17">
        <f>Table245[[#This Row],[Anggaran]]/Table245[[#This Row],[Durasi_Proyek]]</f>
        <v>340488.23809523811</v>
      </c>
      <c r="K151" s="11">
        <f>YEAR(Table245[[#This Row],[Tanggal_Mulai]])</f>
        <v>2023</v>
      </c>
    </row>
    <row r="152" spans="1:11" ht="14.25" customHeight="1" x14ac:dyDescent="0.35">
      <c r="A152" s="8" t="s">
        <v>203</v>
      </c>
      <c r="B152" s="8" t="str">
        <f>IF(Table2[[#This Row],[Jenis_Proyek]]="", "Tidak Diketahui", Table2[[#This Row],[Jenis_Proyek]])</f>
        <v>Jembatan</v>
      </c>
      <c r="C152" s="8" t="str">
        <f>IF(Table2[[#This Row],[Lokasi]]="", "Tidak Diketahui", Table2[[#This Row],[Lokasi]])</f>
        <v>Jakarta</v>
      </c>
      <c r="D152" s="8" t="str">
        <f>IF(Table2[[#This Row],[Nama_Proyek]]="", "Tidak Diketahui", Table2[[#This Row],[Nama_Proyek]])</f>
        <v>Pembuatan Jembatan Jakarta</v>
      </c>
      <c r="E152" s="14">
        <v>45028</v>
      </c>
      <c r="F152" s="14">
        <v>45097</v>
      </c>
      <c r="G152" s="10">
        <v>567827038</v>
      </c>
      <c r="H152" s="8" t="str">
        <f>IF(Table2[[#This Row],[Kontraktor]]="", "Tidak Diketahui",Table2[[#This Row],[Kontraktor]])</f>
        <v>PT. Yuniar Hakim Tbk</v>
      </c>
      <c r="I152" s="11">
        <f>Table245[[#This Row],[Tanggal_Selesai]]-Table245[[#This Row],[Tanggal_Mulai]]</f>
        <v>69</v>
      </c>
      <c r="J152" s="17">
        <f>Table245[[#This Row],[Anggaran]]/Table245[[#This Row],[Durasi_Proyek]]</f>
        <v>8229377.3623188408</v>
      </c>
      <c r="K152" s="11">
        <f>YEAR(Table245[[#This Row],[Tanggal_Mulai]])</f>
        <v>2023</v>
      </c>
    </row>
    <row r="153" spans="1:11" ht="14.25" customHeight="1" x14ac:dyDescent="0.35">
      <c r="A153" s="8" t="s">
        <v>204</v>
      </c>
      <c r="B153" s="8" t="str">
        <f>IF(Table2[[#This Row],[Jenis_Proyek]]="", "Tidak Diketahui", Table2[[#This Row],[Jenis_Proyek]])</f>
        <v>Gedung</v>
      </c>
      <c r="C153" s="8" t="str">
        <f>IF(Table2[[#This Row],[Lokasi]]="", "Tidak Diketahui", Table2[[#This Row],[Lokasi]])</f>
        <v>Surabaya</v>
      </c>
      <c r="D153" s="8" t="str">
        <f>IF(Table2[[#This Row],[Nama_Proyek]]="", "Tidak Diketahui", Table2[[#This Row],[Nama_Proyek]])</f>
        <v>Perbaikan Gedung Pemerintah Surabaya</v>
      </c>
      <c r="E153" s="14">
        <v>45031</v>
      </c>
      <c r="F153" s="14">
        <v>45211</v>
      </c>
      <c r="G153" s="10">
        <v>7382613940</v>
      </c>
      <c r="H153" s="8" t="str">
        <f>IF(Table2[[#This Row],[Kontraktor]]="", "Tidak Diketahui",Table2[[#This Row],[Kontraktor]])</f>
        <v>PT A</v>
      </c>
      <c r="I153" s="11">
        <f>Table245[[#This Row],[Tanggal_Selesai]]-Table245[[#This Row],[Tanggal_Mulai]]</f>
        <v>180</v>
      </c>
      <c r="J153" s="17">
        <f>Table245[[#This Row],[Anggaran]]/Table245[[#This Row],[Durasi_Proyek]]</f>
        <v>41014521.888888888</v>
      </c>
      <c r="K153" s="11">
        <f>YEAR(Table245[[#This Row],[Tanggal_Mulai]])</f>
        <v>2023</v>
      </c>
    </row>
    <row r="154" spans="1:11" ht="14.25" customHeight="1" x14ac:dyDescent="0.35">
      <c r="A154" s="8" t="s">
        <v>205</v>
      </c>
      <c r="B154" s="8" t="str">
        <f>IF(Table2[[#This Row],[Jenis_Proyek]]="", "Tidak Diketahui", Table2[[#This Row],[Jenis_Proyek]])</f>
        <v>Gedung</v>
      </c>
      <c r="C154" s="8" t="str">
        <f>IF(Table2[[#This Row],[Lokasi]]="", "Tidak Diketahui", Table2[[#This Row],[Lokasi]])</f>
        <v>Jakarta</v>
      </c>
      <c r="D154" s="8" t="str">
        <f>IF(Table2[[#This Row],[Nama_Proyek]]="", "Tidak Diketahui", Table2[[#This Row],[Nama_Proyek]])</f>
        <v>Perbaikan Gedung Pemerintah Jakarta</v>
      </c>
      <c r="E154" s="14">
        <v>45031</v>
      </c>
      <c r="F154" s="14">
        <v>45123</v>
      </c>
      <c r="G154" s="10">
        <v>3840273247</v>
      </c>
      <c r="H154" s="8" t="str">
        <f>IF(Table2[[#This Row],[Kontraktor]]="", "Tidak Diketahui",Table2[[#This Row],[Kontraktor]])</f>
        <v>PT C</v>
      </c>
      <c r="I154" s="11">
        <f>Table245[[#This Row],[Tanggal_Selesai]]-Table245[[#This Row],[Tanggal_Mulai]]</f>
        <v>92</v>
      </c>
      <c r="J154" s="17">
        <f>Table245[[#This Row],[Anggaran]]/Table245[[#This Row],[Durasi_Proyek]]</f>
        <v>41742100.510869563</v>
      </c>
      <c r="K154" s="11">
        <f>YEAR(Table245[[#This Row],[Tanggal_Mulai]])</f>
        <v>2023</v>
      </c>
    </row>
    <row r="155" spans="1:11" ht="14.25" customHeight="1" x14ac:dyDescent="0.35">
      <c r="A155" s="8" t="s">
        <v>206</v>
      </c>
      <c r="B155" s="8" t="str">
        <f>IF(Table2[[#This Row],[Jenis_Proyek]]="", "Tidak Diketahui", Table2[[#This Row],[Jenis_Proyek]])</f>
        <v>Jalan Raya</v>
      </c>
      <c r="C155" s="8" t="str">
        <f>IF(Table2[[#This Row],[Lokasi]]="", "Tidak Diketahui", Table2[[#This Row],[Lokasi]])</f>
        <v>Bau-Bau</v>
      </c>
      <c r="D155" s="8" t="str">
        <f>IF(Table2[[#This Row],[Nama_Proyek]]="", "Tidak Diketahui", Table2[[#This Row],[Nama_Proyek]])</f>
        <v>Perbaikan Jalan Raya Bau-Bau</v>
      </c>
      <c r="E155" s="14">
        <v>45033</v>
      </c>
      <c r="F155" s="14">
        <v>45370</v>
      </c>
      <c r="G155" s="10">
        <v>510276507</v>
      </c>
      <c r="H155" s="8" t="str">
        <f>IF(Table2[[#This Row],[Kontraktor]]="", "Tidak Diketahui",Table2[[#This Row],[Kontraktor]])</f>
        <v>CV Sihombing</v>
      </c>
      <c r="I155" s="11">
        <f>Table245[[#This Row],[Tanggal_Selesai]]-Table245[[#This Row],[Tanggal_Mulai]]</f>
        <v>337</v>
      </c>
      <c r="J155" s="17">
        <f>Table245[[#This Row],[Anggaran]]/Table245[[#This Row],[Durasi_Proyek]]</f>
        <v>1514173.6112759644</v>
      </c>
      <c r="K155" s="11">
        <f>YEAR(Table245[[#This Row],[Tanggal_Mulai]])</f>
        <v>2023</v>
      </c>
    </row>
    <row r="156" spans="1:11" ht="14.25" customHeight="1" x14ac:dyDescent="0.35">
      <c r="A156" s="8" t="s">
        <v>207</v>
      </c>
      <c r="B156" s="8" t="str">
        <f>IF(Table2[[#This Row],[Jenis_Proyek]]="", "Tidak Diketahui", Table2[[#This Row],[Jenis_Proyek]])</f>
        <v>Jalan Raya</v>
      </c>
      <c r="C156" s="8" t="str">
        <f>IF(Table2[[#This Row],[Lokasi]]="", "Tidak Diketahui", Table2[[#This Row],[Lokasi]])</f>
        <v>Bandung</v>
      </c>
      <c r="D156" s="8" t="str">
        <f>IF(Table2[[#This Row],[Nama_Proyek]]="", "Tidak Diketahui", Table2[[#This Row],[Nama_Proyek]])</f>
        <v>Perbaikan Jalan Raya Bandung</v>
      </c>
      <c r="E156" s="14">
        <v>45033</v>
      </c>
      <c r="F156" s="14">
        <v>45291</v>
      </c>
      <c r="G156" s="10">
        <v>806848236</v>
      </c>
      <c r="H156" s="8" t="str">
        <f>IF(Table2[[#This Row],[Kontraktor]]="", "Tidak Diketahui",Table2[[#This Row],[Kontraktor]])</f>
        <v>PT B</v>
      </c>
      <c r="I156" s="11">
        <f>Table245[[#This Row],[Tanggal_Selesai]]-Table245[[#This Row],[Tanggal_Mulai]]</f>
        <v>258</v>
      </c>
      <c r="J156" s="17">
        <f>Table245[[#This Row],[Anggaran]]/Table245[[#This Row],[Durasi_Proyek]]</f>
        <v>3127318.7441860465</v>
      </c>
      <c r="K156" s="11">
        <f>YEAR(Table245[[#This Row],[Tanggal_Mulai]])</f>
        <v>2023</v>
      </c>
    </row>
    <row r="157" spans="1:11" ht="14.25" customHeight="1" x14ac:dyDescent="0.35">
      <c r="A157" s="8" t="s">
        <v>208</v>
      </c>
      <c r="B157" s="8" t="str">
        <f>IF(Table2[[#This Row],[Jenis_Proyek]]="", "Tidak Diketahui", Table2[[#This Row],[Jenis_Proyek]])</f>
        <v>Flyover</v>
      </c>
      <c r="C157" s="8" t="str">
        <f>IF(Table2[[#This Row],[Lokasi]]="", "Tidak Diketahui", Table2[[#This Row],[Lokasi]])</f>
        <v>Surabaya</v>
      </c>
      <c r="D157" s="8" t="str">
        <f>IF(Table2[[#This Row],[Nama_Proyek]]="", "Tidak Diketahui", Table2[[#This Row],[Nama_Proyek]])</f>
        <v>Perbaikan Flyover Surabaya</v>
      </c>
      <c r="E157" s="14">
        <v>45034</v>
      </c>
      <c r="F157" s="14">
        <v>45257</v>
      </c>
      <c r="G157" s="10">
        <v>3687967195</v>
      </c>
      <c r="H157" s="8" t="str">
        <f>IF(Table2[[#This Row],[Kontraktor]]="", "Tidak Diketahui",Table2[[#This Row],[Kontraktor]])</f>
        <v>PT C</v>
      </c>
      <c r="I157" s="11">
        <f>Table245[[#This Row],[Tanggal_Selesai]]-Table245[[#This Row],[Tanggal_Mulai]]</f>
        <v>223</v>
      </c>
      <c r="J157" s="17">
        <f>Table245[[#This Row],[Anggaran]]/Table245[[#This Row],[Durasi_Proyek]]</f>
        <v>16537969.484304933</v>
      </c>
      <c r="K157" s="11">
        <f>YEAR(Table245[[#This Row],[Tanggal_Mulai]])</f>
        <v>2023</v>
      </c>
    </row>
    <row r="158" spans="1:11" ht="14.25" customHeight="1" x14ac:dyDescent="0.35">
      <c r="A158" s="8" t="s">
        <v>209</v>
      </c>
      <c r="B158" s="8" t="str">
        <f>IF(Table2[[#This Row],[Jenis_Proyek]]="", "Tidak Diketahui", Table2[[#This Row],[Jenis_Proyek]])</f>
        <v>Jembatan</v>
      </c>
      <c r="C158" s="8" t="str">
        <f>IF(Table2[[#This Row],[Lokasi]]="", "Tidak Diketahui", Table2[[#This Row],[Lokasi]])</f>
        <v>Jakarta</v>
      </c>
      <c r="D158" s="8" t="str">
        <f>IF(Table2[[#This Row],[Nama_Proyek]]="", "Tidak Diketahui", Table2[[#This Row],[Nama_Proyek]])</f>
        <v>Perbaikan Jembatan Jakarta</v>
      </c>
      <c r="E158" s="14">
        <v>45035</v>
      </c>
      <c r="F158" s="14">
        <v>45339</v>
      </c>
      <c r="G158" s="10">
        <v>4409857336</v>
      </c>
      <c r="H158" s="8" t="str">
        <f>IF(Table2[[#This Row],[Kontraktor]]="", "Tidak Diketahui",Table2[[#This Row],[Kontraktor]])</f>
        <v>Tidak Diketahui</v>
      </c>
      <c r="I158" s="11">
        <f>Table245[[#This Row],[Tanggal_Selesai]]-Table245[[#This Row],[Tanggal_Mulai]]</f>
        <v>304</v>
      </c>
      <c r="J158" s="17">
        <f>Table245[[#This Row],[Anggaran]]/Table245[[#This Row],[Durasi_Proyek]]</f>
        <v>14506109.657894736</v>
      </c>
      <c r="K158" s="11">
        <f>YEAR(Table245[[#This Row],[Tanggal_Mulai]])</f>
        <v>2023</v>
      </c>
    </row>
    <row r="159" spans="1:11" ht="14.25" customHeight="1" x14ac:dyDescent="0.35">
      <c r="A159" s="8" t="s">
        <v>210</v>
      </c>
      <c r="B159" s="8" t="str">
        <f>IF(Table2[[#This Row],[Jenis_Proyek]]="", "Tidak Diketahui", Table2[[#This Row],[Jenis_Proyek]])</f>
        <v>Drainase</v>
      </c>
      <c r="C159" s="8" t="str">
        <f>IF(Table2[[#This Row],[Lokasi]]="", "Tidak Diketahui", Table2[[#This Row],[Lokasi]])</f>
        <v>Tomohon</v>
      </c>
      <c r="D159" s="8" t="str">
        <f>IF(Table2[[#This Row],[Nama_Proyek]]="", "Tidak Diketahui", Table2[[#This Row],[Nama_Proyek]])</f>
        <v>Perbaikan Drainase Tomohon</v>
      </c>
      <c r="E159" s="14">
        <v>45035</v>
      </c>
      <c r="F159" s="14">
        <v>45297</v>
      </c>
      <c r="G159" s="10">
        <v>603531905</v>
      </c>
      <c r="H159" s="8" t="str">
        <f>IF(Table2[[#This Row],[Kontraktor]]="", "Tidak Diketahui",Table2[[#This Row],[Kontraktor]])</f>
        <v>PT. Lailasari Hariyah (Persero) Tbk</v>
      </c>
      <c r="I159" s="11">
        <f>Table245[[#This Row],[Tanggal_Selesai]]-Table245[[#This Row],[Tanggal_Mulai]]</f>
        <v>262</v>
      </c>
      <c r="J159" s="17">
        <f>Table245[[#This Row],[Anggaran]]/Table245[[#This Row],[Durasi_Proyek]]</f>
        <v>2303556.889312977</v>
      </c>
      <c r="K159" s="11">
        <f>YEAR(Table245[[#This Row],[Tanggal_Mulai]])</f>
        <v>2023</v>
      </c>
    </row>
    <row r="160" spans="1:11" ht="14.25" customHeight="1" x14ac:dyDescent="0.35">
      <c r="A160" s="8" t="s">
        <v>211</v>
      </c>
      <c r="B160" s="8" t="str">
        <f>IF(Table2[[#This Row],[Jenis_Proyek]]="", "Tidak Diketahui", Table2[[#This Row],[Jenis_Proyek]])</f>
        <v>Drainase</v>
      </c>
      <c r="C160" s="8" t="str">
        <f>IF(Table2[[#This Row],[Lokasi]]="", "Tidak Diketahui", Table2[[#This Row],[Lokasi]])</f>
        <v>Surabaya</v>
      </c>
      <c r="D160" s="8" t="str">
        <f>IF(Table2[[#This Row],[Nama_Proyek]]="", "Tidak Diketahui", Table2[[#This Row],[Nama_Proyek]])</f>
        <v>Perbaikan Drainase Surabaya</v>
      </c>
      <c r="E160" s="14">
        <v>45035</v>
      </c>
      <c r="F160" s="14">
        <v>45269</v>
      </c>
      <c r="G160" s="10">
        <v>648732190</v>
      </c>
      <c r="H160" s="8" t="str">
        <f>IF(Table2[[#This Row],[Kontraktor]]="", "Tidak Diketahui",Table2[[#This Row],[Kontraktor]])</f>
        <v>PT. Yuniar Hakim Tbk</v>
      </c>
      <c r="I160" s="11">
        <f>Table245[[#This Row],[Tanggal_Selesai]]-Table245[[#This Row],[Tanggal_Mulai]]</f>
        <v>234</v>
      </c>
      <c r="J160" s="17">
        <f>Table245[[#This Row],[Anggaran]]/Table245[[#This Row],[Durasi_Proyek]]</f>
        <v>2772359.7863247865</v>
      </c>
      <c r="K160" s="11">
        <f>YEAR(Table245[[#This Row],[Tanggal_Mulai]])</f>
        <v>2023</v>
      </c>
    </row>
    <row r="161" spans="1:11" ht="14.25" customHeight="1" x14ac:dyDescent="0.35">
      <c r="A161" s="8" t="s">
        <v>212</v>
      </c>
      <c r="B161" s="8" t="str">
        <f>IF(Table2[[#This Row],[Jenis_Proyek]]="", "Tidak Diketahui", Table2[[#This Row],[Jenis_Proyek]])</f>
        <v>Jalan Raya</v>
      </c>
      <c r="C161" s="8" t="str">
        <f>IF(Table2[[#This Row],[Lokasi]]="", "Tidak Diketahui", Table2[[#This Row],[Lokasi]])</f>
        <v>Surabaya</v>
      </c>
      <c r="D161" s="8" t="str">
        <f>IF(Table2[[#This Row],[Nama_Proyek]]="", "Tidak Diketahui", Table2[[#This Row],[Nama_Proyek]])</f>
        <v>Perbaikan Jalan Raya Surabaya</v>
      </c>
      <c r="E161" s="14">
        <v>45035</v>
      </c>
      <c r="F161" s="14">
        <v>45179</v>
      </c>
      <c r="G161" s="10">
        <v>872561312</v>
      </c>
      <c r="H161" s="8" t="str">
        <f>IF(Table2[[#This Row],[Kontraktor]]="", "Tidak Diketahui",Table2[[#This Row],[Kontraktor]])</f>
        <v>PT C</v>
      </c>
      <c r="I161" s="11">
        <f>Table245[[#This Row],[Tanggal_Selesai]]-Table245[[#This Row],[Tanggal_Mulai]]</f>
        <v>144</v>
      </c>
      <c r="J161" s="17">
        <f>Table245[[#This Row],[Anggaran]]/Table245[[#This Row],[Durasi_Proyek]]</f>
        <v>6059453.555555556</v>
      </c>
      <c r="K161" s="11">
        <f>YEAR(Table245[[#This Row],[Tanggal_Mulai]])</f>
        <v>2023</v>
      </c>
    </row>
    <row r="162" spans="1:11" ht="14.25" customHeight="1" x14ac:dyDescent="0.35">
      <c r="A162" s="8" t="s">
        <v>213</v>
      </c>
      <c r="B162" s="8" t="str">
        <f>IF(Table2[[#This Row],[Jenis_Proyek]]="", "Tidak Diketahui", Table2[[#This Row],[Jenis_Proyek]])</f>
        <v>Drainase</v>
      </c>
      <c r="C162" s="8" t="str">
        <f>IF(Table2[[#This Row],[Lokasi]]="", "Tidak Diketahui", Table2[[#This Row],[Lokasi]])</f>
        <v>Surabaya</v>
      </c>
      <c r="D162" s="8" t="str">
        <f>IF(Table2[[#This Row],[Nama_Proyek]]="", "Tidak Diketahui", Table2[[#This Row],[Nama_Proyek]])</f>
        <v>Perbaikan Drainase Surabaya</v>
      </c>
      <c r="E162" s="14">
        <v>45036</v>
      </c>
      <c r="F162" s="14">
        <v>45119</v>
      </c>
      <c r="G162" s="10">
        <v>461667131</v>
      </c>
      <c r="H162" s="8" t="str">
        <f>IF(Table2[[#This Row],[Kontraktor]]="", "Tidak Diketahui",Table2[[#This Row],[Kontraktor]])</f>
        <v>PT D</v>
      </c>
      <c r="I162" s="11">
        <f>Table245[[#This Row],[Tanggal_Selesai]]-Table245[[#This Row],[Tanggal_Mulai]]</f>
        <v>83</v>
      </c>
      <c r="J162" s="17">
        <f>Table245[[#This Row],[Anggaran]]/Table245[[#This Row],[Durasi_Proyek]]</f>
        <v>5562254.5903614461</v>
      </c>
      <c r="K162" s="11">
        <f>YEAR(Table245[[#This Row],[Tanggal_Mulai]])</f>
        <v>2023</v>
      </c>
    </row>
    <row r="163" spans="1:11" ht="14.25" customHeight="1" x14ac:dyDescent="0.35">
      <c r="A163" s="8" t="s">
        <v>214</v>
      </c>
      <c r="B163" s="8" t="str">
        <f>IF(Table2[[#This Row],[Jenis_Proyek]]="", "Tidak Diketahui", Table2[[#This Row],[Jenis_Proyek]])</f>
        <v>Drainase</v>
      </c>
      <c r="C163" s="8" t="str">
        <f>IF(Table2[[#This Row],[Lokasi]]="", "Tidak Diketahui", Table2[[#This Row],[Lokasi]])</f>
        <v>Bandung</v>
      </c>
      <c r="D163" s="8" t="str">
        <f>IF(Table2[[#This Row],[Nama_Proyek]]="", "Tidak Diketahui", Table2[[#This Row],[Nama_Proyek]])</f>
        <v>Perbaikan Drainase Bandung</v>
      </c>
      <c r="E163" s="14">
        <v>45036</v>
      </c>
      <c r="F163" s="14">
        <v>45313</v>
      </c>
      <c r="G163" s="10">
        <v>265879074</v>
      </c>
      <c r="H163" s="8" t="str">
        <f>IF(Table2[[#This Row],[Kontraktor]]="", "Tidak Diketahui",Table2[[#This Row],[Kontraktor]])</f>
        <v>Tidak Diketahui</v>
      </c>
      <c r="I163" s="11">
        <f>Table245[[#This Row],[Tanggal_Selesai]]-Table245[[#This Row],[Tanggal_Mulai]]</f>
        <v>277</v>
      </c>
      <c r="J163" s="17">
        <f>Table245[[#This Row],[Anggaran]]/Table245[[#This Row],[Durasi_Proyek]]</f>
        <v>959852.25270758127</v>
      </c>
      <c r="K163" s="11">
        <f>YEAR(Table245[[#This Row],[Tanggal_Mulai]])</f>
        <v>2023</v>
      </c>
    </row>
    <row r="164" spans="1:11" ht="14.25" customHeight="1" x14ac:dyDescent="0.35">
      <c r="A164" s="8" t="s">
        <v>215</v>
      </c>
      <c r="B164" s="8" t="str">
        <f>IF(Table2[[#This Row],[Jenis_Proyek]]="", "Tidak Diketahui", Table2[[#This Row],[Jenis_Proyek]])</f>
        <v>Jalan Raya</v>
      </c>
      <c r="C164" s="8" t="str">
        <f>IF(Table2[[#This Row],[Lokasi]]="", "Tidak Diketahui", Table2[[#This Row],[Lokasi]])</f>
        <v>Jakarta</v>
      </c>
      <c r="D164" s="8" t="str">
        <f>IF(Table2[[#This Row],[Nama_Proyek]]="", "Tidak Diketahui", Table2[[#This Row],[Nama_Proyek]])</f>
        <v>Perbaikan Jalan Raya Jakarta</v>
      </c>
      <c r="E164" s="14">
        <v>45037</v>
      </c>
      <c r="F164" s="14">
        <v>45384</v>
      </c>
      <c r="G164" s="10">
        <v>339042702</v>
      </c>
      <c r="H164" s="8" t="str">
        <f>IF(Table2[[#This Row],[Kontraktor]]="", "Tidak Diketahui",Table2[[#This Row],[Kontraktor]])</f>
        <v>PT B</v>
      </c>
      <c r="I164" s="11">
        <f>Table245[[#This Row],[Tanggal_Selesai]]-Table245[[#This Row],[Tanggal_Mulai]]</f>
        <v>347</v>
      </c>
      <c r="J164" s="17">
        <f>Table245[[#This Row],[Anggaran]]/Table245[[#This Row],[Durasi_Proyek]]</f>
        <v>977068.30547550437</v>
      </c>
      <c r="K164" s="11">
        <f>YEAR(Table245[[#This Row],[Tanggal_Mulai]])</f>
        <v>2023</v>
      </c>
    </row>
    <row r="165" spans="1:11" ht="14.25" customHeight="1" x14ac:dyDescent="0.35">
      <c r="A165" s="8" t="s">
        <v>216</v>
      </c>
      <c r="B165" s="8" t="str">
        <f>IF(Table2[[#This Row],[Jenis_Proyek]]="", "Tidak Diketahui", Table2[[#This Row],[Jenis_Proyek]])</f>
        <v>Gedung</v>
      </c>
      <c r="C165" s="8" t="str">
        <f>IF(Table2[[#This Row],[Lokasi]]="", "Tidak Diketahui", Table2[[#This Row],[Lokasi]])</f>
        <v>Medan</v>
      </c>
      <c r="D165" s="8" t="str">
        <f>IF(Table2[[#This Row],[Nama_Proyek]]="", "Tidak Diketahui", Table2[[#This Row],[Nama_Proyek]])</f>
        <v>Perbaikan Gedung Pemerintah Medan</v>
      </c>
      <c r="E165" s="14">
        <v>45038</v>
      </c>
      <c r="F165" s="14">
        <v>45308</v>
      </c>
      <c r="G165" s="10">
        <v>9295259236</v>
      </c>
      <c r="H165" s="8" t="str">
        <f>IF(Table2[[#This Row],[Kontraktor]]="", "Tidak Diketahui",Table2[[#This Row],[Kontraktor]])</f>
        <v>PT A</v>
      </c>
      <c r="I165" s="11">
        <f>Table245[[#This Row],[Tanggal_Selesai]]-Table245[[#This Row],[Tanggal_Mulai]]</f>
        <v>270</v>
      </c>
      <c r="J165" s="17">
        <f>Table245[[#This Row],[Anggaran]]/Table245[[#This Row],[Durasi_Proyek]]</f>
        <v>34426886.059259258</v>
      </c>
      <c r="K165" s="11">
        <f>YEAR(Table245[[#This Row],[Tanggal_Mulai]])</f>
        <v>2023</v>
      </c>
    </row>
    <row r="166" spans="1:11" ht="14.25" customHeight="1" x14ac:dyDescent="0.35">
      <c r="A166" s="8" t="s">
        <v>217</v>
      </c>
      <c r="B166" s="8" t="str">
        <f>IF(Table2[[#This Row],[Jenis_Proyek]]="", "Tidak Diketahui", Table2[[#This Row],[Jenis_Proyek]])</f>
        <v>Gedung</v>
      </c>
      <c r="C166" s="8" t="str">
        <f>IF(Table2[[#This Row],[Lokasi]]="", "Tidak Diketahui", Table2[[#This Row],[Lokasi]])</f>
        <v>Bau-Bau</v>
      </c>
      <c r="D166" s="8" t="str">
        <f>IF(Table2[[#This Row],[Nama_Proyek]]="", "Tidak Diketahui", Table2[[#This Row],[Nama_Proyek]])</f>
        <v>Perbaikan Gedung Pemerintah Bau-Bau</v>
      </c>
      <c r="E166" s="14">
        <v>45038</v>
      </c>
      <c r="F166" s="14">
        <v>45333</v>
      </c>
      <c r="G166" s="10">
        <v>7601913991</v>
      </c>
      <c r="H166" s="8" t="str">
        <f>IF(Table2[[#This Row],[Kontraktor]]="", "Tidak Diketahui",Table2[[#This Row],[Kontraktor]])</f>
        <v>CV Sihombing</v>
      </c>
      <c r="I166" s="11">
        <f>Table245[[#This Row],[Tanggal_Selesai]]-Table245[[#This Row],[Tanggal_Mulai]]</f>
        <v>295</v>
      </c>
      <c r="J166" s="17">
        <f>Table245[[#This Row],[Anggaran]]/Table245[[#This Row],[Durasi_Proyek]]</f>
        <v>25769199.969491526</v>
      </c>
      <c r="K166" s="11">
        <f>YEAR(Table245[[#This Row],[Tanggal_Mulai]])</f>
        <v>2023</v>
      </c>
    </row>
    <row r="167" spans="1:11" ht="14.25" customHeight="1" x14ac:dyDescent="0.35">
      <c r="A167" s="8" t="s">
        <v>218</v>
      </c>
      <c r="B167" s="8" t="str">
        <f>IF(Table2[[#This Row],[Jenis_Proyek]]="", "Tidak Diketahui", Table2[[#This Row],[Jenis_Proyek]])</f>
        <v>Jalan Raya</v>
      </c>
      <c r="C167" s="8" t="str">
        <f>IF(Table2[[#This Row],[Lokasi]]="", "Tidak Diketahui", Table2[[#This Row],[Lokasi]])</f>
        <v>Bau-Bau</v>
      </c>
      <c r="D167" s="8" t="str">
        <f>IF(Table2[[#This Row],[Nama_Proyek]]="", "Tidak Diketahui", Table2[[#This Row],[Nama_Proyek]])</f>
        <v>Perbaikan Jalan Raya Bau-Bau</v>
      </c>
      <c r="E167" s="14">
        <v>45039</v>
      </c>
      <c r="F167" s="14">
        <v>45306</v>
      </c>
      <c r="G167" s="10">
        <v>307072675</v>
      </c>
      <c r="H167" s="8" t="str">
        <f>IF(Table2[[#This Row],[Kontraktor]]="", "Tidak Diketahui",Table2[[#This Row],[Kontraktor]])</f>
        <v>CV Sihombing</v>
      </c>
      <c r="I167" s="11">
        <f>Table245[[#This Row],[Tanggal_Selesai]]-Table245[[#This Row],[Tanggal_Mulai]]</f>
        <v>267</v>
      </c>
      <c r="J167" s="17">
        <f>Table245[[#This Row],[Anggaran]]/Table245[[#This Row],[Durasi_Proyek]]</f>
        <v>1150084.9250936329</v>
      </c>
      <c r="K167" s="11">
        <f>YEAR(Table245[[#This Row],[Tanggal_Mulai]])</f>
        <v>2023</v>
      </c>
    </row>
    <row r="168" spans="1:11" ht="14.25" customHeight="1" x14ac:dyDescent="0.35">
      <c r="A168" s="8" t="s">
        <v>219</v>
      </c>
      <c r="B168" s="8" t="str">
        <f>IF(Table2[[#This Row],[Jenis_Proyek]]="", "Tidak Diketahui", Table2[[#This Row],[Jenis_Proyek]])</f>
        <v>Jembatan</v>
      </c>
      <c r="C168" s="8" t="str">
        <f>IF(Table2[[#This Row],[Lokasi]]="", "Tidak Diketahui", Table2[[#This Row],[Lokasi]])</f>
        <v>Bandung</v>
      </c>
      <c r="D168" s="8" t="str">
        <f>IF(Table2[[#This Row],[Nama_Proyek]]="", "Tidak Diketahui", Table2[[#This Row],[Nama_Proyek]])</f>
        <v>Pembuatan Jembatan Bandung</v>
      </c>
      <c r="E168" s="14">
        <v>45039</v>
      </c>
      <c r="F168" s="14">
        <v>45274</v>
      </c>
      <c r="G168" s="10">
        <v>3190510162</v>
      </c>
      <c r="H168" s="8" t="str">
        <f>IF(Table2[[#This Row],[Kontraktor]]="", "Tidak Diketahui",Table2[[#This Row],[Kontraktor]])</f>
        <v>PT B</v>
      </c>
      <c r="I168" s="11">
        <f>Table245[[#This Row],[Tanggal_Selesai]]-Table245[[#This Row],[Tanggal_Mulai]]</f>
        <v>235</v>
      </c>
      <c r="J168" s="17">
        <f>Table245[[#This Row],[Anggaran]]/Table245[[#This Row],[Durasi_Proyek]]</f>
        <v>13576638.987234043</v>
      </c>
      <c r="K168" s="11">
        <f>YEAR(Table245[[#This Row],[Tanggal_Mulai]])</f>
        <v>2023</v>
      </c>
    </row>
    <row r="169" spans="1:11" ht="14.25" customHeight="1" x14ac:dyDescent="0.35">
      <c r="A169" s="8" t="s">
        <v>220</v>
      </c>
      <c r="B169" s="8" t="str">
        <f>IF(Table2[[#This Row],[Jenis_Proyek]]="", "Tidak Diketahui", Table2[[#This Row],[Jenis_Proyek]])</f>
        <v>Drainase</v>
      </c>
      <c r="C169" s="8" t="str">
        <f>IF(Table2[[#This Row],[Lokasi]]="", "Tidak Diketahui", Table2[[#This Row],[Lokasi]])</f>
        <v>Medan</v>
      </c>
      <c r="D169" s="8" t="str">
        <f>IF(Table2[[#This Row],[Nama_Proyek]]="", "Tidak Diketahui", Table2[[#This Row],[Nama_Proyek]])</f>
        <v>Perbaikan Drainase Medan</v>
      </c>
      <c r="E169" s="14">
        <v>45041</v>
      </c>
      <c r="F169" s="14">
        <v>45102</v>
      </c>
      <c r="G169" s="10">
        <v>724043833</v>
      </c>
      <c r="H169" s="8" t="str">
        <f>IF(Table2[[#This Row],[Kontraktor]]="", "Tidak Diketahui",Table2[[#This Row],[Kontraktor]])</f>
        <v>PT B</v>
      </c>
      <c r="I169" s="11">
        <f>Table245[[#This Row],[Tanggal_Selesai]]-Table245[[#This Row],[Tanggal_Mulai]]</f>
        <v>61</v>
      </c>
      <c r="J169" s="17">
        <f>Table245[[#This Row],[Anggaran]]/Table245[[#This Row],[Durasi_Proyek]]</f>
        <v>11869571.032786885</v>
      </c>
      <c r="K169" s="11">
        <f>YEAR(Table245[[#This Row],[Tanggal_Mulai]])</f>
        <v>2023</v>
      </c>
    </row>
    <row r="170" spans="1:11" ht="14.25" customHeight="1" x14ac:dyDescent="0.35">
      <c r="A170" s="8" t="s">
        <v>221</v>
      </c>
      <c r="B170" s="8" t="str">
        <f>IF(Table2[[#This Row],[Jenis_Proyek]]="", "Tidak Diketahui", Table2[[#This Row],[Jenis_Proyek]])</f>
        <v>Flyover</v>
      </c>
      <c r="C170" s="8" t="str">
        <f>IF(Table2[[#This Row],[Lokasi]]="", "Tidak Diketahui", Table2[[#This Row],[Lokasi]])</f>
        <v>Depok</v>
      </c>
      <c r="D170" s="8" t="str">
        <f>IF(Table2[[#This Row],[Nama_Proyek]]="", "Tidak Diketahui", Table2[[#This Row],[Nama_Proyek]])</f>
        <v>Perbaikan Flyover Depok</v>
      </c>
      <c r="E170" s="14">
        <v>45041</v>
      </c>
      <c r="F170" s="14">
        <v>45359</v>
      </c>
      <c r="G170" s="10">
        <v>3094852115</v>
      </c>
      <c r="H170" s="8" t="str">
        <f>IF(Table2[[#This Row],[Kontraktor]]="", "Tidak Diketahui",Table2[[#This Row],[Kontraktor]])</f>
        <v>PT D</v>
      </c>
      <c r="I170" s="11">
        <f>Table245[[#This Row],[Tanggal_Selesai]]-Table245[[#This Row],[Tanggal_Mulai]]</f>
        <v>318</v>
      </c>
      <c r="J170" s="17">
        <f>Table245[[#This Row],[Anggaran]]/Table245[[#This Row],[Durasi_Proyek]]</f>
        <v>9732239.3553459123</v>
      </c>
      <c r="K170" s="11">
        <f>YEAR(Table245[[#This Row],[Tanggal_Mulai]])</f>
        <v>2023</v>
      </c>
    </row>
    <row r="171" spans="1:11" ht="14.25" customHeight="1" x14ac:dyDescent="0.35">
      <c r="A171" s="8" t="s">
        <v>222</v>
      </c>
      <c r="B171" s="8" t="str">
        <f>IF(Table2[[#This Row],[Jenis_Proyek]]="", "Tidak Diketahui", Table2[[#This Row],[Jenis_Proyek]])</f>
        <v>Drainase</v>
      </c>
      <c r="C171" s="8" t="str">
        <f>IF(Table2[[#This Row],[Lokasi]]="", "Tidak Diketahui", Table2[[#This Row],[Lokasi]])</f>
        <v>Tomohon</v>
      </c>
      <c r="D171" s="8" t="str">
        <f>IF(Table2[[#This Row],[Nama_Proyek]]="", "Tidak Diketahui", Table2[[#This Row],[Nama_Proyek]])</f>
        <v>Perbaikan Drainase Tomohon</v>
      </c>
      <c r="E171" s="14">
        <v>45042</v>
      </c>
      <c r="F171" s="14">
        <v>45364</v>
      </c>
      <c r="G171" s="10">
        <v>433880373</v>
      </c>
      <c r="H171" s="8" t="str">
        <f>IF(Table2[[#This Row],[Kontraktor]]="", "Tidak Diketahui",Table2[[#This Row],[Kontraktor]])</f>
        <v>Tidak Diketahui</v>
      </c>
      <c r="I171" s="11">
        <f>Table245[[#This Row],[Tanggal_Selesai]]-Table245[[#This Row],[Tanggal_Mulai]]</f>
        <v>322</v>
      </c>
      <c r="J171" s="17">
        <f>Table245[[#This Row],[Anggaran]]/Table245[[#This Row],[Durasi_Proyek]]</f>
        <v>1347454.5745341615</v>
      </c>
      <c r="K171" s="11">
        <f>YEAR(Table245[[#This Row],[Tanggal_Mulai]])</f>
        <v>2023</v>
      </c>
    </row>
    <row r="172" spans="1:11" ht="14.25" customHeight="1" x14ac:dyDescent="0.35">
      <c r="A172" s="8" t="s">
        <v>223</v>
      </c>
      <c r="B172" s="8" t="str">
        <f>IF(Table2[[#This Row],[Jenis_Proyek]]="", "Tidak Diketahui", Table2[[#This Row],[Jenis_Proyek]])</f>
        <v>Jembatan</v>
      </c>
      <c r="C172" s="8" t="str">
        <f>IF(Table2[[#This Row],[Lokasi]]="", "Tidak Diketahui", Table2[[#This Row],[Lokasi]])</f>
        <v>Surabaya</v>
      </c>
      <c r="D172" s="8" t="str">
        <f>IF(Table2[[#This Row],[Nama_Proyek]]="", "Tidak Diketahui", Table2[[#This Row],[Nama_Proyek]])</f>
        <v>Pembuatan Jembatan Surabaya</v>
      </c>
      <c r="E172" s="14">
        <v>45045</v>
      </c>
      <c r="F172" s="14">
        <v>45394</v>
      </c>
      <c r="G172" s="10">
        <v>5094791554</v>
      </c>
      <c r="H172" s="8" t="str">
        <f>IF(Table2[[#This Row],[Kontraktor]]="", "Tidak Diketahui",Table2[[#This Row],[Kontraktor]])</f>
        <v>CV Sihombing</v>
      </c>
      <c r="I172" s="11">
        <f>Table245[[#This Row],[Tanggal_Selesai]]-Table245[[#This Row],[Tanggal_Mulai]]</f>
        <v>349</v>
      </c>
      <c r="J172" s="17">
        <f>Table245[[#This Row],[Anggaran]]/Table245[[#This Row],[Durasi_Proyek]]</f>
        <v>14598256.601719197</v>
      </c>
      <c r="K172" s="11">
        <f>YEAR(Table245[[#This Row],[Tanggal_Mulai]])</f>
        <v>2023</v>
      </c>
    </row>
    <row r="173" spans="1:11" ht="14.25" customHeight="1" x14ac:dyDescent="0.35">
      <c r="A173" s="8" t="s">
        <v>224</v>
      </c>
      <c r="B173" s="8" t="str">
        <f>IF(Table2[[#This Row],[Jenis_Proyek]]="", "Tidak Diketahui", Table2[[#This Row],[Jenis_Proyek]])</f>
        <v>Jalan Raya</v>
      </c>
      <c r="C173" s="8" t="str">
        <f>IF(Table2[[#This Row],[Lokasi]]="", "Tidak Diketahui", Table2[[#This Row],[Lokasi]])</f>
        <v>Surabaya</v>
      </c>
      <c r="D173" s="8" t="str">
        <f>IF(Table2[[#This Row],[Nama_Proyek]]="", "Tidak Diketahui", Table2[[#This Row],[Nama_Proyek]])</f>
        <v>Perbaikan Jalan Raya Surabaya</v>
      </c>
      <c r="E173" s="14">
        <v>45045</v>
      </c>
      <c r="F173" s="14">
        <v>45324</v>
      </c>
      <c r="G173" s="10">
        <v>407950829</v>
      </c>
      <c r="H173" s="8" t="str">
        <f>IF(Table2[[#This Row],[Kontraktor]]="", "Tidak Diketahui",Table2[[#This Row],[Kontraktor]])</f>
        <v>Tidak Diketahui</v>
      </c>
      <c r="I173" s="11">
        <f>Table245[[#This Row],[Tanggal_Selesai]]-Table245[[#This Row],[Tanggal_Mulai]]</f>
        <v>279</v>
      </c>
      <c r="J173" s="17">
        <f>Table245[[#This Row],[Anggaran]]/Table245[[#This Row],[Durasi_Proyek]]</f>
        <v>1462189.3512544802</v>
      </c>
      <c r="K173" s="11">
        <f>YEAR(Table245[[#This Row],[Tanggal_Mulai]])</f>
        <v>2023</v>
      </c>
    </row>
    <row r="174" spans="1:11" ht="14.25" customHeight="1" x14ac:dyDescent="0.35">
      <c r="A174" s="8" t="s">
        <v>225</v>
      </c>
      <c r="B174" s="8" t="str">
        <f>IF(Table2[[#This Row],[Jenis_Proyek]]="", "Tidak Diketahui", Table2[[#This Row],[Jenis_Proyek]])</f>
        <v>Gedung</v>
      </c>
      <c r="C174" s="8" t="str">
        <f>IF(Table2[[#This Row],[Lokasi]]="", "Tidak Diketahui", Table2[[#This Row],[Lokasi]])</f>
        <v>Tomohon</v>
      </c>
      <c r="D174" s="8" t="str">
        <f>IF(Table2[[#This Row],[Nama_Proyek]]="", "Tidak Diketahui", Table2[[#This Row],[Nama_Proyek]])</f>
        <v>Perbaikan Gedung Pemerintah Tomohon</v>
      </c>
      <c r="E174" s="14">
        <v>45045</v>
      </c>
      <c r="F174" s="14">
        <v>45376</v>
      </c>
      <c r="G174" s="10">
        <v>1692019622</v>
      </c>
      <c r="H174" s="8" t="str">
        <f>IF(Table2[[#This Row],[Kontraktor]]="", "Tidak Diketahui",Table2[[#This Row],[Kontraktor]])</f>
        <v>PT A</v>
      </c>
      <c r="I174" s="11">
        <f>Table245[[#This Row],[Tanggal_Selesai]]-Table245[[#This Row],[Tanggal_Mulai]]</f>
        <v>331</v>
      </c>
      <c r="J174" s="17">
        <f>Table245[[#This Row],[Anggaran]]/Table245[[#This Row],[Durasi_Proyek]]</f>
        <v>5111841.7583081573</v>
      </c>
      <c r="K174" s="11">
        <f>YEAR(Table245[[#This Row],[Tanggal_Mulai]])</f>
        <v>2023</v>
      </c>
    </row>
    <row r="175" spans="1:11" ht="14.25" customHeight="1" x14ac:dyDescent="0.35">
      <c r="A175" s="8" t="s">
        <v>226</v>
      </c>
      <c r="B175" s="8" t="str">
        <f>IF(Table2[[#This Row],[Jenis_Proyek]]="", "Tidak Diketahui", Table2[[#This Row],[Jenis_Proyek]])</f>
        <v>Flyover</v>
      </c>
      <c r="C175" s="8" t="str">
        <f>IF(Table2[[#This Row],[Lokasi]]="", "Tidak Diketahui", Table2[[#This Row],[Lokasi]])</f>
        <v>Depok</v>
      </c>
      <c r="D175" s="8" t="str">
        <f>IF(Table2[[#This Row],[Nama_Proyek]]="", "Tidak Diketahui", Table2[[#This Row],[Nama_Proyek]])</f>
        <v>Perbaikan Flyover Depok</v>
      </c>
      <c r="E175" s="14">
        <v>45045</v>
      </c>
      <c r="F175" s="14">
        <v>45404</v>
      </c>
      <c r="G175" s="10">
        <v>4909765412</v>
      </c>
      <c r="H175" s="8" t="str">
        <f>IF(Table2[[#This Row],[Kontraktor]]="", "Tidak Diketahui",Table2[[#This Row],[Kontraktor]])</f>
        <v>PT. Yuniar Hakim Tbk</v>
      </c>
      <c r="I175" s="11">
        <f>Table245[[#This Row],[Tanggal_Selesai]]-Table245[[#This Row],[Tanggal_Mulai]]</f>
        <v>359</v>
      </c>
      <c r="J175" s="17">
        <f>Table245[[#This Row],[Anggaran]]/Table245[[#This Row],[Durasi_Proyek]]</f>
        <v>13676226.774373259</v>
      </c>
      <c r="K175" s="11">
        <f>YEAR(Table245[[#This Row],[Tanggal_Mulai]])</f>
        <v>2023</v>
      </c>
    </row>
    <row r="176" spans="1:11" ht="14.25" customHeight="1" x14ac:dyDescent="0.35">
      <c r="A176" s="8" t="s">
        <v>227</v>
      </c>
      <c r="B176" s="8" t="str">
        <f>IF(Table2[[#This Row],[Jenis_Proyek]]="", "Tidak Diketahui", Table2[[#This Row],[Jenis_Proyek]])</f>
        <v>Flyover</v>
      </c>
      <c r="C176" s="8" t="str">
        <f>IF(Table2[[#This Row],[Lokasi]]="", "Tidak Diketahui", Table2[[#This Row],[Lokasi]])</f>
        <v>Depok</v>
      </c>
      <c r="D176" s="8" t="str">
        <f>IF(Table2[[#This Row],[Nama_Proyek]]="", "Tidak Diketahui", Table2[[#This Row],[Nama_Proyek]])</f>
        <v>Perbaikan Flyover Depok</v>
      </c>
      <c r="E176" s="14">
        <v>45045</v>
      </c>
      <c r="F176" s="14">
        <v>45150</v>
      </c>
      <c r="G176" s="10">
        <v>3396315626</v>
      </c>
      <c r="H176" s="8" t="str">
        <f>IF(Table2[[#This Row],[Kontraktor]]="", "Tidak Diketahui",Table2[[#This Row],[Kontraktor]])</f>
        <v>PT C</v>
      </c>
      <c r="I176" s="11">
        <f>Table245[[#This Row],[Tanggal_Selesai]]-Table245[[#This Row],[Tanggal_Mulai]]</f>
        <v>105</v>
      </c>
      <c r="J176" s="17">
        <f>Table245[[#This Row],[Anggaran]]/Table245[[#This Row],[Durasi_Proyek]]</f>
        <v>32345863.104761906</v>
      </c>
      <c r="K176" s="11">
        <f>YEAR(Table245[[#This Row],[Tanggal_Mulai]])</f>
        <v>2023</v>
      </c>
    </row>
    <row r="177" spans="1:11" ht="14.25" customHeight="1" x14ac:dyDescent="0.35">
      <c r="A177" s="8" t="s">
        <v>228</v>
      </c>
      <c r="B177" s="8" t="str">
        <f>IF(Table2[[#This Row],[Jenis_Proyek]]="", "Tidak Diketahui", Table2[[#This Row],[Jenis_Proyek]])</f>
        <v>Flyover</v>
      </c>
      <c r="C177" s="8" t="str">
        <f>IF(Table2[[#This Row],[Lokasi]]="", "Tidak Diketahui", Table2[[#This Row],[Lokasi]])</f>
        <v>Bau-Bau</v>
      </c>
      <c r="D177" s="8" t="str">
        <f>IF(Table2[[#This Row],[Nama_Proyek]]="", "Tidak Diketahui", Table2[[#This Row],[Nama_Proyek]])</f>
        <v>Pembuatan Flyover Bau-Bau</v>
      </c>
      <c r="E177" s="14">
        <v>45048</v>
      </c>
      <c r="F177" s="14">
        <v>45358</v>
      </c>
      <c r="G177" s="10">
        <v>2665194797</v>
      </c>
      <c r="H177" s="8" t="str">
        <f>IF(Table2[[#This Row],[Kontraktor]]="", "Tidak Diketahui",Table2[[#This Row],[Kontraktor]])</f>
        <v>Tidak Diketahui</v>
      </c>
      <c r="I177" s="11">
        <f>Table245[[#This Row],[Tanggal_Selesai]]-Table245[[#This Row],[Tanggal_Mulai]]</f>
        <v>310</v>
      </c>
      <c r="J177" s="17">
        <f>Table245[[#This Row],[Anggaran]]/Table245[[#This Row],[Durasi_Proyek]]</f>
        <v>8597402.5709677413</v>
      </c>
      <c r="K177" s="11">
        <f>YEAR(Table245[[#This Row],[Tanggal_Mulai]])</f>
        <v>2023</v>
      </c>
    </row>
    <row r="178" spans="1:11" ht="14.25" customHeight="1" x14ac:dyDescent="0.35">
      <c r="A178" s="8" t="s">
        <v>229</v>
      </c>
      <c r="B178" s="8" t="str">
        <f>IF(Table2[[#This Row],[Jenis_Proyek]]="", "Tidak Diketahui", Table2[[#This Row],[Jenis_Proyek]])</f>
        <v>Jembatan</v>
      </c>
      <c r="C178" s="8" t="str">
        <f>IF(Table2[[#This Row],[Lokasi]]="", "Tidak Diketahui", Table2[[#This Row],[Lokasi]])</f>
        <v>Bau-Bau</v>
      </c>
      <c r="D178" s="8" t="str">
        <f>IF(Table2[[#This Row],[Nama_Proyek]]="", "Tidak Diketahui", Table2[[#This Row],[Nama_Proyek]])</f>
        <v>Perbaikan Jembatan Bau-Bau</v>
      </c>
      <c r="E178" s="14">
        <v>45049</v>
      </c>
      <c r="F178" s="14">
        <v>45401</v>
      </c>
      <c r="G178" s="10">
        <v>2586947699</v>
      </c>
      <c r="H178" s="8" t="str">
        <f>IF(Table2[[#This Row],[Kontraktor]]="", "Tidak Diketahui",Table2[[#This Row],[Kontraktor]])</f>
        <v>Tidak Diketahui</v>
      </c>
      <c r="I178" s="11">
        <f>Table245[[#This Row],[Tanggal_Selesai]]-Table245[[#This Row],[Tanggal_Mulai]]</f>
        <v>352</v>
      </c>
      <c r="J178" s="17">
        <f>Table245[[#This Row],[Anggaran]]/Table245[[#This Row],[Durasi_Proyek]]</f>
        <v>7349283.2357954541</v>
      </c>
      <c r="K178" s="11">
        <f>YEAR(Table245[[#This Row],[Tanggal_Mulai]])</f>
        <v>2023</v>
      </c>
    </row>
    <row r="179" spans="1:11" ht="14.25" customHeight="1" x14ac:dyDescent="0.35">
      <c r="A179" s="8" t="s">
        <v>230</v>
      </c>
      <c r="B179" s="8" t="str">
        <f>IF(Table2[[#This Row],[Jenis_Proyek]]="", "Tidak Diketahui", Table2[[#This Row],[Jenis_Proyek]])</f>
        <v>Jalan Raya</v>
      </c>
      <c r="C179" s="8" t="str">
        <f>IF(Table2[[#This Row],[Lokasi]]="", "Tidak Diketahui", Table2[[#This Row],[Lokasi]])</f>
        <v>Bandung</v>
      </c>
      <c r="D179" s="8" t="str">
        <f>IF(Table2[[#This Row],[Nama_Proyek]]="", "Tidak Diketahui", Table2[[#This Row],[Nama_Proyek]])</f>
        <v>Perbaikan Jalan Raya Bandung</v>
      </c>
      <c r="E179" s="14">
        <v>45052</v>
      </c>
      <c r="F179" s="14">
        <v>45087</v>
      </c>
      <c r="G179" s="10">
        <v>189032296</v>
      </c>
      <c r="H179" s="8" t="str">
        <f>IF(Table2[[#This Row],[Kontraktor]]="", "Tidak Diketahui",Table2[[#This Row],[Kontraktor]])</f>
        <v>Tidak Diketahui</v>
      </c>
      <c r="I179" s="11">
        <f>Table245[[#This Row],[Tanggal_Selesai]]-Table245[[#This Row],[Tanggal_Mulai]]</f>
        <v>35</v>
      </c>
      <c r="J179" s="17">
        <f>Table245[[#This Row],[Anggaran]]/Table245[[#This Row],[Durasi_Proyek]]</f>
        <v>5400922.7428571433</v>
      </c>
      <c r="K179" s="11">
        <f>YEAR(Table245[[#This Row],[Tanggal_Mulai]])</f>
        <v>2023</v>
      </c>
    </row>
    <row r="180" spans="1:11" ht="14.25" customHeight="1" x14ac:dyDescent="0.35">
      <c r="A180" s="8" t="s">
        <v>231</v>
      </c>
      <c r="B180" s="8" t="str">
        <f>IF(Table2[[#This Row],[Jenis_Proyek]]="", "Tidak Diketahui", Table2[[#This Row],[Jenis_Proyek]])</f>
        <v>Jalan Raya</v>
      </c>
      <c r="C180" s="8" t="str">
        <f>IF(Table2[[#This Row],[Lokasi]]="", "Tidak Diketahui", Table2[[#This Row],[Lokasi]])</f>
        <v>Jakarta</v>
      </c>
      <c r="D180" s="8" t="str">
        <f>IF(Table2[[#This Row],[Nama_Proyek]]="", "Tidak Diketahui", Table2[[#This Row],[Nama_Proyek]])</f>
        <v>Perbaikan Jalan Raya Jakarta</v>
      </c>
      <c r="E180" s="14">
        <v>45052</v>
      </c>
      <c r="F180" s="14">
        <v>45253</v>
      </c>
      <c r="G180" s="10">
        <v>484231869</v>
      </c>
      <c r="H180" s="8" t="str">
        <f>IF(Table2[[#This Row],[Kontraktor]]="", "Tidak Diketahui",Table2[[#This Row],[Kontraktor]])</f>
        <v>CV Sihombing</v>
      </c>
      <c r="I180" s="11">
        <f>Table245[[#This Row],[Tanggal_Selesai]]-Table245[[#This Row],[Tanggal_Mulai]]</f>
        <v>201</v>
      </c>
      <c r="J180" s="17">
        <f>Table245[[#This Row],[Anggaran]]/Table245[[#This Row],[Durasi_Proyek]]</f>
        <v>2409113.7761194031</v>
      </c>
      <c r="K180" s="11">
        <f>YEAR(Table245[[#This Row],[Tanggal_Mulai]])</f>
        <v>2023</v>
      </c>
    </row>
    <row r="181" spans="1:11" ht="14.25" customHeight="1" x14ac:dyDescent="0.35">
      <c r="A181" s="8" t="s">
        <v>232</v>
      </c>
      <c r="B181" s="8" t="str">
        <f>IF(Table2[[#This Row],[Jenis_Proyek]]="", "Tidak Diketahui", Table2[[#This Row],[Jenis_Proyek]])</f>
        <v>Flyover</v>
      </c>
      <c r="C181" s="8" t="str">
        <f>IF(Table2[[#This Row],[Lokasi]]="", "Tidak Diketahui", Table2[[#This Row],[Lokasi]])</f>
        <v>Bandung</v>
      </c>
      <c r="D181" s="8" t="str">
        <f>IF(Table2[[#This Row],[Nama_Proyek]]="", "Tidak Diketahui", Table2[[#This Row],[Nama_Proyek]])</f>
        <v>Pembuatan Flyover Bandung</v>
      </c>
      <c r="E181" s="14">
        <v>45053</v>
      </c>
      <c r="F181" s="14">
        <v>45321</v>
      </c>
      <c r="G181" s="10">
        <v>1552182554</v>
      </c>
      <c r="H181" s="8" t="str">
        <f>IF(Table2[[#This Row],[Kontraktor]]="", "Tidak Diketahui",Table2[[#This Row],[Kontraktor]])</f>
        <v>PT B</v>
      </c>
      <c r="I181" s="11">
        <f>Table245[[#This Row],[Tanggal_Selesai]]-Table245[[#This Row],[Tanggal_Mulai]]</f>
        <v>268</v>
      </c>
      <c r="J181" s="17">
        <f>Table245[[#This Row],[Anggaran]]/Table245[[#This Row],[Durasi_Proyek]]</f>
        <v>5791725.9477611938</v>
      </c>
      <c r="K181" s="11">
        <f>YEAR(Table245[[#This Row],[Tanggal_Mulai]])</f>
        <v>2023</v>
      </c>
    </row>
    <row r="182" spans="1:11" ht="14.25" customHeight="1" x14ac:dyDescent="0.35">
      <c r="A182" s="8" t="s">
        <v>233</v>
      </c>
      <c r="B182" s="8" t="str">
        <f>IF(Table2[[#This Row],[Jenis_Proyek]]="", "Tidak Diketahui", Table2[[#This Row],[Jenis_Proyek]])</f>
        <v>Drainase</v>
      </c>
      <c r="C182" s="8" t="str">
        <f>IF(Table2[[#This Row],[Lokasi]]="", "Tidak Diketahui", Table2[[#This Row],[Lokasi]])</f>
        <v>Bau-Bau</v>
      </c>
      <c r="D182" s="8" t="str">
        <f>IF(Table2[[#This Row],[Nama_Proyek]]="", "Tidak Diketahui", Table2[[#This Row],[Nama_Proyek]])</f>
        <v>Perbaikan Drainase Bau-Bau</v>
      </c>
      <c r="E182" s="14">
        <v>45053</v>
      </c>
      <c r="F182" s="14">
        <v>45410</v>
      </c>
      <c r="G182" s="10">
        <v>212901636</v>
      </c>
      <c r="H182" s="8" t="str">
        <f>IF(Table2[[#This Row],[Kontraktor]]="", "Tidak Diketahui",Table2[[#This Row],[Kontraktor]])</f>
        <v>PT C</v>
      </c>
      <c r="I182" s="11">
        <f>Table245[[#This Row],[Tanggal_Selesai]]-Table245[[#This Row],[Tanggal_Mulai]]</f>
        <v>357</v>
      </c>
      <c r="J182" s="17">
        <f>Table245[[#This Row],[Anggaran]]/Table245[[#This Row],[Durasi_Proyek]]</f>
        <v>596363.12605042022</v>
      </c>
      <c r="K182" s="11">
        <f>YEAR(Table245[[#This Row],[Tanggal_Mulai]])</f>
        <v>2023</v>
      </c>
    </row>
    <row r="183" spans="1:11" ht="14.25" customHeight="1" x14ac:dyDescent="0.35">
      <c r="A183" s="8" t="s">
        <v>234</v>
      </c>
      <c r="B183" s="8" t="str">
        <f>IF(Table2[[#This Row],[Jenis_Proyek]]="", "Tidak Diketahui", Table2[[#This Row],[Jenis_Proyek]])</f>
        <v>Jalan Raya</v>
      </c>
      <c r="C183" s="8" t="str">
        <f>IF(Table2[[#This Row],[Lokasi]]="", "Tidak Diketahui", Table2[[#This Row],[Lokasi]])</f>
        <v>Bau-Bau</v>
      </c>
      <c r="D183" s="8" t="str">
        <f>IF(Table2[[#This Row],[Nama_Proyek]]="", "Tidak Diketahui", Table2[[#This Row],[Nama_Proyek]])</f>
        <v>Perbaikan Jalan Raya Bau-Bau</v>
      </c>
      <c r="E183" s="14">
        <v>45055</v>
      </c>
      <c r="F183" s="14">
        <v>45315</v>
      </c>
      <c r="G183" s="10">
        <v>862295964</v>
      </c>
      <c r="H183" s="8" t="str">
        <f>IF(Table2[[#This Row],[Kontraktor]]="", "Tidak Diketahui",Table2[[#This Row],[Kontraktor]])</f>
        <v>PT B</v>
      </c>
      <c r="I183" s="11">
        <f>Table245[[#This Row],[Tanggal_Selesai]]-Table245[[#This Row],[Tanggal_Mulai]]</f>
        <v>260</v>
      </c>
      <c r="J183" s="17">
        <f>Table245[[#This Row],[Anggaran]]/Table245[[#This Row],[Durasi_Proyek]]</f>
        <v>3316522.9384615384</v>
      </c>
      <c r="K183" s="11">
        <f>YEAR(Table245[[#This Row],[Tanggal_Mulai]])</f>
        <v>2023</v>
      </c>
    </row>
    <row r="184" spans="1:11" ht="14.25" customHeight="1" x14ac:dyDescent="0.35">
      <c r="A184" s="8" t="s">
        <v>235</v>
      </c>
      <c r="B184" s="8" t="str">
        <f>IF(Table2[[#This Row],[Jenis_Proyek]]="", "Tidak Diketahui", Table2[[#This Row],[Jenis_Proyek]])</f>
        <v>Drainase</v>
      </c>
      <c r="C184" s="8" t="str">
        <f>IF(Table2[[#This Row],[Lokasi]]="", "Tidak Diketahui", Table2[[#This Row],[Lokasi]])</f>
        <v>Bandung</v>
      </c>
      <c r="D184" s="8" t="str">
        <f>IF(Table2[[#This Row],[Nama_Proyek]]="", "Tidak Diketahui", Table2[[#This Row],[Nama_Proyek]])</f>
        <v>Perbaikan Drainase Bandung</v>
      </c>
      <c r="E184" s="14">
        <v>45055</v>
      </c>
      <c r="F184" s="14">
        <v>45273</v>
      </c>
      <c r="G184" s="10">
        <v>636437813</v>
      </c>
      <c r="H184" s="8" t="str">
        <f>IF(Table2[[#This Row],[Kontraktor]]="", "Tidak Diketahui",Table2[[#This Row],[Kontraktor]])</f>
        <v>PT. Yuniar Hakim Tbk</v>
      </c>
      <c r="I184" s="11">
        <f>Table245[[#This Row],[Tanggal_Selesai]]-Table245[[#This Row],[Tanggal_Mulai]]</f>
        <v>218</v>
      </c>
      <c r="J184" s="17">
        <f>Table245[[#This Row],[Anggaran]]/Table245[[#This Row],[Durasi_Proyek]]</f>
        <v>2919439.509174312</v>
      </c>
      <c r="K184" s="11">
        <f>YEAR(Table245[[#This Row],[Tanggal_Mulai]])</f>
        <v>2023</v>
      </c>
    </row>
    <row r="185" spans="1:11" ht="14.25" customHeight="1" x14ac:dyDescent="0.35">
      <c r="A185" s="8" t="s">
        <v>236</v>
      </c>
      <c r="B185" s="8" t="str">
        <f>IF(Table2[[#This Row],[Jenis_Proyek]]="", "Tidak Diketahui", Table2[[#This Row],[Jenis_Proyek]])</f>
        <v>Gedung</v>
      </c>
      <c r="C185" s="8" t="str">
        <f>IF(Table2[[#This Row],[Lokasi]]="", "Tidak Diketahui", Table2[[#This Row],[Lokasi]])</f>
        <v>Makassar</v>
      </c>
      <c r="D185" s="8" t="str">
        <f>IF(Table2[[#This Row],[Nama_Proyek]]="", "Tidak Diketahui", Table2[[#This Row],[Nama_Proyek]])</f>
        <v>Perbaikan Gedung Pemerintah Makassar</v>
      </c>
      <c r="E185" s="14">
        <v>45056</v>
      </c>
      <c r="F185" s="14">
        <v>45210</v>
      </c>
      <c r="G185" s="10">
        <v>22993543140</v>
      </c>
      <c r="H185" s="8" t="str">
        <f>IF(Table2[[#This Row],[Kontraktor]]="", "Tidak Diketahui",Table2[[#This Row],[Kontraktor]])</f>
        <v>PT A</v>
      </c>
      <c r="I185" s="11">
        <f>Table245[[#This Row],[Tanggal_Selesai]]-Table245[[#This Row],[Tanggal_Mulai]]</f>
        <v>154</v>
      </c>
      <c r="J185" s="17">
        <f>Table245[[#This Row],[Anggaran]]/Table245[[#This Row],[Durasi_Proyek]]</f>
        <v>149308721.6883117</v>
      </c>
      <c r="K185" s="11">
        <f>YEAR(Table245[[#This Row],[Tanggal_Mulai]])</f>
        <v>2023</v>
      </c>
    </row>
    <row r="186" spans="1:11" ht="14.25" customHeight="1" x14ac:dyDescent="0.35">
      <c r="A186" s="8" t="s">
        <v>237</v>
      </c>
      <c r="B186" s="8" t="str">
        <f>IF(Table2[[#This Row],[Jenis_Proyek]]="", "Tidak Diketahui", Table2[[#This Row],[Jenis_Proyek]])</f>
        <v>Jembatan</v>
      </c>
      <c r="C186" s="8" t="str">
        <f>IF(Table2[[#This Row],[Lokasi]]="", "Tidak Diketahui", Table2[[#This Row],[Lokasi]])</f>
        <v>Bau-Bau</v>
      </c>
      <c r="D186" s="8" t="str">
        <f>IF(Table2[[#This Row],[Nama_Proyek]]="", "Tidak Diketahui", Table2[[#This Row],[Nama_Proyek]])</f>
        <v>Pembuatan Jembatan Bau-Bau</v>
      </c>
      <c r="E186" s="14">
        <v>45056</v>
      </c>
      <c r="F186" s="14">
        <v>45364</v>
      </c>
      <c r="G186" s="10">
        <v>5097478222</v>
      </c>
      <c r="H186" s="8" t="str">
        <f>IF(Table2[[#This Row],[Kontraktor]]="", "Tidak Diketahui",Table2[[#This Row],[Kontraktor]])</f>
        <v>CV Sihombing</v>
      </c>
      <c r="I186" s="11">
        <f>Table245[[#This Row],[Tanggal_Selesai]]-Table245[[#This Row],[Tanggal_Mulai]]</f>
        <v>308</v>
      </c>
      <c r="J186" s="17">
        <f>Table245[[#This Row],[Anggaran]]/Table245[[#This Row],[Durasi_Proyek]]</f>
        <v>16550253.967532467</v>
      </c>
      <c r="K186" s="11">
        <f>YEAR(Table245[[#This Row],[Tanggal_Mulai]])</f>
        <v>2023</v>
      </c>
    </row>
    <row r="187" spans="1:11" ht="14.25" customHeight="1" x14ac:dyDescent="0.35">
      <c r="A187" s="8" t="s">
        <v>238</v>
      </c>
      <c r="B187" s="8" t="str">
        <f>IF(Table2[[#This Row],[Jenis_Proyek]]="", "Tidak Diketahui", Table2[[#This Row],[Jenis_Proyek]])</f>
        <v>Jembatan</v>
      </c>
      <c r="C187" s="8" t="str">
        <f>IF(Table2[[#This Row],[Lokasi]]="", "Tidak Diketahui", Table2[[#This Row],[Lokasi]])</f>
        <v>Depok</v>
      </c>
      <c r="D187" s="8" t="str">
        <f>IF(Table2[[#This Row],[Nama_Proyek]]="", "Tidak Diketahui", Table2[[#This Row],[Nama_Proyek]])</f>
        <v>Pembuatan Jembatan Depok</v>
      </c>
      <c r="E187" s="14">
        <v>45056</v>
      </c>
      <c r="F187" s="14">
        <v>45387</v>
      </c>
      <c r="G187" s="10">
        <v>6825404228</v>
      </c>
      <c r="H187" s="8" t="str">
        <f>IF(Table2[[#This Row],[Kontraktor]]="", "Tidak Diketahui",Table2[[#This Row],[Kontraktor]])</f>
        <v>PT. Yuniar Hakim Tbk</v>
      </c>
      <c r="I187" s="11">
        <f>Table245[[#This Row],[Tanggal_Selesai]]-Table245[[#This Row],[Tanggal_Mulai]]</f>
        <v>331</v>
      </c>
      <c r="J187" s="17">
        <f>Table245[[#This Row],[Anggaran]]/Table245[[#This Row],[Durasi_Proyek]]</f>
        <v>20620556.580060422</v>
      </c>
      <c r="K187" s="11">
        <f>YEAR(Table245[[#This Row],[Tanggal_Mulai]])</f>
        <v>2023</v>
      </c>
    </row>
    <row r="188" spans="1:11" ht="14.25" customHeight="1" x14ac:dyDescent="0.35">
      <c r="A188" s="8" t="s">
        <v>239</v>
      </c>
      <c r="B188" s="8" t="str">
        <f>IF(Table2[[#This Row],[Jenis_Proyek]]="", "Tidak Diketahui", Table2[[#This Row],[Jenis_Proyek]])</f>
        <v>Drainase</v>
      </c>
      <c r="C188" s="8" t="str">
        <f>IF(Table2[[#This Row],[Lokasi]]="", "Tidak Diketahui", Table2[[#This Row],[Lokasi]])</f>
        <v>Depok</v>
      </c>
      <c r="D188" s="8" t="str">
        <f>IF(Table2[[#This Row],[Nama_Proyek]]="", "Tidak Diketahui", Table2[[#This Row],[Nama_Proyek]])</f>
        <v>Perbaikan Drainase Depok</v>
      </c>
      <c r="E188" s="14">
        <v>45057</v>
      </c>
      <c r="F188" s="14">
        <v>45337</v>
      </c>
      <c r="G188" s="10">
        <v>711908536</v>
      </c>
      <c r="H188" s="8" t="str">
        <f>IF(Table2[[#This Row],[Kontraktor]]="", "Tidak Diketahui",Table2[[#This Row],[Kontraktor]])</f>
        <v>PT. Lailasari Hariyah (Persero) Tbk</v>
      </c>
      <c r="I188" s="11">
        <f>Table245[[#This Row],[Tanggal_Selesai]]-Table245[[#This Row],[Tanggal_Mulai]]</f>
        <v>280</v>
      </c>
      <c r="J188" s="17">
        <f>Table245[[#This Row],[Anggaran]]/Table245[[#This Row],[Durasi_Proyek]]</f>
        <v>2542530.4857142856</v>
      </c>
      <c r="K188" s="11">
        <f>YEAR(Table245[[#This Row],[Tanggal_Mulai]])</f>
        <v>2023</v>
      </c>
    </row>
    <row r="189" spans="1:11" ht="14.25" customHeight="1" x14ac:dyDescent="0.35">
      <c r="A189" s="8" t="s">
        <v>240</v>
      </c>
      <c r="B189" s="8" t="str">
        <f>IF(Table2[[#This Row],[Jenis_Proyek]]="", "Tidak Diketahui", Table2[[#This Row],[Jenis_Proyek]])</f>
        <v>Flyover</v>
      </c>
      <c r="C189" s="8" t="str">
        <f>IF(Table2[[#This Row],[Lokasi]]="", "Tidak Diketahui", Table2[[#This Row],[Lokasi]])</f>
        <v>Bandung</v>
      </c>
      <c r="D189" s="8" t="str">
        <f>IF(Table2[[#This Row],[Nama_Proyek]]="", "Tidak Diketahui", Table2[[#This Row],[Nama_Proyek]])</f>
        <v>Pembuatan Flyover Bandung</v>
      </c>
      <c r="E189" s="14">
        <v>45057</v>
      </c>
      <c r="F189" s="14">
        <v>45261</v>
      </c>
      <c r="G189" s="10">
        <v>4488626883</v>
      </c>
      <c r="H189" s="8" t="str">
        <f>IF(Table2[[#This Row],[Kontraktor]]="", "Tidak Diketahui",Table2[[#This Row],[Kontraktor]])</f>
        <v>PT A</v>
      </c>
      <c r="I189" s="11">
        <f>Table245[[#This Row],[Tanggal_Selesai]]-Table245[[#This Row],[Tanggal_Mulai]]</f>
        <v>204</v>
      </c>
      <c r="J189" s="17">
        <f>Table245[[#This Row],[Anggaran]]/Table245[[#This Row],[Durasi_Proyek]]</f>
        <v>22003072.955882352</v>
      </c>
      <c r="K189" s="11">
        <f>YEAR(Table245[[#This Row],[Tanggal_Mulai]])</f>
        <v>2023</v>
      </c>
    </row>
    <row r="190" spans="1:11" ht="14.25" customHeight="1" x14ac:dyDescent="0.35">
      <c r="A190" s="8" t="s">
        <v>241</v>
      </c>
      <c r="B190" s="8" t="str">
        <f>IF(Table2[[#This Row],[Jenis_Proyek]]="", "Tidak Diketahui", Table2[[#This Row],[Jenis_Proyek]])</f>
        <v>Jalan Raya</v>
      </c>
      <c r="C190" s="8" t="str">
        <f>IF(Table2[[#This Row],[Lokasi]]="", "Tidak Diketahui", Table2[[#This Row],[Lokasi]])</f>
        <v>Bau-Bau</v>
      </c>
      <c r="D190" s="8" t="str">
        <f>IF(Table2[[#This Row],[Nama_Proyek]]="", "Tidak Diketahui", Table2[[#This Row],[Nama_Proyek]])</f>
        <v>Perbaikan Jalan Raya Bau-Bau</v>
      </c>
      <c r="E190" s="14">
        <v>45058</v>
      </c>
      <c r="F190" s="14">
        <v>45145</v>
      </c>
      <c r="G190" s="10">
        <v>833760455</v>
      </c>
      <c r="H190" s="8" t="str">
        <f>IF(Table2[[#This Row],[Kontraktor]]="", "Tidak Diketahui",Table2[[#This Row],[Kontraktor]])</f>
        <v>PT D</v>
      </c>
      <c r="I190" s="11">
        <f>Table245[[#This Row],[Tanggal_Selesai]]-Table245[[#This Row],[Tanggal_Mulai]]</f>
        <v>87</v>
      </c>
      <c r="J190" s="17">
        <f>Table245[[#This Row],[Anggaran]]/Table245[[#This Row],[Durasi_Proyek]]</f>
        <v>9583453.5057471264</v>
      </c>
      <c r="K190" s="11">
        <f>YEAR(Table245[[#This Row],[Tanggal_Mulai]])</f>
        <v>2023</v>
      </c>
    </row>
    <row r="191" spans="1:11" ht="14.25" customHeight="1" x14ac:dyDescent="0.35">
      <c r="A191" s="8" t="s">
        <v>242</v>
      </c>
      <c r="B191" s="8" t="str">
        <f>IF(Table2[[#This Row],[Jenis_Proyek]]="", "Tidak Diketahui", Table2[[#This Row],[Jenis_Proyek]])</f>
        <v>Jalan Raya</v>
      </c>
      <c r="C191" s="8" t="str">
        <f>IF(Table2[[#This Row],[Lokasi]]="", "Tidak Diketahui", Table2[[#This Row],[Lokasi]])</f>
        <v>Makassar</v>
      </c>
      <c r="D191" s="8" t="str">
        <f>IF(Table2[[#This Row],[Nama_Proyek]]="", "Tidak Diketahui", Table2[[#This Row],[Nama_Proyek]])</f>
        <v>Perbaikan Jalan Raya Makassar</v>
      </c>
      <c r="E191" s="14">
        <v>45059</v>
      </c>
      <c r="F191" s="14">
        <v>45390</v>
      </c>
      <c r="G191" s="10">
        <v>796873116</v>
      </c>
      <c r="H191" s="8" t="str">
        <f>IF(Table2[[#This Row],[Kontraktor]]="", "Tidak Diketahui",Table2[[#This Row],[Kontraktor]])</f>
        <v>PT C</v>
      </c>
      <c r="I191" s="11">
        <f>Table245[[#This Row],[Tanggal_Selesai]]-Table245[[#This Row],[Tanggal_Mulai]]</f>
        <v>331</v>
      </c>
      <c r="J191" s="17">
        <f>Table245[[#This Row],[Anggaran]]/Table245[[#This Row],[Durasi_Proyek]]</f>
        <v>2407471.6495468277</v>
      </c>
      <c r="K191" s="11">
        <f>YEAR(Table245[[#This Row],[Tanggal_Mulai]])</f>
        <v>2023</v>
      </c>
    </row>
    <row r="192" spans="1:11" ht="14.25" customHeight="1" x14ac:dyDescent="0.35">
      <c r="A192" s="8" t="s">
        <v>243</v>
      </c>
      <c r="B192" s="8" t="str">
        <f>IF(Table2[[#This Row],[Jenis_Proyek]]="", "Tidak Diketahui", Table2[[#This Row],[Jenis_Proyek]])</f>
        <v>Jalan Raya</v>
      </c>
      <c r="C192" s="8" t="str">
        <f>IF(Table2[[#This Row],[Lokasi]]="", "Tidak Diketahui", Table2[[#This Row],[Lokasi]])</f>
        <v>Surabaya</v>
      </c>
      <c r="D192" s="8" t="str">
        <f>IF(Table2[[#This Row],[Nama_Proyek]]="", "Tidak Diketahui", Table2[[#This Row],[Nama_Proyek]])</f>
        <v>Perbaikan Jalan Raya Surabaya</v>
      </c>
      <c r="E192" s="14">
        <v>45060</v>
      </c>
      <c r="F192" s="14">
        <v>45231</v>
      </c>
      <c r="G192" s="10">
        <v>265841157</v>
      </c>
      <c r="H192" s="8" t="str">
        <f>IF(Table2[[#This Row],[Kontraktor]]="", "Tidak Diketahui",Table2[[#This Row],[Kontraktor]])</f>
        <v>PT B</v>
      </c>
      <c r="I192" s="11">
        <f>Table245[[#This Row],[Tanggal_Selesai]]-Table245[[#This Row],[Tanggal_Mulai]]</f>
        <v>171</v>
      </c>
      <c r="J192" s="17">
        <f>Table245[[#This Row],[Anggaran]]/Table245[[#This Row],[Durasi_Proyek]]</f>
        <v>1554626.649122807</v>
      </c>
      <c r="K192" s="11">
        <f>YEAR(Table245[[#This Row],[Tanggal_Mulai]])</f>
        <v>2023</v>
      </c>
    </row>
    <row r="193" spans="1:11" ht="14.25" customHeight="1" x14ac:dyDescent="0.35">
      <c r="A193" s="8" t="s">
        <v>244</v>
      </c>
      <c r="B193" s="8" t="str">
        <f>IF(Table2[[#This Row],[Jenis_Proyek]]="", "Tidak Diketahui", Table2[[#This Row],[Jenis_Proyek]])</f>
        <v>Jembatan</v>
      </c>
      <c r="C193" s="8" t="str">
        <f>IF(Table2[[#This Row],[Lokasi]]="", "Tidak Diketahui", Table2[[#This Row],[Lokasi]])</f>
        <v>Medan</v>
      </c>
      <c r="D193" s="8" t="str">
        <f>IF(Table2[[#This Row],[Nama_Proyek]]="", "Tidak Diketahui", Table2[[#This Row],[Nama_Proyek]])</f>
        <v>Pembuatan Jembatan Medan</v>
      </c>
      <c r="E193" s="14">
        <v>45061</v>
      </c>
      <c r="F193" s="14">
        <v>45294</v>
      </c>
      <c r="G193" s="10">
        <v>2403144972</v>
      </c>
      <c r="H193" s="8" t="str">
        <f>IF(Table2[[#This Row],[Kontraktor]]="", "Tidak Diketahui",Table2[[#This Row],[Kontraktor]])</f>
        <v>PT B</v>
      </c>
      <c r="I193" s="11">
        <f>Table245[[#This Row],[Tanggal_Selesai]]-Table245[[#This Row],[Tanggal_Mulai]]</f>
        <v>233</v>
      </c>
      <c r="J193" s="17">
        <f>Table245[[#This Row],[Anggaran]]/Table245[[#This Row],[Durasi_Proyek]]</f>
        <v>10313926.918454936</v>
      </c>
      <c r="K193" s="11">
        <f>YEAR(Table245[[#This Row],[Tanggal_Mulai]])</f>
        <v>2023</v>
      </c>
    </row>
    <row r="194" spans="1:11" ht="14.25" customHeight="1" x14ac:dyDescent="0.35">
      <c r="A194" s="8" t="s">
        <v>245</v>
      </c>
      <c r="B194" s="8" t="str">
        <f>IF(Table2[[#This Row],[Jenis_Proyek]]="", "Tidak Diketahui", Table2[[#This Row],[Jenis_Proyek]])</f>
        <v>Jembatan</v>
      </c>
      <c r="C194" s="8" t="str">
        <f>IF(Table2[[#This Row],[Lokasi]]="", "Tidak Diketahui", Table2[[#This Row],[Lokasi]])</f>
        <v>Medan</v>
      </c>
      <c r="D194" s="8" t="str">
        <f>IF(Table2[[#This Row],[Nama_Proyek]]="", "Tidak Diketahui", Table2[[#This Row],[Nama_Proyek]])</f>
        <v>Pembuatan Jembatan Medan</v>
      </c>
      <c r="E194" s="14">
        <v>45062</v>
      </c>
      <c r="F194" s="14">
        <v>45418</v>
      </c>
      <c r="G194" s="10">
        <v>2353183969</v>
      </c>
      <c r="H194" s="8" t="str">
        <f>IF(Table2[[#This Row],[Kontraktor]]="", "Tidak Diketahui",Table2[[#This Row],[Kontraktor]])</f>
        <v>PT C</v>
      </c>
      <c r="I194" s="11">
        <f>Table245[[#This Row],[Tanggal_Selesai]]-Table245[[#This Row],[Tanggal_Mulai]]</f>
        <v>356</v>
      </c>
      <c r="J194" s="17">
        <f>Table245[[#This Row],[Anggaran]]/Table245[[#This Row],[Durasi_Proyek]]</f>
        <v>6610067.3286516853</v>
      </c>
      <c r="K194" s="11">
        <f>YEAR(Table245[[#This Row],[Tanggal_Mulai]])</f>
        <v>2023</v>
      </c>
    </row>
    <row r="195" spans="1:11" ht="14.25" customHeight="1" x14ac:dyDescent="0.35">
      <c r="A195" s="8" t="s">
        <v>246</v>
      </c>
      <c r="B195" s="8" t="str">
        <f>IF(Table2[[#This Row],[Jenis_Proyek]]="", "Tidak Diketahui", Table2[[#This Row],[Jenis_Proyek]])</f>
        <v>Jembatan</v>
      </c>
      <c r="C195" s="8" t="str">
        <f>IF(Table2[[#This Row],[Lokasi]]="", "Tidak Diketahui", Table2[[#This Row],[Lokasi]])</f>
        <v>Bau-Bau</v>
      </c>
      <c r="D195" s="8" t="str">
        <f>IF(Table2[[#This Row],[Nama_Proyek]]="", "Tidak Diketahui", Table2[[#This Row],[Nama_Proyek]])</f>
        <v>Perbaikan Jembatan Bau-Bau</v>
      </c>
      <c r="E195" s="14">
        <v>45063</v>
      </c>
      <c r="F195" s="14">
        <v>45233</v>
      </c>
      <c r="G195" s="10">
        <v>3010188959</v>
      </c>
      <c r="H195" s="8" t="str">
        <f>IF(Table2[[#This Row],[Kontraktor]]="", "Tidak Diketahui",Table2[[#This Row],[Kontraktor]])</f>
        <v>PT C</v>
      </c>
      <c r="I195" s="11">
        <f>Table245[[#This Row],[Tanggal_Selesai]]-Table245[[#This Row],[Tanggal_Mulai]]</f>
        <v>170</v>
      </c>
      <c r="J195" s="17">
        <f>Table245[[#This Row],[Anggaran]]/Table245[[#This Row],[Durasi_Proyek]]</f>
        <v>17706993.876470588</v>
      </c>
      <c r="K195" s="11">
        <f>YEAR(Table245[[#This Row],[Tanggal_Mulai]])</f>
        <v>2023</v>
      </c>
    </row>
    <row r="196" spans="1:11" ht="14.25" customHeight="1" x14ac:dyDescent="0.35">
      <c r="A196" s="8" t="s">
        <v>247</v>
      </c>
      <c r="B196" s="8" t="str">
        <f>IF(Table2[[#This Row],[Jenis_Proyek]]="", "Tidak Diketahui", Table2[[#This Row],[Jenis_Proyek]])</f>
        <v>Jembatan</v>
      </c>
      <c r="C196" s="8" t="str">
        <f>IF(Table2[[#This Row],[Lokasi]]="", "Tidak Diketahui", Table2[[#This Row],[Lokasi]])</f>
        <v>Bau-Bau</v>
      </c>
      <c r="D196" s="8" t="str">
        <f>IF(Table2[[#This Row],[Nama_Proyek]]="", "Tidak Diketahui", Table2[[#This Row],[Nama_Proyek]])</f>
        <v>Perbaikan Jembatan Bau-Bau</v>
      </c>
      <c r="E196" s="14">
        <v>45063</v>
      </c>
      <c r="F196" s="14">
        <v>45274</v>
      </c>
      <c r="G196" s="10">
        <v>3270056272</v>
      </c>
      <c r="H196" s="8" t="str">
        <f>IF(Table2[[#This Row],[Kontraktor]]="", "Tidak Diketahui",Table2[[#This Row],[Kontraktor]])</f>
        <v>PT. Yuniar Hakim Tbk</v>
      </c>
      <c r="I196" s="11">
        <f>Table245[[#This Row],[Tanggal_Selesai]]-Table245[[#This Row],[Tanggal_Mulai]]</f>
        <v>211</v>
      </c>
      <c r="J196" s="17">
        <f>Table245[[#This Row],[Anggaran]]/Table245[[#This Row],[Durasi_Proyek]]</f>
        <v>15497897.023696683</v>
      </c>
      <c r="K196" s="11">
        <f>YEAR(Table245[[#This Row],[Tanggal_Mulai]])</f>
        <v>2023</v>
      </c>
    </row>
    <row r="197" spans="1:11" ht="14.25" customHeight="1" x14ac:dyDescent="0.35">
      <c r="A197" s="8" t="s">
        <v>248</v>
      </c>
      <c r="B197" s="8" t="str">
        <f>IF(Table2[[#This Row],[Jenis_Proyek]]="", "Tidak Diketahui", Table2[[#This Row],[Jenis_Proyek]])</f>
        <v>Flyover</v>
      </c>
      <c r="C197" s="8" t="str">
        <f>IF(Table2[[#This Row],[Lokasi]]="", "Tidak Diketahui", Table2[[#This Row],[Lokasi]])</f>
        <v>Surabaya</v>
      </c>
      <c r="D197" s="8" t="str">
        <f>IF(Table2[[#This Row],[Nama_Proyek]]="", "Tidak Diketahui", Table2[[#This Row],[Nama_Proyek]])</f>
        <v>Pembuatan Flyover Surabaya</v>
      </c>
      <c r="E197" s="14">
        <v>45063</v>
      </c>
      <c r="F197" s="14">
        <v>45376</v>
      </c>
      <c r="G197" s="10">
        <v>2737545275</v>
      </c>
      <c r="H197" s="8" t="str">
        <f>IF(Table2[[#This Row],[Kontraktor]]="", "Tidak Diketahui",Table2[[#This Row],[Kontraktor]])</f>
        <v>PT A</v>
      </c>
      <c r="I197" s="11">
        <f>Table245[[#This Row],[Tanggal_Selesai]]-Table245[[#This Row],[Tanggal_Mulai]]</f>
        <v>313</v>
      </c>
      <c r="J197" s="17">
        <f>Table245[[#This Row],[Anggaran]]/Table245[[#This Row],[Durasi_Proyek]]</f>
        <v>8746151.0383386575</v>
      </c>
      <c r="K197" s="11">
        <f>YEAR(Table245[[#This Row],[Tanggal_Mulai]])</f>
        <v>2023</v>
      </c>
    </row>
    <row r="198" spans="1:11" ht="14.25" customHeight="1" x14ac:dyDescent="0.35">
      <c r="A198" s="8" t="s">
        <v>249</v>
      </c>
      <c r="B198" s="8" t="str">
        <f>IF(Table2[[#This Row],[Jenis_Proyek]]="", "Tidak Diketahui", Table2[[#This Row],[Jenis_Proyek]])</f>
        <v>Drainase</v>
      </c>
      <c r="C198" s="8" t="str">
        <f>IF(Table2[[#This Row],[Lokasi]]="", "Tidak Diketahui", Table2[[#This Row],[Lokasi]])</f>
        <v>Jakarta</v>
      </c>
      <c r="D198" s="8" t="str">
        <f>IF(Table2[[#This Row],[Nama_Proyek]]="", "Tidak Diketahui", Table2[[#This Row],[Nama_Proyek]])</f>
        <v>Perbaikan Drainase Jakarta</v>
      </c>
      <c r="E198" s="14">
        <v>45063</v>
      </c>
      <c r="F198" s="14">
        <v>45215</v>
      </c>
      <c r="G198" s="10">
        <v>435396392</v>
      </c>
      <c r="H198" s="8" t="str">
        <f>IF(Table2[[#This Row],[Kontraktor]]="", "Tidak Diketahui",Table2[[#This Row],[Kontraktor]])</f>
        <v>PT A</v>
      </c>
      <c r="I198" s="11">
        <f>Table245[[#This Row],[Tanggal_Selesai]]-Table245[[#This Row],[Tanggal_Mulai]]</f>
        <v>152</v>
      </c>
      <c r="J198" s="17">
        <f>Table245[[#This Row],[Anggaran]]/Table245[[#This Row],[Durasi_Proyek]]</f>
        <v>2864449.9473684211</v>
      </c>
      <c r="K198" s="11">
        <f>YEAR(Table245[[#This Row],[Tanggal_Mulai]])</f>
        <v>2023</v>
      </c>
    </row>
    <row r="199" spans="1:11" ht="14.25" customHeight="1" x14ac:dyDescent="0.35">
      <c r="A199" s="8" t="s">
        <v>250</v>
      </c>
      <c r="B199" s="8" t="str">
        <f>IF(Table2[[#This Row],[Jenis_Proyek]]="", "Tidak Diketahui", Table2[[#This Row],[Jenis_Proyek]])</f>
        <v>Jalan Raya</v>
      </c>
      <c r="C199" s="8" t="str">
        <f>IF(Table2[[#This Row],[Lokasi]]="", "Tidak Diketahui", Table2[[#This Row],[Lokasi]])</f>
        <v>Tomohon</v>
      </c>
      <c r="D199" s="8" t="str">
        <f>IF(Table2[[#This Row],[Nama_Proyek]]="", "Tidak Diketahui", Table2[[#This Row],[Nama_Proyek]])</f>
        <v>Perbaikan Jalan Raya Tomohon</v>
      </c>
      <c r="E199" s="14">
        <v>45064</v>
      </c>
      <c r="F199" s="14">
        <v>45199</v>
      </c>
      <c r="G199" s="10">
        <v>862972191</v>
      </c>
      <c r="H199" s="8" t="str">
        <f>IF(Table2[[#This Row],[Kontraktor]]="", "Tidak Diketahui",Table2[[#This Row],[Kontraktor]])</f>
        <v>PT. Lailasari Hariyah (Persero) Tbk</v>
      </c>
      <c r="I199" s="11">
        <f>Table245[[#This Row],[Tanggal_Selesai]]-Table245[[#This Row],[Tanggal_Mulai]]</f>
        <v>135</v>
      </c>
      <c r="J199" s="17">
        <f>Table245[[#This Row],[Anggaran]]/Table245[[#This Row],[Durasi_Proyek]]</f>
        <v>6392386.5999999996</v>
      </c>
      <c r="K199" s="11">
        <f>YEAR(Table245[[#This Row],[Tanggal_Mulai]])</f>
        <v>2023</v>
      </c>
    </row>
    <row r="200" spans="1:11" ht="14.25" customHeight="1" x14ac:dyDescent="0.35">
      <c r="A200" s="8" t="s">
        <v>251</v>
      </c>
      <c r="B200" s="8" t="str">
        <f>IF(Table2[[#This Row],[Jenis_Proyek]]="", "Tidak Diketahui", Table2[[#This Row],[Jenis_Proyek]])</f>
        <v>Drainase</v>
      </c>
      <c r="C200" s="8" t="str">
        <f>IF(Table2[[#This Row],[Lokasi]]="", "Tidak Diketahui", Table2[[#This Row],[Lokasi]])</f>
        <v>Jakarta</v>
      </c>
      <c r="D200" s="8" t="str">
        <f>IF(Table2[[#This Row],[Nama_Proyek]]="", "Tidak Diketahui", Table2[[#This Row],[Nama_Proyek]])</f>
        <v>Perbaikan Drainase Jakarta</v>
      </c>
      <c r="E200" s="14">
        <v>45066</v>
      </c>
      <c r="F200" s="14">
        <v>45101</v>
      </c>
      <c r="G200" s="10">
        <v>540011263</v>
      </c>
      <c r="H200" s="8" t="str">
        <f>IF(Table2[[#This Row],[Kontraktor]]="", "Tidak Diketahui",Table2[[#This Row],[Kontraktor]])</f>
        <v>PT A</v>
      </c>
      <c r="I200" s="11">
        <f>Table245[[#This Row],[Tanggal_Selesai]]-Table245[[#This Row],[Tanggal_Mulai]]</f>
        <v>35</v>
      </c>
      <c r="J200" s="17">
        <f>Table245[[#This Row],[Anggaran]]/Table245[[#This Row],[Durasi_Proyek]]</f>
        <v>15428893.228571428</v>
      </c>
      <c r="K200" s="11">
        <f>YEAR(Table245[[#This Row],[Tanggal_Mulai]])</f>
        <v>2023</v>
      </c>
    </row>
    <row r="201" spans="1:11" ht="14.25" customHeight="1" x14ac:dyDescent="0.35">
      <c r="A201" s="8" t="s">
        <v>252</v>
      </c>
      <c r="B201" s="8" t="str">
        <f>IF(Table2[[#This Row],[Jenis_Proyek]]="", "Tidak Diketahui", Table2[[#This Row],[Jenis_Proyek]])</f>
        <v>Jembatan</v>
      </c>
      <c r="C201" s="8" t="str">
        <f>IF(Table2[[#This Row],[Lokasi]]="", "Tidak Diketahui", Table2[[#This Row],[Lokasi]])</f>
        <v>Medan</v>
      </c>
      <c r="D201" s="8" t="str">
        <f>IF(Table2[[#This Row],[Nama_Proyek]]="", "Tidak Diketahui", Table2[[#This Row],[Nama_Proyek]])</f>
        <v>Pembuatan Jembatan Medan</v>
      </c>
      <c r="E201" s="14">
        <v>45068</v>
      </c>
      <c r="F201" s="14">
        <v>45110</v>
      </c>
      <c r="G201" s="10">
        <v>1029500364</v>
      </c>
      <c r="H201" s="8" t="str">
        <f>IF(Table2[[#This Row],[Kontraktor]]="", "Tidak Diketahui",Table2[[#This Row],[Kontraktor]])</f>
        <v>PT D</v>
      </c>
      <c r="I201" s="11">
        <f>Table245[[#This Row],[Tanggal_Selesai]]-Table245[[#This Row],[Tanggal_Mulai]]</f>
        <v>42</v>
      </c>
      <c r="J201" s="17">
        <f>Table245[[#This Row],[Anggaran]]/Table245[[#This Row],[Durasi_Proyek]]</f>
        <v>24511913.428571429</v>
      </c>
      <c r="K201" s="11">
        <f>YEAR(Table245[[#This Row],[Tanggal_Mulai]])</f>
        <v>2023</v>
      </c>
    </row>
    <row r="202" spans="1:11" ht="14.25" customHeight="1" x14ac:dyDescent="0.35">
      <c r="A202" s="8" t="s">
        <v>253</v>
      </c>
      <c r="B202" s="8" t="str">
        <f>IF(Table2[[#This Row],[Jenis_Proyek]]="", "Tidak Diketahui", Table2[[#This Row],[Jenis_Proyek]])</f>
        <v>Jalan Raya</v>
      </c>
      <c r="C202" s="8" t="str">
        <f>IF(Table2[[#This Row],[Lokasi]]="", "Tidak Diketahui", Table2[[#This Row],[Lokasi]])</f>
        <v>Makassar</v>
      </c>
      <c r="D202" s="8" t="str">
        <f>IF(Table2[[#This Row],[Nama_Proyek]]="", "Tidak Diketahui", Table2[[#This Row],[Nama_Proyek]])</f>
        <v>Perbaikan Jalan Raya Makassar</v>
      </c>
      <c r="E202" s="14">
        <v>45069</v>
      </c>
      <c r="F202" s="14">
        <v>45337</v>
      </c>
      <c r="G202" s="10">
        <v>641123605</v>
      </c>
      <c r="H202" s="8" t="str">
        <f>IF(Table2[[#This Row],[Kontraktor]]="", "Tidak Diketahui",Table2[[#This Row],[Kontraktor]])</f>
        <v>CV Sihombing</v>
      </c>
      <c r="I202" s="11">
        <f>Table245[[#This Row],[Tanggal_Selesai]]-Table245[[#This Row],[Tanggal_Mulai]]</f>
        <v>268</v>
      </c>
      <c r="J202" s="17">
        <f>Table245[[#This Row],[Anggaran]]/Table245[[#This Row],[Durasi_Proyek]]</f>
        <v>2392252.2574626864</v>
      </c>
      <c r="K202" s="11">
        <f>YEAR(Table245[[#This Row],[Tanggal_Mulai]])</f>
        <v>2023</v>
      </c>
    </row>
    <row r="203" spans="1:11" ht="14.25" customHeight="1" x14ac:dyDescent="0.35">
      <c r="A203" s="8" t="s">
        <v>254</v>
      </c>
      <c r="B203" s="8" t="str">
        <f>IF(Table2[[#This Row],[Jenis_Proyek]]="", "Tidak Diketahui", Table2[[#This Row],[Jenis_Proyek]])</f>
        <v>Flyover</v>
      </c>
      <c r="C203" s="8" t="str">
        <f>IF(Table2[[#This Row],[Lokasi]]="", "Tidak Diketahui", Table2[[#This Row],[Lokasi]])</f>
        <v>Bau-Bau</v>
      </c>
      <c r="D203" s="8" t="str">
        <f>IF(Table2[[#This Row],[Nama_Proyek]]="", "Tidak Diketahui", Table2[[#This Row],[Nama_Proyek]])</f>
        <v>Pembuatan Flyover Bau-Bau</v>
      </c>
      <c r="E203" s="14">
        <v>45070</v>
      </c>
      <c r="F203" s="14">
        <v>45413</v>
      </c>
      <c r="G203" s="10">
        <v>3739543587</v>
      </c>
      <c r="H203" s="8" t="str">
        <f>IF(Table2[[#This Row],[Kontraktor]]="", "Tidak Diketahui",Table2[[#This Row],[Kontraktor]])</f>
        <v>PT C</v>
      </c>
      <c r="I203" s="11">
        <f>Table245[[#This Row],[Tanggal_Selesai]]-Table245[[#This Row],[Tanggal_Mulai]]</f>
        <v>343</v>
      </c>
      <c r="J203" s="17">
        <f>Table245[[#This Row],[Anggaran]]/Table245[[#This Row],[Durasi_Proyek]]</f>
        <v>10902459.437317785</v>
      </c>
      <c r="K203" s="11">
        <f>YEAR(Table245[[#This Row],[Tanggal_Mulai]])</f>
        <v>2023</v>
      </c>
    </row>
    <row r="204" spans="1:11" ht="14.25" customHeight="1" x14ac:dyDescent="0.35">
      <c r="A204" s="8" t="s">
        <v>255</v>
      </c>
      <c r="B204" s="8" t="str">
        <f>IF(Table2[[#This Row],[Jenis_Proyek]]="", "Tidak Diketahui", Table2[[#This Row],[Jenis_Proyek]])</f>
        <v>Gedung</v>
      </c>
      <c r="C204" s="8" t="str">
        <f>IF(Table2[[#This Row],[Lokasi]]="", "Tidak Diketahui", Table2[[#This Row],[Lokasi]])</f>
        <v>Bandung</v>
      </c>
      <c r="D204" s="8" t="str">
        <f>IF(Table2[[#This Row],[Nama_Proyek]]="", "Tidak Diketahui", Table2[[#This Row],[Nama_Proyek]])</f>
        <v>Perbaikan Gedung Pemerintah Bandung</v>
      </c>
      <c r="E204" s="14">
        <v>45072</v>
      </c>
      <c r="F204" s="14">
        <v>45108</v>
      </c>
      <c r="G204" s="10">
        <v>1989239519</v>
      </c>
      <c r="H204" s="8" t="str">
        <f>IF(Table2[[#This Row],[Kontraktor]]="", "Tidak Diketahui",Table2[[#This Row],[Kontraktor]])</f>
        <v>PT B</v>
      </c>
      <c r="I204" s="11">
        <f>Table245[[#This Row],[Tanggal_Selesai]]-Table245[[#This Row],[Tanggal_Mulai]]</f>
        <v>36</v>
      </c>
      <c r="J204" s="17">
        <f>Table245[[#This Row],[Anggaran]]/Table245[[#This Row],[Durasi_Proyek]]</f>
        <v>55256653.305555552</v>
      </c>
      <c r="K204" s="11">
        <f>YEAR(Table245[[#This Row],[Tanggal_Mulai]])</f>
        <v>2023</v>
      </c>
    </row>
    <row r="205" spans="1:11" ht="14.25" customHeight="1" x14ac:dyDescent="0.35">
      <c r="A205" s="8" t="s">
        <v>256</v>
      </c>
      <c r="B205" s="8" t="str">
        <f>IF(Table2[[#This Row],[Jenis_Proyek]]="", "Tidak Diketahui", Table2[[#This Row],[Jenis_Proyek]])</f>
        <v>Jalan Raya</v>
      </c>
      <c r="C205" s="8" t="str">
        <f>IF(Table2[[#This Row],[Lokasi]]="", "Tidak Diketahui", Table2[[#This Row],[Lokasi]])</f>
        <v>Surabaya</v>
      </c>
      <c r="D205" s="8" t="str">
        <f>IF(Table2[[#This Row],[Nama_Proyek]]="", "Tidak Diketahui", Table2[[#This Row],[Nama_Proyek]])</f>
        <v>Perbaikan Jalan Raya Surabaya</v>
      </c>
      <c r="E205" s="14">
        <v>45072</v>
      </c>
      <c r="F205" s="14">
        <v>45310</v>
      </c>
      <c r="G205" s="10">
        <v>751081465</v>
      </c>
      <c r="H205" s="8" t="str">
        <f>IF(Table2[[#This Row],[Kontraktor]]="", "Tidak Diketahui",Table2[[#This Row],[Kontraktor]])</f>
        <v>PT A</v>
      </c>
      <c r="I205" s="11">
        <f>Table245[[#This Row],[Tanggal_Selesai]]-Table245[[#This Row],[Tanggal_Mulai]]</f>
        <v>238</v>
      </c>
      <c r="J205" s="17">
        <f>Table245[[#This Row],[Anggaran]]/Table245[[#This Row],[Durasi_Proyek]]</f>
        <v>3155804.4747899161</v>
      </c>
      <c r="K205" s="11">
        <f>YEAR(Table245[[#This Row],[Tanggal_Mulai]])</f>
        <v>2023</v>
      </c>
    </row>
    <row r="206" spans="1:11" ht="14.25" customHeight="1" x14ac:dyDescent="0.35">
      <c r="A206" s="8" t="s">
        <v>257</v>
      </c>
      <c r="B206" s="8" t="str">
        <f>IF(Table2[[#This Row],[Jenis_Proyek]]="", "Tidak Diketahui", Table2[[#This Row],[Jenis_Proyek]])</f>
        <v>Drainase</v>
      </c>
      <c r="C206" s="8" t="str">
        <f>IF(Table2[[#This Row],[Lokasi]]="", "Tidak Diketahui", Table2[[#This Row],[Lokasi]])</f>
        <v>Surabaya</v>
      </c>
      <c r="D206" s="8" t="str">
        <f>IF(Table2[[#This Row],[Nama_Proyek]]="", "Tidak Diketahui", Table2[[#This Row],[Nama_Proyek]])</f>
        <v>Perbaikan Drainase Surabaya</v>
      </c>
      <c r="E206" s="14">
        <v>45073</v>
      </c>
      <c r="F206" s="14">
        <v>45400</v>
      </c>
      <c r="G206" s="10">
        <v>396170576</v>
      </c>
      <c r="H206" s="8" t="str">
        <f>IF(Table2[[#This Row],[Kontraktor]]="", "Tidak Diketahui",Table2[[#This Row],[Kontraktor]])</f>
        <v>PT D</v>
      </c>
      <c r="I206" s="11">
        <f>Table245[[#This Row],[Tanggal_Selesai]]-Table245[[#This Row],[Tanggal_Mulai]]</f>
        <v>327</v>
      </c>
      <c r="J206" s="17">
        <f>Table245[[#This Row],[Anggaran]]/Table245[[#This Row],[Durasi_Proyek]]</f>
        <v>1211530.8134556576</v>
      </c>
      <c r="K206" s="11">
        <f>YEAR(Table245[[#This Row],[Tanggal_Mulai]])</f>
        <v>2023</v>
      </c>
    </row>
    <row r="207" spans="1:11" ht="14.25" customHeight="1" x14ac:dyDescent="0.35">
      <c r="A207" s="8" t="s">
        <v>258</v>
      </c>
      <c r="B207" s="8" t="str">
        <f>IF(Table2[[#This Row],[Jenis_Proyek]]="", "Tidak Diketahui", Table2[[#This Row],[Jenis_Proyek]])</f>
        <v>Flyover</v>
      </c>
      <c r="C207" s="8" t="str">
        <f>IF(Table2[[#This Row],[Lokasi]]="", "Tidak Diketahui", Table2[[#This Row],[Lokasi]])</f>
        <v>Bandung</v>
      </c>
      <c r="D207" s="8" t="str">
        <f>IF(Table2[[#This Row],[Nama_Proyek]]="", "Tidak Diketahui", Table2[[#This Row],[Nama_Proyek]])</f>
        <v>Pembuatan Flyover Bandung</v>
      </c>
      <c r="E207" s="14">
        <v>45073</v>
      </c>
      <c r="F207" s="14">
        <v>45368</v>
      </c>
      <c r="G207" s="10">
        <v>3867278410</v>
      </c>
      <c r="H207" s="8" t="str">
        <f>IF(Table2[[#This Row],[Kontraktor]]="", "Tidak Diketahui",Table2[[#This Row],[Kontraktor]])</f>
        <v>PT B</v>
      </c>
      <c r="I207" s="11">
        <f>Table245[[#This Row],[Tanggal_Selesai]]-Table245[[#This Row],[Tanggal_Mulai]]</f>
        <v>295</v>
      </c>
      <c r="J207" s="17">
        <f>Table245[[#This Row],[Anggaran]]/Table245[[#This Row],[Durasi_Proyek]]</f>
        <v>13109418.338983051</v>
      </c>
      <c r="K207" s="11">
        <f>YEAR(Table245[[#This Row],[Tanggal_Mulai]])</f>
        <v>2023</v>
      </c>
    </row>
    <row r="208" spans="1:11" ht="14.25" customHeight="1" x14ac:dyDescent="0.35">
      <c r="A208" s="8" t="s">
        <v>259</v>
      </c>
      <c r="B208" s="8" t="str">
        <f>IF(Table2[[#This Row],[Jenis_Proyek]]="", "Tidak Diketahui", Table2[[#This Row],[Jenis_Proyek]])</f>
        <v>Gedung</v>
      </c>
      <c r="C208" s="8" t="str">
        <f>IF(Table2[[#This Row],[Lokasi]]="", "Tidak Diketahui", Table2[[#This Row],[Lokasi]])</f>
        <v>Jakarta</v>
      </c>
      <c r="D208" s="8" t="str">
        <f>IF(Table2[[#This Row],[Nama_Proyek]]="", "Tidak Diketahui", Table2[[#This Row],[Nama_Proyek]])</f>
        <v>Perbaikan Gedung Pemerintah Jakarta</v>
      </c>
      <c r="E208" s="14">
        <v>45074</v>
      </c>
      <c r="F208" s="14">
        <v>45326</v>
      </c>
      <c r="G208" s="10">
        <v>1475452617</v>
      </c>
      <c r="H208" s="8" t="str">
        <f>IF(Table2[[#This Row],[Kontraktor]]="", "Tidak Diketahui",Table2[[#This Row],[Kontraktor]])</f>
        <v>PT A</v>
      </c>
      <c r="I208" s="11">
        <f>Table245[[#This Row],[Tanggal_Selesai]]-Table245[[#This Row],[Tanggal_Mulai]]</f>
        <v>252</v>
      </c>
      <c r="J208" s="17">
        <f>Table245[[#This Row],[Anggaran]]/Table245[[#This Row],[Durasi_Proyek]]</f>
        <v>5854970.7023809524</v>
      </c>
      <c r="K208" s="11">
        <f>YEAR(Table245[[#This Row],[Tanggal_Mulai]])</f>
        <v>2023</v>
      </c>
    </row>
    <row r="209" spans="1:11" ht="14.25" customHeight="1" x14ac:dyDescent="0.35">
      <c r="A209" s="8" t="s">
        <v>260</v>
      </c>
      <c r="B209" s="8" t="str">
        <f>IF(Table2[[#This Row],[Jenis_Proyek]]="", "Tidak Diketahui", Table2[[#This Row],[Jenis_Proyek]])</f>
        <v>Tidak Diketahui</v>
      </c>
      <c r="C209" s="8" t="str">
        <f>IF(Table2[[#This Row],[Lokasi]]="", "Tidak Diketahui", Table2[[#This Row],[Lokasi]])</f>
        <v>Tidak Diketahui</v>
      </c>
      <c r="D209" s="8" t="str">
        <f>IF(Table2[[#This Row],[Nama_Proyek]]="", "Tidak Diketahui", Table2[[#This Row],[Nama_Proyek]])</f>
        <v>Perbaikan Gedung Pemerintah Surabaya</v>
      </c>
      <c r="E209" s="14">
        <v>45074</v>
      </c>
      <c r="F209" s="14">
        <v>45243</v>
      </c>
      <c r="G209" s="10">
        <v>8372699981</v>
      </c>
      <c r="H209" s="8" t="str">
        <f>IF(Table2[[#This Row],[Kontraktor]]="", "Tidak Diketahui",Table2[[#This Row],[Kontraktor]])</f>
        <v>Tidak Diketahui</v>
      </c>
      <c r="I209" s="11">
        <f>Table245[[#This Row],[Tanggal_Selesai]]-Table245[[#This Row],[Tanggal_Mulai]]</f>
        <v>169</v>
      </c>
      <c r="J209" s="17">
        <f>Table245[[#This Row],[Anggaran]]/Table245[[#This Row],[Durasi_Proyek]]</f>
        <v>49542603.437869824</v>
      </c>
      <c r="K209" s="11">
        <f>YEAR(Table245[[#This Row],[Tanggal_Mulai]])</f>
        <v>2023</v>
      </c>
    </row>
    <row r="210" spans="1:11" ht="14.25" customHeight="1" x14ac:dyDescent="0.35">
      <c r="A210" s="8" t="s">
        <v>261</v>
      </c>
      <c r="B210" s="8" t="str">
        <f>IF(Table2[[#This Row],[Jenis_Proyek]]="", "Tidak Diketahui", Table2[[#This Row],[Jenis_Proyek]])</f>
        <v>Drainase</v>
      </c>
      <c r="C210" s="8" t="str">
        <f>IF(Table2[[#This Row],[Lokasi]]="", "Tidak Diketahui", Table2[[#This Row],[Lokasi]])</f>
        <v>Bau-Bau</v>
      </c>
      <c r="D210" s="8" t="str">
        <f>IF(Table2[[#This Row],[Nama_Proyek]]="", "Tidak Diketahui", Table2[[#This Row],[Nama_Proyek]])</f>
        <v>Perbaikan Drainase Bau-Bau</v>
      </c>
      <c r="E210" s="14">
        <v>45074</v>
      </c>
      <c r="F210" s="14">
        <v>45215</v>
      </c>
      <c r="G210" s="10">
        <v>467726708</v>
      </c>
      <c r="H210" s="8" t="str">
        <f>IF(Table2[[#This Row],[Kontraktor]]="", "Tidak Diketahui",Table2[[#This Row],[Kontraktor]])</f>
        <v>PT. Lailasari Hariyah (Persero) Tbk</v>
      </c>
      <c r="I210" s="11">
        <f>Table245[[#This Row],[Tanggal_Selesai]]-Table245[[#This Row],[Tanggal_Mulai]]</f>
        <v>141</v>
      </c>
      <c r="J210" s="17">
        <f>Table245[[#This Row],[Anggaran]]/Table245[[#This Row],[Durasi_Proyek]]</f>
        <v>3317210.6950354609</v>
      </c>
      <c r="K210" s="11">
        <f>YEAR(Table245[[#This Row],[Tanggal_Mulai]])</f>
        <v>2023</v>
      </c>
    </row>
    <row r="211" spans="1:11" ht="14.25" customHeight="1" x14ac:dyDescent="0.35">
      <c r="A211" s="8" t="s">
        <v>262</v>
      </c>
      <c r="B211" s="8" t="str">
        <f>IF(Table2[[#This Row],[Jenis_Proyek]]="", "Tidak Diketahui", Table2[[#This Row],[Jenis_Proyek]])</f>
        <v>Jembatan</v>
      </c>
      <c r="C211" s="8" t="str">
        <f>IF(Table2[[#This Row],[Lokasi]]="", "Tidak Diketahui", Table2[[#This Row],[Lokasi]])</f>
        <v>Bau-Bau</v>
      </c>
      <c r="D211" s="8" t="str">
        <f>IF(Table2[[#This Row],[Nama_Proyek]]="", "Tidak Diketahui", Table2[[#This Row],[Nama_Proyek]])</f>
        <v>Pembuatan Jembatan Bau-Bau</v>
      </c>
      <c r="E211" s="14">
        <v>45075</v>
      </c>
      <c r="F211" s="14">
        <v>45276</v>
      </c>
      <c r="G211" s="10">
        <v>3277415006</v>
      </c>
      <c r="H211" s="8" t="str">
        <f>IF(Table2[[#This Row],[Kontraktor]]="", "Tidak Diketahui",Table2[[#This Row],[Kontraktor]])</f>
        <v>PT C</v>
      </c>
      <c r="I211" s="11">
        <f>Table245[[#This Row],[Tanggal_Selesai]]-Table245[[#This Row],[Tanggal_Mulai]]</f>
        <v>201</v>
      </c>
      <c r="J211" s="17">
        <f>Table245[[#This Row],[Anggaran]]/Table245[[#This Row],[Durasi_Proyek]]</f>
        <v>16305547.293532338</v>
      </c>
      <c r="K211" s="11">
        <f>YEAR(Table245[[#This Row],[Tanggal_Mulai]])</f>
        <v>2023</v>
      </c>
    </row>
    <row r="212" spans="1:11" ht="14.25" customHeight="1" x14ac:dyDescent="0.35">
      <c r="A212" s="8" t="s">
        <v>263</v>
      </c>
      <c r="B212" s="8" t="str">
        <f>IF(Table2[[#This Row],[Jenis_Proyek]]="", "Tidak Diketahui", Table2[[#This Row],[Jenis_Proyek]])</f>
        <v>Drainase</v>
      </c>
      <c r="C212" s="8" t="str">
        <f>IF(Table2[[#This Row],[Lokasi]]="", "Tidak Diketahui", Table2[[#This Row],[Lokasi]])</f>
        <v>Bau-Bau</v>
      </c>
      <c r="D212" s="8" t="str">
        <f>IF(Table2[[#This Row],[Nama_Proyek]]="", "Tidak Diketahui", Table2[[#This Row],[Nama_Proyek]])</f>
        <v>Perbaikan Drainase Bau-Bau</v>
      </c>
      <c r="E212" s="14">
        <v>45076</v>
      </c>
      <c r="F212" s="14">
        <v>45355</v>
      </c>
      <c r="G212" s="10">
        <v>636468503</v>
      </c>
      <c r="H212" s="8" t="str">
        <f>IF(Table2[[#This Row],[Kontraktor]]="", "Tidak Diketahui",Table2[[#This Row],[Kontraktor]])</f>
        <v>PT. Yuniar Hakim Tbk</v>
      </c>
      <c r="I212" s="11">
        <f>Table245[[#This Row],[Tanggal_Selesai]]-Table245[[#This Row],[Tanggal_Mulai]]</f>
        <v>279</v>
      </c>
      <c r="J212" s="17">
        <f>Table245[[#This Row],[Anggaran]]/Table245[[#This Row],[Durasi_Proyek]]</f>
        <v>2281249.1146953404</v>
      </c>
      <c r="K212" s="11">
        <f>YEAR(Table245[[#This Row],[Tanggal_Mulai]])</f>
        <v>2023</v>
      </c>
    </row>
    <row r="213" spans="1:11" ht="14.25" customHeight="1" x14ac:dyDescent="0.35">
      <c r="A213" s="8" t="s">
        <v>264</v>
      </c>
      <c r="B213" s="8" t="str">
        <f>IF(Table2[[#This Row],[Jenis_Proyek]]="", "Tidak Diketahui", Table2[[#This Row],[Jenis_Proyek]])</f>
        <v>Gedung</v>
      </c>
      <c r="C213" s="8" t="str">
        <f>IF(Table2[[#This Row],[Lokasi]]="", "Tidak Diketahui", Table2[[#This Row],[Lokasi]])</f>
        <v>Surabaya</v>
      </c>
      <c r="D213" s="8" t="str">
        <f>IF(Table2[[#This Row],[Nama_Proyek]]="", "Tidak Diketahui", Table2[[#This Row],[Nama_Proyek]])</f>
        <v>Perbaikan Gedung Pemerintah Surabaya</v>
      </c>
      <c r="E213" s="14">
        <v>45078</v>
      </c>
      <c r="F213" s="14">
        <v>45153</v>
      </c>
      <c r="G213" s="10">
        <v>1206249778</v>
      </c>
      <c r="H213" s="8" t="str">
        <f>IF(Table2[[#This Row],[Kontraktor]]="", "Tidak Diketahui",Table2[[#This Row],[Kontraktor]])</f>
        <v>PT B</v>
      </c>
      <c r="I213" s="11">
        <f>Table245[[#This Row],[Tanggal_Selesai]]-Table245[[#This Row],[Tanggal_Mulai]]</f>
        <v>75</v>
      </c>
      <c r="J213" s="17">
        <f>Table245[[#This Row],[Anggaran]]/Table245[[#This Row],[Durasi_Proyek]]</f>
        <v>16083330.373333333</v>
      </c>
      <c r="K213" s="11">
        <f>YEAR(Table245[[#This Row],[Tanggal_Mulai]])</f>
        <v>2023</v>
      </c>
    </row>
    <row r="214" spans="1:11" ht="14.25" customHeight="1" x14ac:dyDescent="0.35">
      <c r="A214" s="13" t="s">
        <v>265</v>
      </c>
      <c r="B214" s="8" t="str">
        <f>IF(Table2[[#This Row],[Jenis_Proyek]]="", "Tidak Diketahui", Table2[[#This Row],[Jenis_Proyek]])</f>
        <v>Gedung</v>
      </c>
      <c r="C214" s="8" t="str">
        <f>IF(Table2[[#This Row],[Lokasi]]="", "Tidak Diketahui", Table2[[#This Row],[Lokasi]])</f>
        <v>Surabaya</v>
      </c>
      <c r="D214" s="8" t="str">
        <f>IF(Table2[[#This Row],[Nama_Proyek]]="", "Tidak Diketahui", Table2[[#This Row],[Nama_Proyek]])</f>
        <v>Perbaikan Gedung Pemerintah Surabaya</v>
      </c>
      <c r="E214" s="14">
        <v>45078</v>
      </c>
      <c r="F214" s="14">
        <v>45153</v>
      </c>
      <c r="G214" s="10">
        <v>6060807570</v>
      </c>
      <c r="H214" s="8" t="str">
        <f>IF(Table2[[#This Row],[Kontraktor]]="", "Tidak Diketahui",Table2[[#This Row],[Kontraktor]])</f>
        <v>PT. Yuniar Hakim Tbk</v>
      </c>
      <c r="I214" s="11">
        <f>Table245[[#This Row],[Tanggal_Selesai]]-Table245[[#This Row],[Tanggal_Mulai]]</f>
        <v>75</v>
      </c>
      <c r="J214" s="17">
        <f>Table245[[#This Row],[Anggaran]]/Table245[[#This Row],[Durasi_Proyek]]</f>
        <v>80810767.599999994</v>
      </c>
      <c r="K214" s="11">
        <f>YEAR(Table245[[#This Row],[Tanggal_Mulai]])</f>
        <v>2023</v>
      </c>
    </row>
    <row r="215" spans="1:11" ht="14.25" customHeight="1" x14ac:dyDescent="0.35">
      <c r="A215" s="8" t="s">
        <v>266</v>
      </c>
      <c r="B215" s="8" t="str">
        <f>IF(Table2[[#This Row],[Jenis_Proyek]]="", "Tidak Diketahui", Table2[[#This Row],[Jenis_Proyek]])</f>
        <v>Flyover</v>
      </c>
      <c r="C215" s="8" t="str">
        <f>IF(Table2[[#This Row],[Lokasi]]="", "Tidak Diketahui", Table2[[#This Row],[Lokasi]])</f>
        <v>Medan</v>
      </c>
      <c r="D215" s="8" t="str">
        <f>IF(Table2[[#This Row],[Nama_Proyek]]="", "Tidak Diketahui", Table2[[#This Row],[Nama_Proyek]])</f>
        <v>Pembuatan Flyover Medan</v>
      </c>
      <c r="E215" s="14">
        <v>45078</v>
      </c>
      <c r="F215" s="14">
        <v>45220</v>
      </c>
      <c r="G215" s="10">
        <v>2544644297</v>
      </c>
      <c r="H215" s="8" t="str">
        <f>IF(Table2[[#This Row],[Kontraktor]]="", "Tidak Diketahui",Table2[[#This Row],[Kontraktor]])</f>
        <v>Tidak Diketahui</v>
      </c>
      <c r="I215" s="11">
        <f>Table245[[#This Row],[Tanggal_Selesai]]-Table245[[#This Row],[Tanggal_Mulai]]</f>
        <v>142</v>
      </c>
      <c r="J215" s="17">
        <f>Table245[[#This Row],[Anggaran]]/Table245[[#This Row],[Durasi_Proyek]]</f>
        <v>17920030.260563381</v>
      </c>
      <c r="K215" s="11">
        <f>YEAR(Table245[[#This Row],[Tanggal_Mulai]])</f>
        <v>2023</v>
      </c>
    </row>
    <row r="216" spans="1:11" ht="14.25" customHeight="1" x14ac:dyDescent="0.35">
      <c r="A216" s="8" t="s">
        <v>267</v>
      </c>
      <c r="B216" s="8" t="str">
        <f>IF(Table2[[#This Row],[Jenis_Proyek]]="", "Tidak Diketahui", Table2[[#This Row],[Jenis_Proyek]])</f>
        <v>Jembatan</v>
      </c>
      <c r="C216" s="8" t="str">
        <f>IF(Table2[[#This Row],[Lokasi]]="", "Tidak Diketahui", Table2[[#This Row],[Lokasi]])</f>
        <v>Jakarta</v>
      </c>
      <c r="D216" s="8" t="str">
        <f>IF(Table2[[#This Row],[Nama_Proyek]]="", "Tidak Diketahui", Table2[[#This Row],[Nama_Proyek]])</f>
        <v>Pembuatan Jembatan Jakarta</v>
      </c>
      <c r="E216" s="14">
        <v>45080</v>
      </c>
      <c r="F216" s="14">
        <v>45423</v>
      </c>
      <c r="G216" s="10">
        <v>6557069994</v>
      </c>
      <c r="H216" s="8" t="str">
        <f>IF(Table2[[#This Row],[Kontraktor]]="", "Tidak Diketahui",Table2[[#This Row],[Kontraktor]])</f>
        <v>PT C</v>
      </c>
      <c r="I216" s="11">
        <f>Table245[[#This Row],[Tanggal_Selesai]]-Table245[[#This Row],[Tanggal_Mulai]]</f>
        <v>343</v>
      </c>
      <c r="J216" s="17">
        <f>Table245[[#This Row],[Anggaran]]/Table245[[#This Row],[Durasi_Proyek]]</f>
        <v>19116822.139941692</v>
      </c>
      <c r="K216" s="11">
        <f>YEAR(Table245[[#This Row],[Tanggal_Mulai]])</f>
        <v>2023</v>
      </c>
    </row>
    <row r="217" spans="1:11" ht="14.25" customHeight="1" x14ac:dyDescent="0.35">
      <c r="A217" s="8" t="s">
        <v>268</v>
      </c>
      <c r="B217" s="8" t="str">
        <f>IF(Table2[[#This Row],[Jenis_Proyek]]="", "Tidak Diketahui", Table2[[#This Row],[Jenis_Proyek]])</f>
        <v>Flyover</v>
      </c>
      <c r="C217" s="8" t="str">
        <f>IF(Table2[[#This Row],[Lokasi]]="", "Tidak Diketahui", Table2[[#This Row],[Lokasi]])</f>
        <v>Makassar</v>
      </c>
      <c r="D217" s="8" t="str">
        <f>IF(Table2[[#This Row],[Nama_Proyek]]="", "Tidak Diketahui", Table2[[#This Row],[Nama_Proyek]])</f>
        <v>Pembuatan Flyover Makassar</v>
      </c>
      <c r="E217" s="14">
        <v>45081</v>
      </c>
      <c r="F217" s="14">
        <v>45393</v>
      </c>
      <c r="G217" s="10">
        <v>4526013687</v>
      </c>
      <c r="H217" s="8" t="str">
        <f>IF(Table2[[#This Row],[Kontraktor]]="", "Tidak Diketahui",Table2[[#This Row],[Kontraktor]])</f>
        <v>PT B</v>
      </c>
      <c r="I217" s="11">
        <f>Table245[[#This Row],[Tanggal_Selesai]]-Table245[[#This Row],[Tanggal_Mulai]]</f>
        <v>312</v>
      </c>
      <c r="J217" s="17">
        <f>Table245[[#This Row],[Anggaran]]/Table245[[#This Row],[Durasi_Proyek]]</f>
        <v>14506454.125</v>
      </c>
      <c r="K217" s="11">
        <f>YEAR(Table245[[#This Row],[Tanggal_Mulai]])</f>
        <v>2023</v>
      </c>
    </row>
    <row r="218" spans="1:11" ht="14.25" customHeight="1" x14ac:dyDescent="0.35">
      <c r="A218" s="8" t="s">
        <v>269</v>
      </c>
      <c r="B218" s="8" t="str">
        <f>IF(Table2[[#This Row],[Jenis_Proyek]]="", "Tidak Diketahui", Table2[[#This Row],[Jenis_Proyek]])</f>
        <v>Flyover</v>
      </c>
      <c r="C218" s="8" t="str">
        <f>IF(Table2[[#This Row],[Lokasi]]="", "Tidak Diketahui", Table2[[#This Row],[Lokasi]])</f>
        <v>Bandung</v>
      </c>
      <c r="D218" s="8" t="str">
        <f>IF(Table2[[#This Row],[Nama_Proyek]]="", "Tidak Diketahui", Table2[[#This Row],[Nama_Proyek]])</f>
        <v>Pembuatan Flyover Bandung</v>
      </c>
      <c r="E218" s="14">
        <v>45081</v>
      </c>
      <c r="F218" s="14">
        <v>45336</v>
      </c>
      <c r="G218" s="10">
        <v>1746655000</v>
      </c>
      <c r="H218" s="8" t="str">
        <f>IF(Table2[[#This Row],[Kontraktor]]="", "Tidak Diketahui",Table2[[#This Row],[Kontraktor]])</f>
        <v>CV Sihombing</v>
      </c>
      <c r="I218" s="11">
        <f>Table245[[#This Row],[Tanggal_Selesai]]-Table245[[#This Row],[Tanggal_Mulai]]</f>
        <v>255</v>
      </c>
      <c r="J218" s="17">
        <f>Table245[[#This Row],[Anggaran]]/Table245[[#This Row],[Durasi_Proyek]]</f>
        <v>6849627.4509803923</v>
      </c>
      <c r="K218" s="11">
        <f>YEAR(Table245[[#This Row],[Tanggal_Mulai]])</f>
        <v>2023</v>
      </c>
    </row>
    <row r="219" spans="1:11" ht="14.25" customHeight="1" x14ac:dyDescent="0.35">
      <c r="A219" s="8" t="s">
        <v>270</v>
      </c>
      <c r="B219" s="8" t="str">
        <f>IF(Table2[[#This Row],[Jenis_Proyek]]="", "Tidak Diketahui", Table2[[#This Row],[Jenis_Proyek]])</f>
        <v>Jembatan</v>
      </c>
      <c r="C219" s="8" t="str">
        <f>IF(Table2[[#This Row],[Lokasi]]="", "Tidak Diketahui", Table2[[#This Row],[Lokasi]])</f>
        <v>Medan</v>
      </c>
      <c r="D219" s="8" t="str">
        <f>IF(Table2[[#This Row],[Nama_Proyek]]="", "Tidak Diketahui", Table2[[#This Row],[Nama_Proyek]])</f>
        <v>Pembuatan Jembatan Medan</v>
      </c>
      <c r="E219" s="14">
        <v>45081</v>
      </c>
      <c r="F219" s="14">
        <v>45151</v>
      </c>
      <c r="G219" s="10">
        <v>846453122</v>
      </c>
      <c r="H219" s="8" t="str">
        <f>IF(Table2[[#This Row],[Kontraktor]]="", "Tidak Diketahui",Table2[[#This Row],[Kontraktor]])</f>
        <v>PT D</v>
      </c>
      <c r="I219" s="11">
        <f>Table245[[#This Row],[Tanggal_Selesai]]-Table245[[#This Row],[Tanggal_Mulai]]</f>
        <v>70</v>
      </c>
      <c r="J219" s="17">
        <f>Table245[[#This Row],[Anggaran]]/Table245[[#This Row],[Durasi_Proyek]]</f>
        <v>12092187.457142858</v>
      </c>
      <c r="K219" s="11">
        <f>YEAR(Table245[[#This Row],[Tanggal_Mulai]])</f>
        <v>2023</v>
      </c>
    </row>
    <row r="220" spans="1:11" ht="14.25" customHeight="1" x14ac:dyDescent="0.35">
      <c r="A220" s="8" t="s">
        <v>271</v>
      </c>
      <c r="B220" s="8" t="str">
        <f>IF(Table2[[#This Row],[Jenis_Proyek]]="", "Tidak Diketahui", Table2[[#This Row],[Jenis_Proyek]])</f>
        <v>Jalan Raya</v>
      </c>
      <c r="C220" s="8" t="str">
        <f>IF(Table2[[#This Row],[Lokasi]]="", "Tidak Diketahui", Table2[[#This Row],[Lokasi]])</f>
        <v>Makassar</v>
      </c>
      <c r="D220" s="8" t="str">
        <f>IF(Table2[[#This Row],[Nama_Proyek]]="", "Tidak Diketahui", Table2[[#This Row],[Nama_Proyek]])</f>
        <v>Perbaikan Jalan Raya Makassar</v>
      </c>
      <c r="E220" s="14">
        <v>45081</v>
      </c>
      <c r="F220" s="14">
        <v>45142</v>
      </c>
      <c r="G220" s="10">
        <v>203965243</v>
      </c>
      <c r="H220" s="8" t="str">
        <f>IF(Table2[[#This Row],[Kontraktor]]="", "Tidak Diketahui",Table2[[#This Row],[Kontraktor]])</f>
        <v>PT D</v>
      </c>
      <c r="I220" s="11">
        <f>Table245[[#This Row],[Tanggal_Selesai]]-Table245[[#This Row],[Tanggal_Mulai]]</f>
        <v>61</v>
      </c>
      <c r="J220" s="17">
        <f>Table245[[#This Row],[Anggaran]]/Table245[[#This Row],[Durasi_Proyek]]</f>
        <v>3343692.5081967213</v>
      </c>
      <c r="K220" s="11">
        <f>YEAR(Table245[[#This Row],[Tanggal_Mulai]])</f>
        <v>2023</v>
      </c>
    </row>
    <row r="221" spans="1:11" ht="14.25" customHeight="1" x14ac:dyDescent="0.35">
      <c r="A221" s="8" t="s">
        <v>272</v>
      </c>
      <c r="B221" s="8" t="str">
        <f>IF(Table2[[#This Row],[Jenis_Proyek]]="", "Tidak Diketahui", Table2[[#This Row],[Jenis_Proyek]])</f>
        <v>Flyover</v>
      </c>
      <c r="C221" s="8" t="str">
        <f>IF(Table2[[#This Row],[Lokasi]]="", "Tidak Diketahui", Table2[[#This Row],[Lokasi]])</f>
        <v>Bau-Bau</v>
      </c>
      <c r="D221" s="8" t="str">
        <f>IF(Table2[[#This Row],[Nama_Proyek]]="", "Tidak Diketahui", Table2[[#This Row],[Nama_Proyek]])</f>
        <v>Perbaikan Flyover Bau-Bau</v>
      </c>
      <c r="E221" s="14">
        <v>45081</v>
      </c>
      <c r="F221" s="14">
        <v>45386</v>
      </c>
      <c r="G221" s="10">
        <v>10119728525</v>
      </c>
      <c r="H221" s="8" t="str">
        <f>IF(Table2[[#This Row],[Kontraktor]]="", "Tidak Diketahui",Table2[[#This Row],[Kontraktor]])</f>
        <v>PT B</v>
      </c>
      <c r="I221" s="11">
        <f>Table245[[#This Row],[Tanggal_Selesai]]-Table245[[#This Row],[Tanggal_Mulai]]</f>
        <v>305</v>
      </c>
      <c r="J221" s="17">
        <f>Table245[[#This Row],[Anggaran]]/Table245[[#This Row],[Durasi_Proyek]]</f>
        <v>33179437.786885247</v>
      </c>
      <c r="K221" s="11">
        <f>YEAR(Table245[[#This Row],[Tanggal_Mulai]])</f>
        <v>2023</v>
      </c>
    </row>
    <row r="222" spans="1:11" ht="14.25" customHeight="1" x14ac:dyDescent="0.35">
      <c r="A222" s="8" t="s">
        <v>273</v>
      </c>
      <c r="B222" s="8" t="str">
        <f>IF(Table2[[#This Row],[Jenis_Proyek]]="", "Tidak Diketahui", Table2[[#This Row],[Jenis_Proyek]])</f>
        <v>Flyover</v>
      </c>
      <c r="C222" s="8" t="str">
        <f>IF(Table2[[#This Row],[Lokasi]]="", "Tidak Diketahui", Table2[[#This Row],[Lokasi]])</f>
        <v>Makassar</v>
      </c>
      <c r="D222" s="8" t="str">
        <f>IF(Table2[[#This Row],[Nama_Proyek]]="", "Tidak Diketahui", Table2[[#This Row],[Nama_Proyek]])</f>
        <v>Pembuatan Flyover Makassar</v>
      </c>
      <c r="E222" s="14">
        <v>45082</v>
      </c>
      <c r="F222" s="14">
        <v>45410</v>
      </c>
      <c r="G222" s="10">
        <v>4915550556</v>
      </c>
      <c r="H222" s="8" t="str">
        <f>IF(Table2[[#This Row],[Kontraktor]]="", "Tidak Diketahui",Table2[[#This Row],[Kontraktor]])</f>
        <v>PT A</v>
      </c>
      <c r="I222" s="11">
        <f>Table245[[#This Row],[Tanggal_Selesai]]-Table245[[#This Row],[Tanggal_Mulai]]</f>
        <v>328</v>
      </c>
      <c r="J222" s="17">
        <f>Table245[[#This Row],[Anggaran]]/Table245[[#This Row],[Durasi_Proyek]]</f>
        <v>14986434.621951219</v>
      </c>
      <c r="K222" s="11">
        <f>YEAR(Table245[[#This Row],[Tanggal_Mulai]])</f>
        <v>2023</v>
      </c>
    </row>
    <row r="223" spans="1:11" ht="14.25" customHeight="1" x14ac:dyDescent="0.35">
      <c r="A223" s="8" t="s">
        <v>274</v>
      </c>
      <c r="B223" s="8" t="str">
        <f>IF(Table2[[#This Row],[Jenis_Proyek]]="", "Tidak Diketahui", Table2[[#This Row],[Jenis_Proyek]])</f>
        <v>Drainase</v>
      </c>
      <c r="C223" s="8" t="str">
        <f>IF(Table2[[#This Row],[Lokasi]]="", "Tidak Diketahui", Table2[[#This Row],[Lokasi]])</f>
        <v>Tomohon</v>
      </c>
      <c r="D223" s="8" t="str">
        <f>IF(Table2[[#This Row],[Nama_Proyek]]="", "Tidak Diketahui", Table2[[#This Row],[Nama_Proyek]])</f>
        <v>Perbaikan Drainase Tomohon</v>
      </c>
      <c r="E223" s="14">
        <v>45084</v>
      </c>
      <c r="F223" s="14">
        <v>45303</v>
      </c>
      <c r="G223" s="10">
        <v>490931117</v>
      </c>
      <c r="H223" s="8" t="str">
        <f>IF(Table2[[#This Row],[Kontraktor]]="", "Tidak Diketahui",Table2[[#This Row],[Kontraktor]])</f>
        <v>CV Sihombing</v>
      </c>
      <c r="I223" s="11">
        <f>Table245[[#This Row],[Tanggal_Selesai]]-Table245[[#This Row],[Tanggal_Mulai]]</f>
        <v>219</v>
      </c>
      <c r="J223" s="17">
        <f>Table245[[#This Row],[Anggaran]]/Table245[[#This Row],[Durasi_Proyek]]</f>
        <v>2241694.5981735159</v>
      </c>
      <c r="K223" s="11">
        <f>YEAR(Table245[[#This Row],[Tanggal_Mulai]])</f>
        <v>2023</v>
      </c>
    </row>
    <row r="224" spans="1:11" ht="14.25" customHeight="1" x14ac:dyDescent="0.35">
      <c r="A224" s="8" t="s">
        <v>275</v>
      </c>
      <c r="B224" s="8" t="str">
        <f>IF(Table2[[#This Row],[Jenis_Proyek]]="", "Tidak Diketahui", Table2[[#This Row],[Jenis_Proyek]])</f>
        <v>Drainase</v>
      </c>
      <c r="C224" s="8" t="str">
        <f>IF(Table2[[#This Row],[Lokasi]]="", "Tidak Diketahui", Table2[[#This Row],[Lokasi]])</f>
        <v>Bandung</v>
      </c>
      <c r="D224" s="8" t="str">
        <f>IF(Table2[[#This Row],[Nama_Proyek]]="", "Tidak Diketahui", Table2[[#This Row],[Nama_Proyek]])</f>
        <v>Perbaikan Drainase Bandung</v>
      </c>
      <c r="E224" s="14">
        <v>45084</v>
      </c>
      <c r="F224" s="14">
        <v>45379</v>
      </c>
      <c r="G224" s="10">
        <v>345656676</v>
      </c>
      <c r="H224" s="8" t="str">
        <f>IF(Table2[[#This Row],[Kontraktor]]="", "Tidak Diketahui",Table2[[#This Row],[Kontraktor]])</f>
        <v>CV Sihombing</v>
      </c>
      <c r="I224" s="11">
        <f>Table245[[#This Row],[Tanggal_Selesai]]-Table245[[#This Row],[Tanggal_Mulai]]</f>
        <v>295</v>
      </c>
      <c r="J224" s="17">
        <f>Table245[[#This Row],[Anggaran]]/Table245[[#This Row],[Durasi_Proyek]]</f>
        <v>1171717.5457627119</v>
      </c>
      <c r="K224" s="11">
        <f>YEAR(Table245[[#This Row],[Tanggal_Mulai]])</f>
        <v>2023</v>
      </c>
    </row>
    <row r="225" spans="1:11" ht="14.25" customHeight="1" x14ac:dyDescent="0.35">
      <c r="A225" s="8" t="s">
        <v>276</v>
      </c>
      <c r="B225" s="8" t="str">
        <f>IF(Table2[[#This Row],[Jenis_Proyek]]="", "Tidak Diketahui", Table2[[#This Row],[Jenis_Proyek]])</f>
        <v>Flyover</v>
      </c>
      <c r="C225" s="8" t="str">
        <f>IF(Table2[[#This Row],[Lokasi]]="", "Tidak Diketahui", Table2[[#This Row],[Lokasi]])</f>
        <v>Bau-Bau</v>
      </c>
      <c r="D225" s="8" t="str">
        <f>IF(Table2[[#This Row],[Nama_Proyek]]="", "Tidak Diketahui", Table2[[#This Row],[Nama_Proyek]])</f>
        <v>Perbaikan Flyover Bau-Bau</v>
      </c>
      <c r="E225" s="14">
        <v>45088</v>
      </c>
      <c r="F225" s="14">
        <v>45402</v>
      </c>
      <c r="G225" s="10">
        <v>2994383941</v>
      </c>
      <c r="H225" s="8" t="str">
        <f>IF(Table2[[#This Row],[Kontraktor]]="", "Tidak Diketahui",Table2[[#This Row],[Kontraktor]])</f>
        <v>PT B</v>
      </c>
      <c r="I225" s="11">
        <f>Table245[[#This Row],[Tanggal_Selesai]]-Table245[[#This Row],[Tanggal_Mulai]]</f>
        <v>314</v>
      </c>
      <c r="J225" s="17">
        <f>Table245[[#This Row],[Anggaran]]/Table245[[#This Row],[Durasi_Proyek]]</f>
        <v>9536254.589171974</v>
      </c>
      <c r="K225" s="11">
        <f>YEAR(Table245[[#This Row],[Tanggal_Mulai]])</f>
        <v>2023</v>
      </c>
    </row>
    <row r="226" spans="1:11" ht="14.25" customHeight="1" x14ac:dyDescent="0.35">
      <c r="A226" s="8" t="s">
        <v>277</v>
      </c>
      <c r="B226" s="8" t="str">
        <f>IF(Table2[[#This Row],[Jenis_Proyek]]="", "Tidak Diketahui", Table2[[#This Row],[Jenis_Proyek]])</f>
        <v>Gedung</v>
      </c>
      <c r="C226" s="8" t="str">
        <f>IF(Table2[[#This Row],[Lokasi]]="", "Tidak Diketahui", Table2[[#This Row],[Lokasi]])</f>
        <v>Jakarta</v>
      </c>
      <c r="D226" s="8" t="str">
        <f>IF(Table2[[#This Row],[Nama_Proyek]]="", "Tidak Diketahui", Table2[[#This Row],[Nama_Proyek]])</f>
        <v>Perbaikan Gedung Pemerintah Jakarta</v>
      </c>
      <c r="E226" s="14">
        <v>45088</v>
      </c>
      <c r="F226" s="14">
        <v>45259</v>
      </c>
      <c r="G226" s="10">
        <v>6364217108</v>
      </c>
      <c r="H226" s="8" t="str">
        <f>IF(Table2[[#This Row],[Kontraktor]]="", "Tidak Diketahui",Table2[[#This Row],[Kontraktor]])</f>
        <v>PT D</v>
      </c>
      <c r="I226" s="11">
        <f>Table245[[#This Row],[Tanggal_Selesai]]-Table245[[#This Row],[Tanggal_Mulai]]</f>
        <v>171</v>
      </c>
      <c r="J226" s="17">
        <f>Table245[[#This Row],[Anggaran]]/Table245[[#This Row],[Durasi_Proyek]]</f>
        <v>37217643.906432748</v>
      </c>
      <c r="K226" s="11">
        <f>YEAR(Table245[[#This Row],[Tanggal_Mulai]])</f>
        <v>2023</v>
      </c>
    </row>
    <row r="227" spans="1:11" ht="14.25" customHeight="1" x14ac:dyDescent="0.35">
      <c r="A227" s="8" t="s">
        <v>278</v>
      </c>
      <c r="B227" s="8" t="str">
        <f>IF(Table2[[#This Row],[Jenis_Proyek]]="", "Tidak Diketahui", Table2[[#This Row],[Jenis_Proyek]])</f>
        <v>Jembatan</v>
      </c>
      <c r="C227" s="8" t="str">
        <f>IF(Table2[[#This Row],[Lokasi]]="", "Tidak Diketahui", Table2[[#This Row],[Lokasi]])</f>
        <v>Bau-Bau</v>
      </c>
      <c r="D227" s="8" t="str">
        <f>IF(Table2[[#This Row],[Nama_Proyek]]="", "Tidak Diketahui", Table2[[#This Row],[Nama_Proyek]])</f>
        <v>Perbaikan Jembatan Bau-Bau</v>
      </c>
      <c r="E227" s="14">
        <v>45090</v>
      </c>
      <c r="F227" s="14">
        <v>45168</v>
      </c>
      <c r="G227" s="10">
        <v>3757150419</v>
      </c>
      <c r="H227" s="8" t="str">
        <f>IF(Table2[[#This Row],[Kontraktor]]="", "Tidak Diketahui",Table2[[#This Row],[Kontraktor]])</f>
        <v>PT A</v>
      </c>
      <c r="I227" s="11">
        <f>Table245[[#This Row],[Tanggal_Selesai]]-Table245[[#This Row],[Tanggal_Mulai]]</f>
        <v>78</v>
      </c>
      <c r="J227" s="17">
        <f>Table245[[#This Row],[Anggaran]]/Table245[[#This Row],[Durasi_Proyek]]</f>
        <v>48168595.115384616</v>
      </c>
      <c r="K227" s="11">
        <f>YEAR(Table245[[#This Row],[Tanggal_Mulai]])</f>
        <v>2023</v>
      </c>
    </row>
    <row r="228" spans="1:11" ht="14.25" customHeight="1" x14ac:dyDescent="0.35">
      <c r="A228" s="8" t="s">
        <v>279</v>
      </c>
      <c r="B228" s="8" t="str">
        <f>IF(Table2[[#This Row],[Jenis_Proyek]]="", "Tidak Diketahui", Table2[[#This Row],[Jenis_Proyek]])</f>
        <v>Jembatan</v>
      </c>
      <c r="C228" s="8" t="str">
        <f>IF(Table2[[#This Row],[Lokasi]]="", "Tidak Diketahui", Table2[[#This Row],[Lokasi]])</f>
        <v>Medan</v>
      </c>
      <c r="D228" s="8" t="str">
        <f>IF(Table2[[#This Row],[Nama_Proyek]]="", "Tidak Diketahui", Table2[[#This Row],[Nama_Proyek]])</f>
        <v>Pembuatan Jembatan Medan</v>
      </c>
      <c r="E228" s="14">
        <v>45090</v>
      </c>
      <c r="F228" s="14">
        <v>45220</v>
      </c>
      <c r="G228" s="10">
        <v>4655083177</v>
      </c>
      <c r="H228" s="8" t="str">
        <f>IF(Table2[[#This Row],[Kontraktor]]="", "Tidak Diketahui",Table2[[#This Row],[Kontraktor]])</f>
        <v>PT B</v>
      </c>
      <c r="I228" s="11">
        <f>Table245[[#This Row],[Tanggal_Selesai]]-Table245[[#This Row],[Tanggal_Mulai]]</f>
        <v>130</v>
      </c>
      <c r="J228" s="17">
        <f>Table245[[#This Row],[Anggaran]]/Table245[[#This Row],[Durasi_Proyek]]</f>
        <v>35808332.13076923</v>
      </c>
      <c r="K228" s="11">
        <f>YEAR(Table245[[#This Row],[Tanggal_Mulai]])</f>
        <v>2023</v>
      </c>
    </row>
    <row r="229" spans="1:11" ht="14.25" customHeight="1" x14ac:dyDescent="0.35">
      <c r="A229" s="8" t="s">
        <v>280</v>
      </c>
      <c r="B229" s="8" t="str">
        <f>IF(Table2[[#This Row],[Jenis_Proyek]]="", "Tidak Diketahui", Table2[[#This Row],[Jenis_Proyek]])</f>
        <v>Drainase</v>
      </c>
      <c r="C229" s="8" t="str">
        <f>IF(Table2[[#This Row],[Lokasi]]="", "Tidak Diketahui", Table2[[#This Row],[Lokasi]])</f>
        <v>Bandung</v>
      </c>
      <c r="D229" s="8" t="str">
        <f>IF(Table2[[#This Row],[Nama_Proyek]]="", "Tidak Diketahui", Table2[[#This Row],[Nama_Proyek]])</f>
        <v>Perbaikan Drainase Bandung</v>
      </c>
      <c r="E229" s="14">
        <v>45091</v>
      </c>
      <c r="F229" s="14">
        <v>45091</v>
      </c>
      <c r="G229" s="10">
        <v>612637613</v>
      </c>
      <c r="H229" s="8" t="str">
        <f>IF(Table2[[#This Row],[Kontraktor]]="", "Tidak Diketahui",Table2[[#This Row],[Kontraktor]])</f>
        <v>PT B</v>
      </c>
      <c r="I229" s="11">
        <v>1</v>
      </c>
      <c r="J229" s="17">
        <f>Table245[[#This Row],[Anggaran]]/Table245[[#This Row],[Durasi_Proyek]]</f>
        <v>612637613</v>
      </c>
      <c r="K229" s="11">
        <f>YEAR(Table245[[#This Row],[Tanggal_Mulai]])</f>
        <v>2023</v>
      </c>
    </row>
    <row r="230" spans="1:11" ht="14.25" customHeight="1" x14ac:dyDescent="0.35">
      <c r="A230" s="8" t="s">
        <v>281</v>
      </c>
      <c r="B230" s="8" t="str">
        <f>IF(Table2[[#This Row],[Jenis_Proyek]]="", "Tidak Diketahui", Table2[[#This Row],[Jenis_Proyek]])</f>
        <v>Jembatan</v>
      </c>
      <c r="C230" s="8" t="str">
        <f>IF(Table2[[#This Row],[Lokasi]]="", "Tidak Diketahui", Table2[[#This Row],[Lokasi]])</f>
        <v>Bandung</v>
      </c>
      <c r="D230" s="8" t="str">
        <f>IF(Table2[[#This Row],[Nama_Proyek]]="", "Tidak Diketahui", Table2[[#This Row],[Nama_Proyek]])</f>
        <v>Pembuatan Jembatan Bandung</v>
      </c>
      <c r="E230" s="14">
        <v>45093</v>
      </c>
      <c r="F230" s="14">
        <v>45425</v>
      </c>
      <c r="G230" s="10">
        <v>765288058</v>
      </c>
      <c r="H230" s="8" t="str">
        <f>IF(Table2[[#This Row],[Kontraktor]]="", "Tidak Diketahui",Table2[[#This Row],[Kontraktor]])</f>
        <v>CV Sihombing</v>
      </c>
      <c r="I230" s="11">
        <f>Table245[[#This Row],[Tanggal_Selesai]]-Table245[[#This Row],[Tanggal_Mulai]]</f>
        <v>332</v>
      </c>
      <c r="J230" s="17">
        <f>Table245[[#This Row],[Anggaran]]/Table245[[#This Row],[Durasi_Proyek]]</f>
        <v>2305084.5120481928</v>
      </c>
      <c r="K230" s="11">
        <f>YEAR(Table245[[#This Row],[Tanggal_Mulai]])</f>
        <v>2023</v>
      </c>
    </row>
    <row r="231" spans="1:11" ht="14.25" customHeight="1" x14ac:dyDescent="0.35">
      <c r="A231" s="8" t="s">
        <v>282</v>
      </c>
      <c r="B231" s="8" t="str">
        <f>IF(Table2[[#This Row],[Jenis_Proyek]]="", "Tidak Diketahui", Table2[[#This Row],[Jenis_Proyek]])</f>
        <v>Jalan Raya</v>
      </c>
      <c r="C231" s="8" t="str">
        <f>IF(Table2[[#This Row],[Lokasi]]="", "Tidak Diketahui", Table2[[#This Row],[Lokasi]])</f>
        <v>Depok</v>
      </c>
      <c r="D231" s="8" t="str">
        <f>IF(Table2[[#This Row],[Nama_Proyek]]="", "Tidak Diketahui", Table2[[#This Row],[Nama_Proyek]])</f>
        <v>Perbaikan Jalan Raya Depok</v>
      </c>
      <c r="E231" s="14">
        <v>45093</v>
      </c>
      <c r="F231" s="14">
        <v>45337</v>
      </c>
      <c r="G231" s="10">
        <v>996933795</v>
      </c>
      <c r="H231" s="8" t="str">
        <f>IF(Table2[[#This Row],[Kontraktor]]="", "Tidak Diketahui",Table2[[#This Row],[Kontraktor]])</f>
        <v>PT D</v>
      </c>
      <c r="I231" s="11">
        <f>Table245[[#This Row],[Tanggal_Selesai]]-Table245[[#This Row],[Tanggal_Mulai]]</f>
        <v>244</v>
      </c>
      <c r="J231" s="17">
        <f>Table245[[#This Row],[Anggaran]]/Table245[[#This Row],[Durasi_Proyek]]</f>
        <v>4085794.2418032787</v>
      </c>
      <c r="K231" s="11">
        <f>YEAR(Table245[[#This Row],[Tanggal_Mulai]])</f>
        <v>2023</v>
      </c>
    </row>
    <row r="232" spans="1:11" ht="14.25" customHeight="1" x14ac:dyDescent="0.35">
      <c r="A232" s="8" t="s">
        <v>283</v>
      </c>
      <c r="B232" s="8" t="str">
        <f>IF(Table2[[#This Row],[Jenis_Proyek]]="", "Tidak Diketahui", Table2[[#This Row],[Jenis_Proyek]])</f>
        <v>Gedung</v>
      </c>
      <c r="C232" s="8" t="str">
        <f>IF(Table2[[#This Row],[Lokasi]]="", "Tidak Diketahui", Table2[[#This Row],[Lokasi]])</f>
        <v>Jakarta</v>
      </c>
      <c r="D232" s="8" t="str">
        <f>IF(Table2[[#This Row],[Nama_Proyek]]="", "Tidak Diketahui", Table2[[#This Row],[Nama_Proyek]])</f>
        <v>Perbaikan Gedung Pemerintah Jakarta</v>
      </c>
      <c r="E232" s="14">
        <v>45093</v>
      </c>
      <c r="F232" s="14">
        <v>45280</v>
      </c>
      <c r="G232" s="10">
        <v>6355661362</v>
      </c>
      <c r="H232" s="8" t="str">
        <f>IF(Table2[[#This Row],[Kontraktor]]="", "Tidak Diketahui",Table2[[#This Row],[Kontraktor]])</f>
        <v>Tidak Diketahui</v>
      </c>
      <c r="I232" s="11">
        <f>Table245[[#This Row],[Tanggal_Selesai]]-Table245[[#This Row],[Tanggal_Mulai]]</f>
        <v>187</v>
      </c>
      <c r="J232" s="17">
        <f>Table245[[#This Row],[Anggaran]]/Table245[[#This Row],[Durasi_Proyek]]</f>
        <v>33987493.914438501</v>
      </c>
      <c r="K232" s="11">
        <f>YEAR(Table245[[#This Row],[Tanggal_Mulai]])</f>
        <v>2023</v>
      </c>
    </row>
    <row r="233" spans="1:11" ht="14.25" customHeight="1" x14ac:dyDescent="0.35">
      <c r="A233" s="8" t="s">
        <v>284</v>
      </c>
      <c r="B233" s="8" t="str">
        <f>IF(Table2[[#This Row],[Jenis_Proyek]]="", "Tidak Diketahui", Table2[[#This Row],[Jenis_Proyek]])</f>
        <v>Jembatan</v>
      </c>
      <c r="C233" s="8" t="str">
        <f>IF(Table2[[#This Row],[Lokasi]]="", "Tidak Diketahui", Table2[[#This Row],[Lokasi]])</f>
        <v>Bau-Bau</v>
      </c>
      <c r="D233" s="8" t="str">
        <f>IF(Table2[[#This Row],[Nama_Proyek]]="", "Tidak Diketahui", Table2[[#This Row],[Nama_Proyek]])</f>
        <v>Pembuatan Jembatan Bau-Bau</v>
      </c>
      <c r="E233" s="14">
        <v>45093</v>
      </c>
      <c r="F233" s="14">
        <v>45383</v>
      </c>
      <c r="G233" s="10">
        <v>6951220052</v>
      </c>
      <c r="H233" s="8" t="str">
        <f>IF(Table2[[#This Row],[Kontraktor]]="", "Tidak Diketahui",Table2[[#This Row],[Kontraktor]])</f>
        <v>CV Sihombing</v>
      </c>
      <c r="I233" s="11">
        <f>Table245[[#This Row],[Tanggal_Selesai]]-Table245[[#This Row],[Tanggal_Mulai]]</f>
        <v>290</v>
      </c>
      <c r="J233" s="17">
        <f>Table245[[#This Row],[Anggaran]]/Table245[[#This Row],[Durasi_Proyek]]</f>
        <v>23969724.317241378</v>
      </c>
      <c r="K233" s="11">
        <f>YEAR(Table245[[#This Row],[Tanggal_Mulai]])</f>
        <v>2023</v>
      </c>
    </row>
    <row r="234" spans="1:11" ht="14.25" customHeight="1" x14ac:dyDescent="0.35">
      <c r="A234" s="8" t="s">
        <v>285</v>
      </c>
      <c r="B234" s="8" t="str">
        <f>IF(Table2[[#This Row],[Jenis_Proyek]]="", "Tidak Diketahui", Table2[[#This Row],[Jenis_Proyek]])</f>
        <v>Drainase</v>
      </c>
      <c r="C234" s="8" t="str">
        <f>IF(Table2[[#This Row],[Lokasi]]="", "Tidak Diketahui", Table2[[#This Row],[Lokasi]])</f>
        <v>Bandung</v>
      </c>
      <c r="D234" s="8" t="str">
        <f>IF(Table2[[#This Row],[Nama_Proyek]]="", "Tidak Diketahui", Table2[[#This Row],[Nama_Proyek]])</f>
        <v>Perbaikan Drainase Bandung</v>
      </c>
      <c r="E234" s="14">
        <v>45095</v>
      </c>
      <c r="F234" s="14">
        <v>45423</v>
      </c>
      <c r="G234" s="10">
        <v>257229348</v>
      </c>
      <c r="H234" s="8" t="str">
        <f>IF(Table2[[#This Row],[Kontraktor]]="", "Tidak Diketahui",Table2[[#This Row],[Kontraktor]])</f>
        <v>Tidak Diketahui</v>
      </c>
      <c r="I234" s="11">
        <f>Table245[[#This Row],[Tanggal_Selesai]]-Table245[[#This Row],[Tanggal_Mulai]]</f>
        <v>328</v>
      </c>
      <c r="J234" s="17">
        <f>Table245[[#This Row],[Anggaran]]/Table245[[#This Row],[Durasi_Proyek]]</f>
        <v>784235.81707317068</v>
      </c>
      <c r="K234" s="11">
        <f>YEAR(Table245[[#This Row],[Tanggal_Mulai]])</f>
        <v>2023</v>
      </c>
    </row>
    <row r="235" spans="1:11" ht="14.25" customHeight="1" x14ac:dyDescent="0.35">
      <c r="A235" s="8" t="s">
        <v>286</v>
      </c>
      <c r="B235" s="8" t="str">
        <f>IF(Table2[[#This Row],[Jenis_Proyek]]="", "Tidak Diketahui", Table2[[#This Row],[Jenis_Proyek]])</f>
        <v>Gedung</v>
      </c>
      <c r="C235" s="8" t="str">
        <f>IF(Table2[[#This Row],[Lokasi]]="", "Tidak Diketahui", Table2[[#This Row],[Lokasi]])</f>
        <v>Medan</v>
      </c>
      <c r="D235" s="8" t="str">
        <f>IF(Table2[[#This Row],[Nama_Proyek]]="", "Tidak Diketahui", Table2[[#This Row],[Nama_Proyek]])</f>
        <v>Perbaikan Gedung Pemerintah Medan</v>
      </c>
      <c r="E235" s="14">
        <v>45096</v>
      </c>
      <c r="F235" s="14">
        <v>45428</v>
      </c>
      <c r="G235" s="10">
        <v>1258024298</v>
      </c>
      <c r="H235" s="8" t="str">
        <f>IF(Table2[[#This Row],[Kontraktor]]="", "Tidak Diketahui",Table2[[#This Row],[Kontraktor]])</f>
        <v>PT. Lailasari Hariyah (Persero) Tbk</v>
      </c>
      <c r="I235" s="11">
        <f>Table245[[#This Row],[Tanggal_Selesai]]-Table245[[#This Row],[Tanggal_Mulai]]</f>
        <v>332</v>
      </c>
      <c r="J235" s="17">
        <f>Table245[[#This Row],[Anggaran]]/Table245[[#This Row],[Durasi_Proyek]]</f>
        <v>3789229.813253012</v>
      </c>
      <c r="K235" s="11">
        <f>YEAR(Table245[[#This Row],[Tanggal_Mulai]])</f>
        <v>2023</v>
      </c>
    </row>
    <row r="236" spans="1:11" ht="14.25" customHeight="1" x14ac:dyDescent="0.35">
      <c r="A236" s="8" t="s">
        <v>287</v>
      </c>
      <c r="B236" s="8" t="str">
        <f>IF(Table2[[#This Row],[Jenis_Proyek]]="", "Tidak Diketahui", Table2[[#This Row],[Jenis_Proyek]])</f>
        <v>Drainase</v>
      </c>
      <c r="C236" s="8" t="str">
        <f>IF(Table2[[#This Row],[Lokasi]]="", "Tidak Diketahui", Table2[[#This Row],[Lokasi]])</f>
        <v>Makassar</v>
      </c>
      <c r="D236" s="8" t="str">
        <f>IF(Table2[[#This Row],[Nama_Proyek]]="", "Tidak Diketahui", Table2[[#This Row],[Nama_Proyek]])</f>
        <v>Perbaikan Drainase Makassar</v>
      </c>
      <c r="E236" s="14">
        <v>45096</v>
      </c>
      <c r="F236" s="14">
        <v>45199</v>
      </c>
      <c r="G236" s="10">
        <v>375761303</v>
      </c>
      <c r="H236" s="8" t="str">
        <f>IF(Table2[[#This Row],[Kontraktor]]="", "Tidak Diketahui",Table2[[#This Row],[Kontraktor]])</f>
        <v>PT A</v>
      </c>
      <c r="I236" s="11">
        <f>Table245[[#This Row],[Tanggal_Selesai]]-Table245[[#This Row],[Tanggal_Mulai]]</f>
        <v>103</v>
      </c>
      <c r="J236" s="17">
        <f>Table245[[#This Row],[Anggaran]]/Table245[[#This Row],[Durasi_Proyek]]</f>
        <v>3648167.990291262</v>
      </c>
      <c r="K236" s="11">
        <f>YEAR(Table245[[#This Row],[Tanggal_Mulai]])</f>
        <v>2023</v>
      </c>
    </row>
    <row r="237" spans="1:11" ht="14.25" customHeight="1" x14ac:dyDescent="0.35">
      <c r="A237" s="8" t="s">
        <v>288</v>
      </c>
      <c r="B237" s="8" t="str">
        <f>IF(Table2[[#This Row],[Jenis_Proyek]]="", "Tidak Diketahui", Table2[[#This Row],[Jenis_Proyek]])</f>
        <v>Gedung</v>
      </c>
      <c r="C237" s="8" t="str">
        <f>IF(Table2[[#This Row],[Lokasi]]="", "Tidak Diketahui", Table2[[#This Row],[Lokasi]])</f>
        <v>Depok</v>
      </c>
      <c r="D237" s="8" t="str">
        <f>IF(Table2[[#This Row],[Nama_Proyek]]="", "Tidak Diketahui", Table2[[#This Row],[Nama_Proyek]])</f>
        <v>Perbaikan Gedung Pemerintah Depok</v>
      </c>
      <c r="E237" s="14">
        <v>45097</v>
      </c>
      <c r="F237" s="14">
        <v>45129</v>
      </c>
      <c r="G237" s="10">
        <v>6540978129</v>
      </c>
      <c r="H237" s="8" t="str">
        <f>IF(Table2[[#This Row],[Kontraktor]]="", "Tidak Diketahui",Table2[[#This Row],[Kontraktor]])</f>
        <v>PT D</v>
      </c>
      <c r="I237" s="11">
        <f>Table245[[#This Row],[Tanggal_Selesai]]-Table245[[#This Row],[Tanggal_Mulai]]</f>
        <v>32</v>
      </c>
      <c r="J237" s="17">
        <f>Table245[[#This Row],[Anggaran]]/Table245[[#This Row],[Durasi_Proyek]]</f>
        <v>204405566.53125</v>
      </c>
      <c r="K237" s="11">
        <f>YEAR(Table245[[#This Row],[Tanggal_Mulai]])</f>
        <v>2023</v>
      </c>
    </row>
    <row r="238" spans="1:11" ht="14.25" customHeight="1" x14ac:dyDescent="0.35">
      <c r="A238" s="8" t="s">
        <v>289</v>
      </c>
      <c r="B238" s="8" t="str">
        <f>IF(Table2[[#This Row],[Jenis_Proyek]]="", "Tidak Diketahui", Table2[[#This Row],[Jenis_Proyek]])</f>
        <v>Drainase</v>
      </c>
      <c r="C238" s="8" t="str">
        <f>IF(Table2[[#This Row],[Lokasi]]="", "Tidak Diketahui", Table2[[#This Row],[Lokasi]])</f>
        <v>Jakarta</v>
      </c>
      <c r="D238" s="8" t="str">
        <f>IF(Table2[[#This Row],[Nama_Proyek]]="", "Tidak Diketahui", Table2[[#This Row],[Nama_Proyek]])</f>
        <v>Perbaikan Drainase Jakarta</v>
      </c>
      <c r="E238" s="14">
        <v>45098</v>
      </c>
      <c r="F238" s="14">
        <v>45142</v>
      </c>
      <c r="G238" s="10">
        <v>342017973</v>
      </c>
      <c r="H238" s="8" t="str">
        <f>IF(Table2[[#This Row],[Kontraktor]]="", "Tidak Diketahui",Table2[[#This Row],[Kontraktor]])</f>
        <v>PT. Yuniar Hakim Tbk</v>
      </c>
      <c r="I238" s="11">
        <f>Table245[[#This Row],[Tanggal_Selesai]]-Table245[[#This Row],[Tanggal_Mulai]]</f>
        <v>44</v>
      </c>
      <c r="J238" s="17">
        <f>Table245[[#This Row],[Anggaran]]/Table245[[#This Row],[Durasi_Proyek]]</f>
        <v>7773135.75</v>
      </c>
      <c r="K238" s="11">
        <f>YEAR(Table245[[#This Row],[Tanggal_Mulai]])</f>
        <v>2023</v>
      </c>
    </row>
    <row r="239" spans="1:11" ht="14.25" customHeight="1" x14ac:dyDescent="0.35">
      <c r="A239" s="8" t="s">
        <v>290</v>
      </c>
      <c r="B239" s="8" t="str">
        <f>IF(Table2[[#This Row],[Jenis_Proyek]]="", "Tidak Diketahui", Table2[[#This Row],[Jenis_Proyek]])</f>
        <v>Jembatan</v>
      </c>
      <c r="C239" s="8" t="str">
        <f>IF(Table2[[#This Row],[Lokasi]]="", "Tidak Diketahui", Table2[[#This Row],[Lokasi]])</f>
        <v>Bau-Bau</v>
      </c>
      <c r="D239" s="8" t="str">
        <f>IF(Table2[[#This Row],[Nama_Proyek]]="", "Tidak Diketahui", Table2[[#This Row],[Nama_Proyek]])</f>
        <v>Perbaikan Jembatan Bau-Bau</v>
      </c>
      <c r="E239" s="14">
        <v>45098</v>
      </c>
      <c r="F239" s="14">
        <v>45292</v>
      </c>
      <c r="G239" s="10">
        <v>4806164886</v>
      </c>
      <c r="H239" s="8" t="str">
        <f>IF(Table2[[#This Row],[Kontraktor]]="", "Tidak Diketahui",Table2[[#This Row],[Kontraktor]])</f>
        <v>PT. Yuniar Hakim Tbk</v>
      </c>
      <c r="I239" s="11">
        <f>Table245[[#This Row],[Tanggal_Selesai]]-Table245[[#This Row],[Tanggal_Mulai]]</f>
        <v>194</v>
      </c>
      <c r="J239" s="17">
        <f>Table245[[#This Row],[Anggaran]]/Table245[[#This Row],[Durasi_Proyek]]</f>
        <v>24774045.804123711</v>
      </c>
      <c r="K239" s="11">
        <f>YEAR(Table245[[#This Row],[Tanggal_Mulai]])</f>
        <v>2023</v>
      </c>
    </row>
    <row r="240" spans="1:11" ht="14.25" customHeight="1" x14ac:dyDescent="0.35">
      <c r="A240" s="8" t="s">
        <v>291</v>
      </c>
      <c r="B240" s="8" t="str">
        <f>IF(Table2[[#This Row],[Jenis_Proyek]]="", "Tidak Diketahui", Table2[[#This Row],[Jenis_Proyek]])</f>
        <v>Gedung</v>
      </c>
      <c r="C240" s="8" t="str">
        <f>IF(Table2[[#This Row],[Lokasi]]="", "Tidak Diketahui", Table2[[#This Row],[Lokasi]])</f>
        <v>Bandung</v>
      </c>
      <c r="D240" s="8" t="str">
        <f>IF(Table2[[#This Row],[Nama_Proyek]]="", "Tidak Diketahui", Table2[[#This Row],[Nama_Proyek]])</f>
        <v>Perbaikan Gedung Pemerintah Bandung</v>
      </c>
      <c r="E240" s="14">
        <v>45099</v>
      </c>
      <c r="F240" s="14">
        <v>45385</v>
      </c>
      <c r="G240" s="10">
        <v>9209856007</v>
      </c>
      <c r="H240" s="8" t="str">
        <f>IF(Table2[[#This Row],[Kontraktor]]="", "Tidak Diketahui",Table2[[#This Row],[Kontraktor]])</f>
        <v>PT A</v>
      </c>
      <c r="I240" s="11">
        <f>Table245[[#This Row],[Tanggal_Selesai]]-Table245[[#This Row],[Tanggal_Mulai]]</f>
        <v>286</v>
      </c>
      <c r="J240" s="17">
        <f>Table245[[#This Row],[Anggaran]]/Table245[[#This Row],[Durasi_Proyek]]</f>
        <v>32202293.730769232</v>
      </c>
      <c r="K240" s="11">
        <f>YEAR(Table245[[#This Row],[Tanggal_Mulai]])</f>
        <v>2023</v>
      </c>
    </row>
    <row r="241" spans="1:11" ht="14.25" customHeight="1" x14ac:dyDescent="0.35">
      <c r="A241" s="8" t="s">
        <v>292</v>
      </c>
      <c r="B241" s="8" t="str">
        <f>IF(Table2[[#This Row],[Jenis_Proyek]]="", "Tidak Diketahui", Table2[[#This Row],[Jenis_Proyek]])</f>
        <v>Drainase</v>
      </c>
      <c r="C241" s="8" t="str">
        <f>IF(Table2[[#This Row],[Lokasi]]="", "Tidak Diketahui", Table2[[#This Row],[Lokasi]])</f>
        <v>Makassar</v>
      </c>
      <c r="D241" s="8" t="str">
        <f>IF(Table2[[#This Row],[Nama_Proyek]]="", "Tidak Diketahui", Table2[[#This Row],[Nama_Proyek]])</f>
        <v>Perbaikan Drainase Makassar</v>
      </c>
      <c r="E241" s="14">
        <v>45099</v>
      </c>
      <c r="F241" s="14">
        <v>45154</v>
      </c>
      <c r="G241" s="10">
        <v>269400319</v>
      </c>
      <c r="H241" s="8" t="str">
        <f>IF(Table2[[#This Row],[Kontraktor]]="", "Tidak Diketahui",Table2[[#This Row],[Kontraktor]])</f>
        <v>CV Sihombing</v>
      </c>
      <c r="I241" s="11">
        <f>Table245[[#This Row],[Tanggal_Selesai]]-Table245[[#This Row],[Tanggal_Mulai]]</f>
        <v>55</v>
      </c>
      <c r="J241" s="17">
        <f>Table245[[#This Row],[Anggaran]]/Table245[[#This Row],[Durasi_Proyek]]</f>
        <v>4898187.6181818182</v>
      </c>
      <c r="K241" s="11">
        <f>YEAR(Table245[[#This Row],[Tanggal_Mulai]])</f>
        <v>2023</v>
      </c>
    </row>
    <row r="242" spans="1:11" ht="14.25" customHeight="1" x14ac:dyDescent="0.35">
      <c r="A242" s="8" t="s">
        <v>293</v>
      </c>
      <c r="B242" s="8" t="str">
        <f>IF(Table2[[#This Row],[Jenis_Proyek]]="", "Tidak Diketahui", Table2[[#This Row],[Jenis_Proyek]])</f>
        <v>Gedung</v>
      </c>
      <c r="C242" s="8" t="str">
        <f>IF(Table2[[#This Row],[Lokasi]]="", "Tidak Diketahui", Table2[[#This Row],[Lokasi]])</f>
        <v>Tomohon</v>
      </c>
      <c r="D242" s="8" t="str">
        <f>IF(Table2[[#This Row],[Nama_Proyek]]="", "Tidak Diketahui", Table2[[#This Row],[Nama_Proyek]])</f>
        <v>Perbaikan Gedung Pemerintah Tomohon</v>
      </c>
      <c r="E242" s="14">
        <v>45099</v>
      </c>
      <c r="F242" s="14">
        <v>45245</v>
      </c>
      <c r="G242" s="10">
        <v>3098986860</v>
      </c>
      <c r="H242" s="8" t="str">
        <f>IF(Table2[[#This Row],[Kontraktor]]="", "Tidak Diketahui",Table2[[#This Row],[Kontraktor]])</f>
        <v>PT. Lailasari Hariyah (Persero) Tbk</v>
      </c>
      <c r="I242" s="11">
        <f>Table245[[#This Row],[Tanggal_Selesai]]-Table245[[#This Row],[Tanggal_Mulai]]</f>
        <v>146</v>
      </c>
      <c r="J242" s="17">
        <f>Table245[[#This Row],[Anggaran]]/Table245[[#This Row],[Durasi_Proyek]]</f>
        <v>21225937.397260275</v>
      </c>
      <c r="K242" s="11">
        <f>YEAR(Table245[[#This Row],[Tanggal_Mulai]])</f>
        <v>2023</v>
      </c>
    </row>
    <row r="243" spans="1:11" ht="14.25" customHeight="1" x14ac:dyDescent="0.35">
      <c r="A243" s="8" t="s">
        <v>294</v>
      </c>
      <c r="B243" s="8" t="str">
        <f>IF(Table2[[#This Row],[Jenis_Proyek]]="", "Tidak Diketahui", Table2[[#This Row],[Jenis_Proyek]])</f>
        <v>Jembatan</v>
      </c>
      <c r="C243" s="8" t="str">
        <f>IF(Table2[[#This Row],[Lokasi]]="", "Tidak Diketahui", Table2[[#This Row],[Lokasi]])</f>
        <v>Surabaya</v>
      </c>
      <c r="D243" s="8" t="str">
        <f>IF(Table2[[#This Row],[Nama_Proyek]]="", "Tidak Diketahui", Table2[[#This Row],[Nama_Proyek]])</f>
        <v>Perbaikan Jembatan Surabaya</v>
      </c>
      <c r="E243" s="14">
        <v>45099</v>
      </c>
      <c r="F243" s="14">
        <v>45254</v>
      </c>
      <c r="G243" s="10">
        <v>2873619122</v>
      </c>
      <c r="H243" s="8" t="str">
        <f>IF(Table2[[#This Row],[Kontraktor]]="", "Tidak Diketahui",Table2[[#This Row],[Kontraktor]])</f>
        <v>PT. Lailasari Hariyah (Persero) Tbk</v>
      </c>
      <c r="I243" s="11">
        <f>Table245[[#This Row],[Tanggal_Selesai]]-Table245[[#This Row],[Tanggal_Mulai]]</f>
        <v>155</v>
      </c>
      <c r="J243" s="17">
        <f>Table245[[#This Row],[Anggaran]]/Table245[[#This Row],[Durasi_Proyek]]</f>
        <v>18539478.206451613</v>
      </c>
      <c r="K243" s="11">
        <f>YEAR(Table245[[#This Row],[Tanggal_Mulai]])</f>
        <v>2023</v>
      </c>
    </row>
    <row r="244" spans="1:11" ht="14.25" customHeight="1" x14ac:dyDescent="0.35">
      <c r="A244" s="8" t="s">
        <v>295</v>
      </c>
      <c r="B244" s="8" t="str">
        <f>IF(Table2[[#This Row],[Jenis_Proyek]]="", "Tidak Diketahui", Table2[[#This Row],[Jenis_Proyek]])</f>
        <v>Drainase</v>
      </c>
      <c r="C244" s="8" t="str">
        <f>IF(Table2[[#This Row],[Lokasi]]="", "Tidak Diketahui", Table2[[#This Row],[Lokasi]])</f>
        <v>Depok</v>
      </c>
      <c r="D244" s="8" t="str">
        <f>IF(Table2[[#This Row],[Nama_Proyek]]="", "Tidak Diketahui", Table2[[#This Row],[Nama_Proyek]])</f>
        <v>Perbaikan Drainase Depok</v>
      </c>
      <c r="E244" s="14">
        <v>45101</v>
      </c>
      <c r="F244" s="14">
        <v>45138</v>
      </c>
      <c r="G244" s="10">
        <v>735575459</v>
      </c>
      <c r="H244" s="8" t="str">
        <f>IF(Table2[[#This Row],[Kontraktor]]="", "Tidak Diketahui",Table2[[#This Row],[Kontraktor]])</f>
        <v>PT. Yuniar Hakim Tbk</v>
      </c>
      <c r="I244" s="11">
        <f>Table245[[#This Row],[Tanggal_Selesai]]-Table245[[#This Row],[Tanggal_Mulai]]</f>
        <v>37</v>
      </c>
      <c r="J244" s="17">
        <f>Table245[[#This Row],[Anggaran]]/Table245[[#This Row],[Durasi_Proyek]]</f>
        <v>19880417.810810812</v>
      </c>
      <c r="K244" s="11">
        <f>YEAR(Table245[[#This Row],[Tanggal_Mulai]])</f>
        <v>2023</v>
      </c>
    </row>
    <row r="245" spans="1:11" ht="14.25" customHeight="1" x14ac:dyDescent="0.35">
      <c r="A245" s="8" t="s">
        <v>296</v>
      </c>
      <c r="B245" s="8" t="str">
        <f>IF(Table2[[#This Row],[Jenis_Proyek]]="", "Tidak Diketahui", Table2[[#This Row],[Jenis_Proyek]])</f>
        <v>Gedung</v>
      </c>
      <c r="C245" s="8" t="str">
        <f>IF(Table2[[#This Row],[Lokasi]]="", "Tidak Diketahui", Table2[[#This Row],[Lokasi]])</f>
        <v>Medan</v>
      </c>
      <c r="D245" s="8" t="str">
        <f>IF(Table2[[#This Row],[Nama_Proyek]]="", "Tidak Diketahui", Table2[[#This Row],[Nama_Proyek]])</f>
        <v>Perbaikan Gedung Pemerintah Medan</v>
      </c>
      <c r="E245" s="14">
        <v>45101</v>
      </c>
      <c r="F245" s="14">
        <v>45375</v>
      </c>
      <c r="G245" s="10">
        <v>2354261081</v>
      </c>
      <c r="H245" s="8" t="str">
        <f>IF(Table2[[#This Row],[Kontraktor]]="", "Tidak Diketahui",Table2[[#This Row],[Kontraktor]])</f>
        <v>PT. Lailasari Hariyah (Persero) Tbk</v>
      </c>
      <c r="I245" s="11">
        <f>Table245[[#This Row],[Tanggal_Selesai]]-Table245[[#This Row],[Tanggal_Mulai]]</f>
        <v>274</v>
      </c>
      <c r="J245" s="17">
        <f>Table245[[#This Row],[Anggaran]]/Table245[[#This Row],[Durasi_Proyek]]</f>
        <v>8592193.7262773719</v>
      </c>
      <c r="K245" s="11">
        <f>YEAR(Table245[[#This Row],[Tanggal_Mulai]])</f>
        <v>2023</v>
      </c>
    </row>
    <row r="246" spans="1:11" ht="14.25" customHeight="1" x14ac:dyDescent="0.35">
      <c r="A246" s="8" t="s">
        <v>297</v>
      </c>
      <c r="B246" s="8" t="str">
        <f>IF(Table2[[#This Row],[Jenis_Proyek]]="", "Tidak Diketahui", Table2[[#This Row],[Jenis_Proyek]])</f>
        <v>Jembatan</v>
      </c>
      <c r="C246" s="8" t="str">
        <f>IF(Table2[[#This Row],[Lokasi]]="", "Tidak Diketahui", Table2[[#This Row],[Lokasi]])</f>
        <v>Medan</v>
      </c>
      <c r="D246" s="8" t="str">
        <f>IF(Table2[[#This Row],[Nama_Proyek]]="", "Tidak Diketahui", Table2[[#This Row],[Nama_Proyek]])</f>
        <v>Pembuatan Jembatan Medan</v>
      </c>
      <c r="E246" s="14">
        <v>45102</v>
      </c>
      <c r="F246" s="14">
        <v>45324</v>
      </c>
      <c r="G246" s="10">
        <v>2697497947</v>
      </c>
      <c r="H246" s="8" t="str">
        <f>IF(Table2[[#This Row],[Kontraktor]]="", "Tidak Diketahui",Table2[[#This Row],[Kontraktor]])</f>
        <v>PT A</v>
      </c>
      <c r="I246" s="11">
        <f>Table245[[#This Row],[Tanggal_Selesai]]-Table245[[#This Row],[Tanggal_Mulai]]</f>
        <v>222</v>
      </c>
      <c r="J246" s="17">
        <f>Table245[[#This Row],[Anggaran]]/Table245[[#This Row],[Durasi_Proyek]]</f>
        <v>12150891.653153153</v>
      </c>
      <c r="K246" s="11">
        <f>YEAR(Table245[[#This Row],[Tanggal_Mulai]])</f>
        <v>2023</v>
      </c>
    </row>
    <row r="247" spans="1:11" ht="14.25" customHeight="1" x14ac:dyDescent="0.35">
      <c r="A247" s="8" t="s">
        <v>298</v>
      </c>
      <c r="B247" s="8" t="str">
        <f>IF(Table2[[#This Row],[Jenis_Proyek]]="", "Tidak Diketahui", Table2[[#This Row],[Jenis_Proyek]])</f>
        <v>Jalan Raya</v>
      </c>
      <c r="C247" s="8" t="str">
        <f>IF(Table2[[#This Row],[Lokasi]]="", "Tidak Diketahui", Table2[[#This Row],[Lokasi]])</f>
        <v>Tomohon</v>
      </c>
      <c r="D247" s="8" t="str">
        <f>IF(Table2[[#This Row],[Nama_Proyek]]="", "Tidak Diketahui", Table2[[#This Row],[Nama_Proyek]])</f>
        <v>Perbaikan Jalan Raya Tomohon</v>
      </c>
      <c r="E247" s="14">
        <v>45103</v>
      </c>
      <c r="F247" s="14">
        <v>45404</v>
      </c>
      <c r="G247" s="10">
        <v>277801695</v>
      </c>
      <c r="H247" s="8" t="str">
        <f>IF(Table2[[#This Row],[Kontraktor]]="", "Tidak Diketahui",Table2[[#This Row],[Kontraktor]])</f>
        <v>PT. Lailasari Hariyah (Persero) Tbk</v>
      </c>
      <c r="I247" s="11">
        <f>Table245[[#This Row],[Tanggal_Selesai]]-Table245[[#This Row],[Tanggal_Mulai]]</f>
        <v>301</v>
      </c>
      <c r="J247" s="17">
        <f>Table245[[#This Row],[Anggaran]]/Table245[[#This Row],[Durasi_Proyek]]</f>
        <v>922929.21926910302</v>
      </c>
      <c r="K247" s="11">
        <f>YEAR(Table245[[#This Row],[Tanggal_Mulai]])</f>
        <v>2023</v>
      </c>
    </row>
    <row r="248" spans="1:11" ht="14.25" customHeight="1" x14ac:dyDescent="0.35">
      <c r="A248" s="8" t="s">
        <v>299</v>
      </c>
      <c r="B248" s="8" t="str">
        <f>IF(Table2[[#This Row],[Jenis_Proyek]]="", "Tidak Diketahui", Table2[[#This Row],[Jenis_Proyek]])</f>
        <v>Gedung</v>
      </c>
      <c r="C248" s="8" t="str">
        <f>IF(Table2[[#This Row],[Lokasi]]="", "Tidak Diketahui", Table2[[#This Row],[Lokasi]])</f>
        <v>Bandung</v>
      </c>
      <c r="D248" s="8" t="str">
        <f>IF(Table2[[#This Row],[Nama_Proyek]]="", "Tidak Diketahui", Table2[[#This Row],[Nama_Proyek]])</f>
        <v>Perbaikan Gedung Pemerintah Bandung</v>
      </c>
      <c r="E248" s="14">
        <v>45104</v>
      </c>
      <c r="F248" s="14">
        <v>45195</v>
      </c>
      <c r="G248" s="10">
        <v>5365371920</v>
      </c>
      <c r="H248" s="8" t="str">
        <f>IF(Table2[[#This Row],[Kontraktor]]="", "Tidak Diketahui",Table2[[#This Row],[Kontraktor]])</f>
        <v>PT. Yuniar Hakim Tbk</v>
      </c>
      <c r="I248" s="11">
        <f>Table245[[#This Row],[Tanggal_Selesai]]-Table245[[#This Row],[Tanggal_Mulai]]</f>
        <v>91</v>
      </c>
      <c r="J248" s="17">
        <f>Table245[[#This Row],[Anggaran]]/Table245[[#This Row],[Durasi_Proyek]]</f>
        <v>58960130.98901099</v>
      </c>
      <c r="K248" s="11">
        <f>YEAR(Table245[[#This Row],[Tanggal_Mulai]])</f>
        <v>2023</v>
      </c>
    </row>
    <row r="249" spans="1:11" ht="14.25" customHeight="1" x14ac:dyDescent="0.35">
      <c r="A249" s="8" t="s">
        <v>300</v>
      </c>
      <c r="B249" s="8" t="str">
        <f>IF(Table2[[#This Row],[Jenis_Proyek]]="", "Tidak Diketahui", Table2[[#This Row],[Jenis_Proyek]])</f>
        <v>Drainase</v>
      </c>
      <c r="C249" s="8" t="str">
        <f>IF(Table2[[#This Row],[Lokasi]]="", "Tidak Diketahui", Table2[[#This Row],[Lokasi]])</f>
        <v>Surabaya</v>
      </c>
      <c r="D249" s="8" t="str">
        <f>IF(Table2[[#This Row],[Nama_Proyek]]="", "Tidak Diketahui", Table2[[#This Row],[Nama_Proyek]])</f>
        <v>Perbaikan Drainase Surabaya</v>
      </c>
      <c r="E249" s="14">
        <v>45106</v>
      </c>
      <c r="F249" s="14">
        <v>45144</v>
      </c>
      <c r="G249" s="10">
        <v>737701834</v>
      </c>
      <c r="H249" s="8" t="str">
        <f>IF(Table2[[#This Row],[Kontraktor]]="", "Tidak Diketahui",Table2[[#This Row],[Kontraktor]])</f>
        <v>PT A</v>
      </c>
      <c r="I249" s="11">
        <f>Table245[[#This Row],[Tanggal_Selesai]]-Table245[[#This Row],[Tanggal_Mulai]]</f>
        <v>38</v>
      </c>
      <c r="J249" s="17">
        <f>Table245[[#This Row],[Anggaran]]/Table245[[#This Row],[Durasi_Proyek]]</f>
        <v>19413206.157894738</v>
      </c>
      <c r="K249" s="11">
        <f>YEAR(Table245[[#This Row],[Tanggal_Mulai]])</f>
        <v>2023</v>
      </c>
    </row>
    <row r="250" spans="1:11" ht="14.25" customHeight="1" x14ac:dyDescent="0.35">
      <c r="A250" s="8" t="s">
        <v>301</v>
      </c>
      <c r="B250" s="8" t="str">
        <f>IF(Table2[[#This Row],[Jenis_Proyek]]="", "Tidak Diketahui", Table2[[#This Row],[Jenis_Proyek]])</f>
        <v>Jembatan</v>
      </c>
      <c r="C250" s="8" t="str">
        <f>IF(Table2[[#This Row],[Lokasi]]="", "Tidak Diketahui", Table2[[#This Row],[Lokasi]])</f>
        <v>Tomohon</v>
      </c>
      <c r="D250" s="8" t="str">
        <f>IF(Table2[[#This Row],[Nama_Proyek]]="", "Tidak Diketahui", Table2[[#This Row],[Nama_Proyek]])</f>
        <v>Perbaikan Jembatan Tomohon</v>
      </c>
      <c r="E250" s="14">
        <v>45106</v>
      </c>
      <c r="F250" s="14">
        <v>45212</v>
      </c>
      <c r="G250" s="10">
        <v>2498238869</v>
      </c>
      <c r="H250" s="8" t="str">
        <f>IF(Table2[[#This Row],[Kontraktor]]="", "Tidak Diketahui",Table2[[#This Row],[Kontraktor]])</f>
        <v>Tidak Diketahui</v>
      </c>
      <c r="I250" s="11">
        <f>Table245[[#This Row],[Tanggal_Selesai]]-Table245[[#This Row],[Tanggal_Mulai]]</f>
        <v>106</v>
      </c>
      <c r="J250" s="17">
        <f>Table245[[#This Row],[Anggaran]]/Table245[[#This Row],[Durasi_Proyek]]</f>
        <v>23568291.216981132</v>
      </c>
      <c r="K250" s="11">
        <f>YEAR(Table245[[#This Row],[Tanggal_Mulai]])</f>
        <v>2023</v>
      </c>
    </row>
    <row r="251" spans="1:11" ht="14.25" customHeight="1" x14ac:dyDescent="0.35">
      <c r="A251" s="8" t="s">
        <v>302</v>
      </c>
      <c r="B251" s="8" t="str">
        <f>IF(Table2[[#This Row],[Jenis_Proyek]]="", "Tidak Diketahui", Table2[[#This Row],[Jenis_Proyek]])</f>
        <v>Drainase</v>
      </c>
      <c r="C251" s="8" t="str">
        <f>IF(Table2[[#This Row],[Lokasi]]="", "Tidak Diketahui", Table2[[#This Row],[Lokasi]])</f>
        <v>Surabaya</v>
      </c>
      <c r="D251" s="8" t="str">
        <f>IF(Table2[[#This Row],[Nama_Proyek]]="", "Tidak Diketahui", Table2[[#This Row],[Nama_Proyek]])</f>
        <v>Perbaikan Drainase Surabaya</v>
      </c>
      <c r="E251" s="14">
        <v>45107</v>
      </c>
      <c r="F251" s="14">
        <v>45221</v>
      </c>
      <c r="G251" s="10">
        <v>343573944</v>
      </c>
      <c r="H251" s="8" t="str">
        <f>IF(Table2[[#This Row],[Kontraktor]]="", "Tidak Diketahui",Table2[[#This Row],[Kontraktor]])</f>
        <v>PT D</v>
      </c>
      <c r="I251" s="11">
        <f>Table245[[#This Row],[Tanggal_Selesai]]-Table245[[#This Row],[Tanggal_Mulai]]</f>
        <v>114</v>
      </c>
      <c r="J251" s="17">
        <f>Table245[[#This Row],[Anggaran]]/Table245[[#This Row],[Durasi_Proyek]]</f>
        <v>3013806.5263157897</v>
      </c>
      <c r="K251" s="11">
        <f>YEAR(Table245[[#This Row],[Tanggal_Mulai]])</f>
        <v>2023</v>
      </c>
    </row>
    <row r="252" spans="1:11" ht="14.25" customHeight="1" x14ac:dyDescent="0.35">
      <c r="A252" s="8" t="s">
        <v>303</v>
      </c>
      <c r="B252" s="8" t="str">
        <f>IF(Table2[[#This Row],[Jenis_Proyek]]="", "Tidak Diketahui", Table2[[#This Row],[Jenis_Proyek]])</f>
        <v>Jalan Raya</v>
      </c>
      <c r="C252" s="8" t="str">
        <f>IF(Table2[[#This Row],[Lokasi]]="", "Tidak Diketahui", Table2[[#This Row],[Lokasi]])</f>
        <v>Makassar</v>
      </c>
      <c r="D252" s="8" t="str">
        <f>IF(Table2[[#This Row],[Nama_Proyek]]="", "Tidak Diketahui", Table2[[#This Row],[Nama_Proyek]])</f>
        <v>Perbaikan Jalan Raya Makassar</v>
      </c>
      <c r="E252" s="14">
        <v>45111</v>
      </c>
      <c r="F252" s="14">
        <v>45180</v>
      </c>
      <c r="G252" s="10">
        <v>802980870</v>
      </c>
      <c r="H252" s="8" t="str">
        <f>IF(Table2[[#This Row],[Kontraktor]]="", "Tidak Diketahui",Table2[[#This Row],[Kontraktor]])</f>
        <v>PT B</v>
      </c>
      <c r="I252" s="11">
        <f>Table245[[#This Row],[Tanggal_Selesai]]-Table245[[#This Row],[Tanggal_Mulai]]</f>
        <v>69</v>
      </c>
      <c r="J252" s="17">
        <f>Table245[[#This Row],[Anggaran]]/Table245[[#This Row],[Durasi_Proyek]]</f>
        <v>11637403.913043479</v>
      </c>
      <c r="K252" s="11">
        <f>YEAR(Table245[[#This Row],[Tanggal_Mulai]])</f>
        <v>2023</v>
      </c>
    </row>
    <row r="253" spans="1:11" ht="14.25" customHeight="1" x14ac:dyDescent="0.35">
      <c r="A253" s="8" t="s">
        <v>304</v>
      </c>
      <c r="B253" s="8" t="str">
        <f>IF(Table2[[#This Row],[Jenis_Proyek]]="", "Tidak Diketahui", Table2[[#This Row],[Jenis_Proyek]])</f>
        <v>Jembatan</v>
      </c>
      <c r="C253" s="8" t="str">
        <f>IF(Table2[[#This Row],[Lokasi]]="", "Tidak Diketahui", Table2[[#This Row],[Lokasi]])</f>
        <v>Bandung</v>
      </c>
      <c r="D253" s="8" t="str">
        <f>IF(Table2[[#This Row],[Nama_Proyek]]="", "Tidak Diketahui", Table2[[#This Row],[Nama_Proyek]])</f>
        <v>Perbaikan Jembatan Bandung</v>
      </c>
      <c r="E253" s="14">
        <v>45113</v>
      </c>
      <c r="F253" s="14">
        <v>45253</v>
      </c>
      <c r="G253" s="10">
        <v>1132821017</v>
      </c>
      <c r="H253" s="8" t="str">
        <f>IF(Table2[[#This Row],[Kontraktor]]="", "Tidak Diketahui",Table2[[#This Row],[Kontraktor]])</f>
        <v>PT D</v>
      </c>
      <c r="I253" s="11">
        <f>Table245[[#This Row],[Tanggal_Selesai]]-Table245[[#This Row],[Tanggal_Mulai]]</f>
        <v>140</v>
      </c>
      <c r="J253" s="17">
        <f>Table245[[#This Row],[Anggaran]]/Table245[[#This Row],[Durasi_Proyek]]</f>
        <v>8091578.6928571425</v>
      </c>
      <c r="K253" s="11">
        <f>YEAR(Table245[[#This Row],[Tanggal_Mulai]])</f>
        <v>2023</v>
      </c>
    </row>
    <row r="254" spans="1:11" ht="14.25" customHeight="1" x14ac:dyDescent="0.35">
      <c r="A254" s="8" t="s">
        <v>305</v>
      </c>
      <c r="B254" s="8" t="str">
        <f>IF(Table2[[#This Row],[Jenis_Proyek]]="", "Tidak Diketahui", Table2[[#This Row],[Jenis_Proyek]])</f>
        <v>Drainase</v>
      </c>
      <c r="C254" s="8" t="str">
        <f>IF(Table2[[#This Row],[Lokasi]]="", "Tidak Diketahui", Table2[[#This Row],[Lokasi]])</f>
        <v>Depok</v>
      </c>
      <c r="D254" s="8" t="str">
        <f>IF(Table2[[#This Row],[Nama_Proyek]]="", "Tidak Diketahui", Table2[[#This Row],[Nama_Proyek]])</f>
        <v>Perbaikan Drainase Depok</v>
      </c>
      <c r="E254" s="14">
        <v>45114</v>
      </c>
      <c r="F254" s="14">
        <v>45156</v>
      </c>
      <c r="G254" s="10">
        <v>646267645</v>
      </c>
      <c r="H254" s="8" t="str">
        <f>IF(Table2[[#This Row],[Kontraktor]]="", "Tidak Diketahui",Table2[[#This Row],[Kontraktor]])</f>
        <v>PT A</v>
      </c>
      <c r="I254" s="11">
        <f>Table245[[#This Row],[Tanggal_Selesai]]-Table245[[#This Row],[Tanggal_Mulai]]</f>
        <v>42</v>
      </c>
      <c r="J254" s="17">
        <f>Table245[[#This Row],[Anggaran]]/Table245[[#This Row],[Durasi_Proyek]]</f>
        <v>15387324.880952381</v>
      </c>
      <c r="K254" s="11">
        <f>YEAR(Table245[[#This Row],[Tanggal_Mulai]])</f>
        <v>2023</v>
      </c>
    </row>
    <row r="255" spans="1:11" ht="14.25" customHeight="1" x14ac:dyDescent="0.35">
      <c r="A255" s="8" t="s">
        <v>306</v>
      </c>
      <c r="B255" s="8" t="str">
        <f>IF(Table2[[#This Row],[Jenis_Proyek]]="", "Tidak Diketahui", Table2[[#This Row],[Jenis_Proyek]])</f>
        <v>Jembatan</v>
      </c>
      <c r="C255" s="8" t="str">
        <f>IF(Table2[[#This Row],[Lokasi]]="", "Tidak Diketahui", Table2[[#This Row],[Lokasi]])</f>
        <v>Tomohon</v>
      </c>
      <c r="D255" s="8" t="str">
        <f>IF(Table2[[#This Row],[Nama_Proyek]]="", "Tidak Diketahui", Table2[[#This Row],[Nama_Proyek]])</f>
        <v>Pembuatan Jembatan Tomohon</v>
      </c>
      <c r="E255" s="14">
        <v>45115</v>
      </c>
      <c r="F255" s="14">
        <v>45145</v>
      </c>
      <c r="G255" s="10">
        <v>1091849633</v>
      </c>
      <c r="H255" s="8" t="str">
        <f>IF(Table2[[#This Row],[Kontraktor]]="", "Tidak Diketahui",Table2[[#This Row],[Kontraktor]])</f>
        <v>PT C</v>
      </c>
      <c r="I255" s="11">
        <f>Table245[[#This Row],[Tanggal_Selesai]]-Table245[[#This Row],[Tanggal_Mulai]]</f>
        <v>30</v>
      </c>
      <c r="J255" s="17">
        <f>Table245[[#This Row],[Anggaran]]/Table245[[#This Row],[Durasi_Proyek]]</f>
        <v>36394987.766666666</v>
      </c>
      <c r="K255" s="11">
        <f>YEAR(Table245[[#This Row],[Tanggal_Mulai]])</f>
        <v>2023</v>
      </c>
    </row>
    <row r="256" spans="1:11" ht="14.25" customHeight="1" x14ac:dyDescent="0.35">
      <c r="A256" s="8" t="s">
        <v>307</v>
      </c>
      <c r="B256" s="8" t="str">
        <f>IF(Table2[[#This Row],[Jenis_Proyek]]="", "Tidak Diketahui", Table2[[#This Row],[Jenis_Proyek]])</f>
        <v>Jalan Raya</v>
      </c>
      <c r="C256" s="8" t="str">
        <f>IF(Table2[[#This Row],[Lokasi]]="", "Tidak Diketahui", Table2[[#This Row],[Lokasi]])</f>
        <v>Jakarta</v>
      </c>
      <c r="D256" s="8" t="str">
        <f>IF(Table2[[#This Row],[Nama_Proyek]]="", "Tidak Diketahui", Table2[[#This Row],[Nama_Proyek]])</f>
        <v>Perbaikan Jalan Raya Jakarta</v>
      </c>
      <c r="E256" s="14">
        <v>45116</v>
      </c>
      <c r="F256" s="14">
        <v>45158</v>
      </c>
      <c r="G256" s="10">
        <v>969437655</v>
      </c>
      <c r="H256" s="8" t="str">
        <f>IF(Table2[[#This Row],[Kontraktor]]="", "Tidak Diketahui",Table2[[#This Row],[Kontraktor]])</f>
        <v>PT. Lailasari Hariyah (Persero) Tbk</v>
      </c>
      <c r="I256" s="11">
        <f>Table245[[#This Row],[Tanggal_Selesai]]-Table245[[#This Row],[Tanggal_Mulai]]</f>
        <v>42</v>
      </c>
      <c r="J256" s="17">
        <f>Table245[[#This Row],[Anggaran]]/Table245[[#This Row],[Durasi_Proyek]]</f>
        <v>23081848.928571429</v>
      </c>
      <c r="K256" s="11">
        <f>YEAR(Table245[[#This Row],[Tanggal_Mulai]])</f>
        <v>2023</v>
      </c>
    </row>
    <row r="257" spans="1:11" ht="14.25" customHeight="1" x14ac:dyDescent="0.35">
      <c r="A257" s="8" t="s">
        <v>308</v>
      </c>
      <c r="B257" s="8" t="str">
        <f>IF(Table2[[#This Row],[Jenis_Proyek]]="", "Tidak Diketahui", Table2[[#This Row],[Jenis_Proyek]])</f>
        <v>Flyover</v>
      </c>
      <c r="C257" s="8" t="str">
        <f>IF(Table2[[#This Row],[Lokasi]]="", "Tidak Diketahui", Table2[[#This Row],[Lokasi]])</f>
        <v>Surabaya</v>
      </c>
      <c r="D257" s="8" t="str">
        <f>IF(Table2[[#This Row],[Nama_Proyek]]="", "Tidak Diketahui", Table2[[#This Row],[Nama_Proyek]])</f>
        <v>Pembuatan Flyover Surabaya</v>
      </c>
      <c r="E257" s="14">
        <v>45116</v>
      </c>
      <c r="F257" s="14">
        <v>45350</v>
      </c>
      <c r="G257" s="10">
        <v>3165392319</v>
      </c>
      <c r="H257" s="8" t="str">
        <f>IF(Table2[[#This Row],[Kontraktor]]="", "Tidak Diketahui",Table2[[#This Row],[Kontraktor]])</f>
        <v>PT. Lailasari Hariyah (Persero) Tbk</v>
      </c>
      <c r="I257" s="11">
        <f>Table245[[#This Row],[Tanggal_Selesai]]-Table245[[#This Row],[Tanggal_Mulai]]</f>
        <v>234</v>
      </c>
      <c r="J257" s="17">
        <f>Table245[[#This Row],[Anggaran]]/Table245[[#This Row],[Durasi_Proyek]]</f>
        <v>13527317.602564102</v>
      </c>
      <c r="K257" s="11">
        <f>YEAR(Table245[[#This Row],[Tanggal_Mulai]])</f>
        <v>2023</v>
      </c>
    </row>
    <row r="258" spans="1:11" ht="14.25" customHeight="1" x14ac:dyDescent="0.35">
      <c r="A258" s="8" t="s">
        <v>309</v>
      </c>
      <c r="B258" s="8" t="str">
        <f>IF(Table2[[#This Row],[Jenis_Proyek]]="", "Tidak Diketahui", Table2[[#This Row],[Jenis_Proyek]])</f>
        <v>Jembatan</v>
      </c>
      <c r="C258" s="8" t="str">
        <f>IF(Table2[[#This Row],[Lokasi]]="", "Tidak Diketahui", Table2[[#This Row],[Lokasi]])</f>
        <v>Tomohon</v>
      </c>
      <c r="D258" s="8" t="str">
        <f>IF(Table2[[#This Row],[Nama_Proyek]]="", "Tidak Diketahui", Table2[[#This Row],[Nama_Proyek]])</f>
        <v>Perbaikan Jembatan Tomohon</v>
      </c>
      <c r="E258" s="14">
        <v>45117</v>
      </c>
      <c r="F258" s="14">
        <v>45156</v>
      </c>
      <c r="G258" s="10">
        <v>5204534546</v>
      </c>
      <c r="H258" s="8" t="str">
        <f>IF(Table2[[#This Row],[Kontraktor]]="", "Tidak Diketahui",Table2[[#This Row],[Kontraktor]])</f>
        <v>PT. Yuniar Hakim Tbk</v>
      </c>
      <c r="I258" s="11">
        <f>Table245[[#This Row],[Tanggal_Selesai]]-Table245[[#This Row],[Tanggal_Mulai]]</f>
        <v>39</v>
      </c>
      <c r="J258" s="17">
        <f>Table245[[#This Row],[Anggaran]]/Table245[[#This Row],[Durasi_Proyek]]</f>
        <v>133449603.74358974</v>
      </c>
      <c r="K258" s="11">
        <f>YEAR(Table245[[#This Row],[Tanggal_Mulai]])</f>
        <v>2023</v>
      </c>
    </row>
    <row r="259" spans="1:11" ht="14.25" customHeight="1" x14ac:dyDescent="0.35">
      <c r="A259" s="8" t="s">
        <v>310</v>
      </c>
      <c r="B259" s="8" t="str">
        <f>IF(Table2[[#This Row],[Jenis_Proyek]]="", "Tidak Diketahui", Table2[[#This Row],[Jenis_Proyek]])</f>
        <v>Gedung</v>
      </c>
      <c r="C259" s="8" t="str">
        <f>IF(Table2[[#This Row],[Lokasi]]="", "Tidak Diketahui", Table2[[#This Row],[Lokasi]])</f>
        <v>Makassar</v>
      </c>
      <c r="D259" s="8" t="str">
        <f>IF(Table2[[#This Row],[Nama_Proyek]]="", "Tidak Diketahui", Table2[[#This Row],[Nama_Proyek]])</f>
        <v>Perbaikan Gedung Pemerintah Makassar</v>
      </c>
      <c r="E259" s="14">
        <v>45118</v>
      </c>
      <c r="F259" s="14">
        <v>45288</v>
      </c>
      <c r="G259" s="10">
        <v>3942664693</v>
      </c>
      <c r="H259" s="8" t="str">
        <f>IF(Table2[[#This Row],[Kontraktor]]="", "Tidak Diketahui",Table2[[#This Row],[Kontraktor]])</f>
        <v>PT A</v>
      </c>
      <c r="I259" s="11">
        <f>Table245[[#This Row],[Tanggal_Selesai]]-Table245[[#This Row],[Tanggal_Mulai]]</f>
        <v>170</v>
      </c>
      <c r="J259" s="17">
        <f>Table245[[#This Row],[Anggaran]]/Table245[[#This Row],[Durasi_Proyek]]</f>
        <v>23192145.252941176</v>
      </c>
      <c r="K259" s="11">
        <f>YEAR(Table245[[#This Row],[Tanggal_Mulai]])</f>
        <v>2023</v>
      </c>
    </row>
    <row r="260" spans="1:11" ht="14.25" customHeight="1" x14ac:dyDescent="0.35">
      <c r="A260" s="8" t="s">
        <v>311</v>
      </c>
      <c r="B260" s="8" t="str">
        <f>IF(Table2[[#This Row],[Jenis_Proyek]]="", "Tidak Diketahui", Table2[[#This Row],[Jenis_Proyek]])</f>
        <v>Flyover</v>
      </c>
      <c r="C260" s="8" t="str">
        <f>IF(Table2[[#This Row],[Lokasi]]="", "Tidak Diketahui", Table2[[#This Row],[Lokasi]])</f>
        <v>Makassar</v>
      </c>
      <c r="D260" s="8" t="str">
        <f>IF(Table2[[#This Row],[Nama_Proyek]]="", "Tidak Diketahui", Table2[[#This Row],[Nama_Proyek]])</f>
        <v>Pembuatan Flyover Makassar</v>
      </c>
      <c r="E260" s="14">
        <v>45118</v>
      </c>
      <c r="F260" s="14">
        <v>45256</v>
      </c>
      <c r="G260" s="10">
        <v>1996986704</v>
      </c>
      <c r="H260" s="8" t="str">
        <f>IF(Table2[[#This Row],[Kontraktor]]="", "Tidak Diketahui",Table2[[#This Row],[Kontraktor]])</f>
        <v>PT C</v>
      </c>
      <c r="I260" s="11">
        <f>Table245[[#This Row],[Tanggal_Selesai]]-Table245[[#This Row],[Tanggal_Mulai]]</f>
        <v>138</v>
      </c>
      <c r="J260" s="17">
        <f>Table245[[#This Row],[Anggaran]]/Table245[[#This Row],[Durasi_Proyek]]</f>
        <v>14470918.144927537</v>
      </c>
      <c r="K260" s="11">
        <f>YEAR(Table245[[#This Row],[Tanggal_Mulai]])</f>
        <v>2023</v>
      </c>
    </row>
    <row r="261" spans="1:11" ht="14.25" customHeight="1" x14ac:dyDescent="0.35">
      <c r="A261" s="8" t="s">
        <v>312</v>
      </c>
      <c r="B261" s="8" t="str">
        <f>IF(Table2[[#This Row],[Jenis_Proyek]]="", "Tidak Diketahui", Table2[[#This Row],[Jenis_Proyek]])</f>
        <v>Jembatan</v>
      </c>
      <c r="C261" s="8" t="str">
        <f>IF(Table2[[#This Row],[Lokasi]]="", "Tidak Diketahui", Table2[[#This Row],[Lokasi]])</f>
        <v>Jakarta</v>
      </c>
      <c r="D261" s="8" t="str">
        <f>IF(Table2[[#This Row],[Nama_Proyek]]="", "Tidak Diketahui", Table2[[#This Row],[Nama_Proyek]])</f>
        <v>Perbaikan Jembatan Jakarta</v>
      </c>
      <c r="E261" s="14">
        <v>45118</v>
      </c>
      <c r="F261" s="14">
        <v>45394</v>
      </c>
      <c r="G261" s="10">
        <v>1005719572</v>
      </c>
      <c r="H261" s="8" t="str">
        <f>IF(Table2[[#This Row],[Kontraktor]]="", "Tidak Diketahui",Table2[[#This Row],[Kontraktor]])</f>
        <v>PT. Lailasari Hariyah (Persero) Tbk</v>
      </c>
      <c r="I261" s="11">
        <f>Table245[[#This Row],[Tanggal_Selesai]]-Table245[[#This Row],[Tanggal_Mulai]]</f>
        <v>276</v>
      </c>
      <c r="J261" s="17">
        <f>Table245[[#This Row],[Anggaran]]/Table245[[#This Row],[Durasi_Proyek]]</f>
        <v>3643911.4927536231</v>
      </c>
      <c r="K261" s="11">
        <f>YEAR(Table245[[#This Row],[Tanggal_Mulai]])</f>
        <v>2023</v>
      </c>
    </row>
    <row r="262" spans="1:11" ht="14.25" customHeight="1" x14ac:dyDescent="0.35">
      <c r="A262" s="8" t="s">
        <v>313</v>
      </c>
      <c r="B262" s="8" t="str">
        <f>IF(Table2[[#This Row],[Jenis_Proyek]]="", "Tidak Diketahui", Table2[[#This Row],[Jenis_Proyek]])</f>
        <v>Flyover</v>
      </c>
      <c r="C262" s="8" t="str">
        <f>IF(Table2[[#This Row],[Lokasi]]="", "Tidak Diketahui", Table2[[#This Row],[Lokasi]])</f>
        <v>Makassar</v>
      </c>
      <c r="D262" s="8" t="str">
        <f>IF(Table2[[#This Row],[Nama_Proyek]]="", "Tidak Diketahui", Table2[[#This Row],[Nama_Proyek]])</f>
        <v>Perbaikan Flyover Makassar</v>
      </c>
      <c r="E262" s="14">
        <v>45118</v>
      </c>
      <c r="F262" s="14">
        <v>45180</v>
      </c>
      <c r="G262" s="10">
        <v>4155376448</v>
      </c>
      <c r="H262" s="8" t="str">
        <f>IF(Table2[[#This Row],[Kontraktor]]="", "Tidak Diketahui",Table2[[#This Row],[Kontraktor]])</f>
        <v>PT D</v>
      </c>
      <c r="I262" s="11">
        <f>Table245[[#This Row],[Tanggal_Selesai]]-Table245[[#This Row],[Tanggal_Mulai]]</f>
        <v>62</v>
      </c>
      <c r="J262" s="17">
        <f>Table245[[#This Row],[Anggaran]]/Table245[[#This Row],[Durasi_Proyek]]</f>
        <v>67022200.774193548</v>
      </c>
      <c r="K262" s="11">
        <f>YEAR(Table245[[#This Row],[Tanggal_Mulai]])</f>
        <v>2023</v>
      </c>
    </row>
    <row r="263" spans="1:11" ht="14.25" customHeight="1" x14ac:dyDescent="0.35">
      <c r="A263" s="8" t="s">
        <v>314</v>
      </c>
      <c r="B263" s="8" t="str">
        <f>IF(Table2[[#This Row],[Jenis_Proyek]]="", "Tidak Diketahui", Table2[[#This Row],[Jenis_Proyek]])</f>
        <v>Gedung</v>
      </c>
      <c r="C263" s="8" t="str">
        <f>IF(Table2[[#This Row],[Lokasi]]="", "Tidak Diketahui", Table2[[#This Row],[Lokasi]])</f>
        <v>Bau-Bau</v>
      </c>
      <c r="D263" s="8" t="str">
        <f>IF(Table2[[#This Row],[Nama_Proyek]]="", "Tidak Diketahui", Table2[[#This Row],[Nama_Proyek]])</f>
        <v>Perbaikan Gedung Pemerintah Bau-Bau</v>
      </c>
      <c r="E263" s="14">
        <v>45118</v>
      </c>
      <c r="F263" s="14">
        <v>45452</v>
      </c>
      <c r="G263" s="10">
        <v>6519755129</v>
      </c>
      <c r="H263" s="8" t="str">
        <f>IF(Table2[[#This Row],[Kontraktor]]="", "Tidak Diketahui",Table2[[#This Row],[Kontraktor]])</f>
        <v>PT B</v>
      </c>
      <c r="I263" s="11">
        <f>Table245[[#This Row],[Tanggal_Selesai]]-Table245[[#This Row],[Tanggal_Mulai]]</f>
        <v>334</v>
      </c>
      <c r="J263" s="17">
        <f>Table245[[#This Row],[Anggaran]]/Table245[[#This Row],[Durasi_Proyek]]</f>
        <v>19520224.93712575</v>
      </c>
      <c r="K263" s="11">
        <f>YEAR(Table245[[#This Row],[Tanggal_Mulai]])</f>
        <v>2023</v>
      </c>
    </row>
    <row r="264" spans="1:11" ht="14.25" customHeight="1" x14ac:dyDescent="0.35">
      <c r="A264" s="8" t="s">
        <v>315</v>
      </c>
      <c r="B264" s="8" t="str">
        <f>IF(Table2[[#This Row],[Jenis_Proyek]]="", "Tidak Diketahui", Table2[[#This Row],[Jenis_Proyek]])</f>
        <v>Jalan Raya</v>
      </c>
      <c r="C264" s="8" t="str">
        <f>IF(Table2[[#This Row],[Lokasi]]="", "Tidak Diketahui", Table2[[#This Row],[Lokasi]])</f>
        <v>Makassar</v>
      </c>
      <c r="D264" s="8" t="str">
        <f>IF(Table2[[#This Row],[Nama_Proyek]]="", "Tidak Diketahui", Table2[[#This Row],[Nama_Proyek]])</f>
        <v>Perbaikan Jalan Raya Makassar</v>
      </c>
      <c r="E264" s="14">
        <v>45119</v>
      </c>
      <c r="F264" s="14">
        <v>45427</v>
      </c>
      <c r="G264" s="10">
        <v>509824821</v>
      </c>
      <c r="H264" s="8" t="str">
        <f>IF(Table2[[#This Row],[Kontraktor]]="", "Tidak Diketahui",Table2[[#This Row],[Kontraktor]])</f>
        <v>PT C</v>
      </c>
      <c r="I264" s="11">
        <f>Table245[[#This Row],[Tanggal_Selesai]]-Table245[[#This Row],[Tanggal_Mulai]]</f>
        <v>308</v>
      </c>
      <c r="J264" s="17">
        <f>Table245[[#This Row],[Anggaran]]/Table245[[#This Row],[Durasi_Proyek]]</f>
        <v>1655275.392857143</v>
      </c>
      <c r="K264" s="11">
        <f>YEAR(Table245[[#This Row],[Tanggal_Mulai]])</f>
        <v>2023</v>
      </c>
    </row>
    <row r="265" spans="1:11" ht="14.25" customHeight="1" x14ac:dyDescent="0.35">
      <c r="A265" s="8" t="s">
        <v>316</v>
      </c>
      <c r="B265" s="8" t="str">
        <f>IF(Table2[[#This Row],[Jenis_Proyek]]="", "Tidak Diketahui", Table2[[#This Row],[Jenis_Proyek]])</f>
        <v>Flyover</v>
      </c>
      <c r="C265" s="8" t="str">
        <f>IF(Table2[[#This Row],[Lokasi]]="", "Tidak Diketahui", Table2[[#This Row],[Lokasi]])</f>
        <v>Jakarta</v>
      </c>
      <c r="D265" s="8" t="str">
        <f>IF(Table2[[#This Row],[Nama_Proyek]]="", "Tidak Diketahui", Table2[[#This Row],[Nama_Proyek]])</f>
        <v>Perbaikan Flyover Jakarta</v>
      </c>
      <c r="E265" s="14">
        <v>45119</v>
      </c>
      <c r="F265" s="14">
        <v>45218</v>
      </c>
      <c r="G265" s="10">
        <v>4249269902</v>
      </c>
      <c r="H265" s="8" t="str">
        <f>IF(Table2[[#This Row],[Kontraktor]]="", "Tidak Diketahui",Table2[[#This Row],[Kontraktor]])</f>
        <v>Tidak Diketahui</v>
      </c>
      <c r="I265" s="11">
        <f>Table245[[#This Row],[Tanggal_Selesai]]-Table245[[#This Row],[Tanggal_Mulai]]</f>
        <v>99</v>
      </c>
      <c r="J265" s="17">
        <f>Table245[[#This Row],[Anggaran]]/Table245[[#This Row],[Durasi_Proyek]]</f>
        <v>42921918.202020206</v>
      </c>
      <c r="K265" s="11">
        <f>YEAR(Table245[[#This Row],[Tanggal_Mulai]])</f>
        <v>2023</v>
      </c>
    </row>
    <row r="266" spans="1:11" ht="14.25" customHeight="1" x14ac:dyDescent="0.35">
      <c r="A266" s="8" t="s">
        <v>317</v>
      </c>
      <c r="B266" s="8" t="str">
        <f>IF(Table2[[#This Row],[Jenis_Proyek]]="", "Tidak Diketahui", Table2[[#This Row],[Jenis_Proyek]])</f>
        <v>Flyover</v>
      </c>
      <c r="C266" s="8" t="str">
        <f>IF(Table2[[#This Row],[Lokasi]]="", "Tidak Diketahui", Table2[[#This Row],[Lokasi]])</f>
        <v>Medan</v>
      </c>
      <c r="D266" s="8" t="str">
        <f>IF(Table2[[#This Row],[Nama_Proyek]]="", "Tidak Diketahui", Table2[[#This Row],[Nama_Proyek]])</f>
        <v>Pembuatan Flyover Medan</v>
      </c>
      <c r="E266" s="14">
        <v>45120</v>
      </c>
      <c r="F266" s="14">
        <v>45223</v>
      </c>
      <c r="G266" s="10">
        <v>2236844121</v>
      </c>
      <c r="H266" s="8" t="str">
        <f>IF(Table2[[#This Row],[Kontraktor]]="", "Tidak Diketahui",Table2[[#This Row],[Kontraktor]])</f>
        <v>PT. Lailasari Hariyah (Persero) Tbk</v>
      </c>
      <c r="I266" s="11">
        <f>Table245[[#This Row],[Tanggal_Selesai]]-Table245[[#This Row],[Tanggal_Mulai]]</f>
        <v>103</v>
      </c>
      <c r="J266" s="17">
        <f>Table245[[#This Row],[Anggaran]]/Table245[[#This Row],[Durasi_Proyek]]</f>
        <v>21716933.213592231</v>
      </c>
      <c r="K266" s="11">
        <f>YEAR(Table245[[#This Row],[Tanggal_Mulai]])</f>
        <v>2023</v>
      </c>
    </row>
    <row r="267" spans="1:11" ht="14.25" customHeight="1" x14ac:dyDescent="0.35">
      <c r="A267" s="8" t="s">
        <v>318</v>
      </c>
      <c r="B267" s="8" t="str">
        <f>IF(Table2[[#This Row],[Jenis_Proyek]]="", "Tidak Diketahui", Table2[[#This Row],[Jenis_Proyek]])</f>
        <v>Jalan Raya</v>
      </c>
      <c r="C267" s="8" t="str">
        <f>IF(Table2[[#This Row],[Lokasi]]="", "Tidak Diketahui", Table2[[#This Row],[Lokasi]])</f>
        <v>Depok</v>
      </c>
      <c r="D267" s="8" t="str">
        <f>IF(Table2[[#This Row],[Nama_Proyek]]="", "Tidak Diketahui", Table2[[#This Row],[Nama_Proyek]])</f>
        <v>Perbaikan Jalan Raya Depok</v>
      </c>
      <c r="E267" s="14">
        <v>45121</v>
      </c>
      <c r="F267" s="14">
        <v>45176</v>
      </c>
      <c r="G267" s="10">
        <v>369427315</v>
      </c>
      <c r="H267" s="8" t="str">
        <f>IF(Table2[[#This Row],[Kontraktor]]="", "Tidak Diketahui",Table2[[#This Row],[Kontraktor]])</f>
        <v>PT. Yuniar Hakim Tbk</v>
      </c>
      <c r="I267" s="11">
        <f>Table245[[#This Row],[Tanggal_Selesai]]-Table245[[#This Row],[Tanggal_Mulai]]</f>
        <v>55</v>
      </c>
      <c r="J267" s="17">
        <f>Table245[[#This Row],[Anggaran]]/Table245[[#This Row],[Durasi_Proyek]]</f>
        <v>6716860.2727272725</v>
      </c>
      <c r="K267" s="11">
        <f>YEAR(Table245[[#This Row],[Tanggal_Mulai]])</f>
        <v>2023</v>
      </c>
    </row>
    <row r="268" spans="1:11" ht="14.25" customHeight="1" x14ac:dyDescent="0.35">
      <c r="A268" s="8" t="s">
        <v>319</v>
      </c>
      <c r="B268" s="8" t="str">
        <f>IF(Table2[[#This Row],[Jenis_Proyek]]="", "Tidak Diketahui", Table2[[#This Row],[Jenis_Proyek]])</f>
        <v>Jembatan</v>
      </c>
      <c r="C268" s="8" t="str">
        <f>IF(Table2[[#This Row],[Lokasi]]="", "Tidak Diketahui", Table2[[#This Row],[Lokasi]])</f>
        <v>Depok</v>
      </c>
      <c r="D268" s="8" t="str">
        <f>IF(Table2[[#This Row],[Nama_Proyek]]="", "Tidak Diketahui", Table2[[#This Row],[Nama_Proyek]])</f>
        <v>Perbaikan Jembatan Depok</v>
      </c>
      <c r="E268" s="14">
        <v>45121</v>
      </c>
      <c r="F268" s="14">
        <v>45161</v>
      </c>
      <c r="G268" s="10">
        <v>3688243132</v>
      </c>
      <c r="H268" s="8" t="str">
        <f>IF(Table2[[#This Row],[Kontraktor]]="", "Tidak Diketahui",Table2[[#This Row],[Kontraktor]])</f>
        <v>PT. Lailasari Hariyah (Persero) Tbk</v>
      </c>
      <c r="I268" s="11">
        <f>Table245[[#This Row],[Tanggal_Selesai]]-Table245[[#This Row],[Tanggal_Mulai]]</f>
        <v>40</v>
      </c>
      <c r="J268" s="17">
        <f>Table245[[#This Row],[Anggaran]]/Table245[[#This Row],[Durasi_Proyek]]</f>
        <v>92206078.299999997</v>
      </c>
      <c r="K268" s="11">
        <f>YEAR(Table245[[#This Row],[Tanggal_Mulai]])</f>
        <v>2023</v>
      </c>
    </row>
    <row r="269" spans="1:11" ht="14.25" customHeight="1" x14ac:dyDescent="0.35">
      <c r="A269" s="8" t="s">
        <v>320</v>
      </c>
      <c r="B269" s="8" t="str">
        <f>IF(Table2[[#This Row],[Jenis_Proyek]]="", "Tidak Diketahui", Table2[[#This Row],[Jenis_Proyek]])</f>
        <v>Jalan Raya</v>
      </c>
      <c r="C269" s="8" t="str">
        <f>IF(Table2[[#This Row],[Lokasi]]="", "Tidak Diketahui", Table2[[#This Row],[Lokasi]])</f>
        <v>Surabaya</v>
      </c>
      <c r="D269" s="8" t="str">
        <f>IF(Table2[[#This Row],[Nama_Proyek]]="", "Tidak Diketahui", Table2[[#This Row],[Nama_Proyek]])</f>
        <v>Perbaikan Jalan Raya Surabaya</v>
      </c>
      <c r="E269" s="14">
        <v>45123</v>
      </c>
      <c r="F269" s="14">
        <v>45315</v>
      </c>
      <c r="G269" s="10">
        <v>381166441</v>
      </c>
      <c r="H269" s="8" t="str">
        <f>IF(Table2[[#This Row],[Kontraktor]]="", "Tidak Diketahui",Table2[[#This Row],[Kontraktor]])</f>
        <v>PT C</v>
      </c>
      <c r="I269" s="11">
        <f>Table245[[#This Row],[Tanggal_Selesai]]-Table245[[#This Row],[Tanggal_Mulai]]</f>
        <v>192</v>
      </c>
      <c r="J269" s="17">
        <f>Table245[[#This Row],[Anggaran]]/Table245[[#This Row],[Durasi_Proyek]]</f>
        <v>1985241.8802083333</v>
      </c>
      <c r="K269" s="11">
        <f>YEAR(Table245[[#This Row],[Tanggal_Mulai]])</f>
        <v>2023</v>
      </c>
    </row>
    <row r="270" spans="1:11" ht="14.25" customHeight="1" x14ac:dyDescent="0.35">
      <c r="A270" s="8" t="s">
        <v>321</v>
      </c>
      <c r="B270" s="8" t="str">
        <f>IF(Table2[[#This Row],[Jenis_Proyek]]="", "Tidak Diketahui", Table2[[#This Row],[Jenis_Proyek]])</f>
        <v>Drainase</v>
      </c>
      <c r="C270" s="8" t="str">
        <f>IF(Table2[[#This Row],[Lokasi]]="", "Tidak Diketahui", Table2[[#This Row],[Lokasi]])</f>
        <v>Tomohon</v>
      </c>
      <c r="D270" s="8" t="str">
        <f>IF(Table2[[#This Row],[Nama_Proyek]]="", "Tidak Diketahui", Table2[[#This Row],[Nama_Proyek]])</f>
        <v>Perbaikan Drainase Tomohon</v>
      </c>
      <c r="E270" s="14">
        <v>45124</v>
      </c>
      <c r="F270" s="14">
        <v>45421</v>
      </c>
      <c r="G270" s="10">
        <v>604130639</v>
      </c>
      <c r="H270" s="8" t="str">
        <f>IF(Table2[[#This Row],[Kontraktor]]="", "Tidak Diketahui",Table2[[#This Row],[Kontraktor]])</f>
        <v>Tidak Diketahui</v>
      </c>
      <c r="I270" s="11">
        <f>Table245[[#This Row],[Tanggal_Selesai]]-Table245[[#This Row],[Tanggal_Mulai]]</f>
        <v>297</v>
      </c>
      <c r="J270" s="17">
        <f>Table245[[#This Row],[Anggaran]]/Table245[[#This Row],[Durasi_Proyek]]</f>
        <v>2034109.8956228956</v>
      </c>
      <c r="K270" s="11">
        <f>YEAR(Table245[[#This Row],[Tanggal_Mulai]])</f>
        <v>2023</v>
      </c>
    </row>
    <row r="271" spans="1:11" ht="14.25" customHeight="1" x14ac:dyDescent="0.35">
      <c r="A271" s="8" t="s">
        <v>322</v>
      </c>
      <c r="B271" s="8" t="str">
        <f>IF(Table2[[#This Row],[Jenis_Proyek]]="", "Tidak Diketahui", Table2[[#This Row],[Jenis_Proyek]])</f>
        <v>Jalan Raya</v>
      </c>
      <c r="C271" s="8" t="str">
        <f>IF(Table2[[#This Row],[Lokasi]]="", "Tidak Diketahui", Table2[[#This Row],[Lokasi]])</f>
        <v>Medan</v>
      </c>
      <c r="D271" s="8" t="str">
        <f>IF(Table2[[#This Row],[Nama_Proyek]]="", "Tidak Diketahui", Table2[[#This Row],[Nama_Proyek]])</f>
        <v>Perbaikan Jalan Raya Medan</v>
      </c>
      <c r="E271" s="14">
        <v>45124</v>
      </c>
      <c r="F271" s="14">
        <v>45258</v>
      </c>
      <c r="G271" s="10">
        <v>283236486</v>
      </c>
      <c r="H271" s="8" t="str">
        <f>IF(Table2[[#This Row],[Kontraktor]]="", "Tidak Diketahui",Table2[[#This Row],[Kontraktor]])</f>
        <v>CV Sihombing</v>
      </c>
      <c r="I271" s="11">
        <f>Table245[[#This Row],[Tanggal_Selesai]]-Table245[[#This Row],[Tanggal_Mulai]]</f>
        <v>134</v>
      </c>
      <c r="J271" s="17">
        <f>Table245[[#This Row],[Anggaran]]/Table245[[#This Row],[Durasi_Proyek]]</f>
        <v>2113705.1194029851</v>
      </c>
      <c r="K271" s="11">
        <f>YEAR(Table245[[#This Row],[Tanggal_Mulai]])</f>
        <v>2023</v>
      </c>
    </row>
    <row r="272" spans="1:11" ht="14.25" customHeight="1" x14ac:dyDescent="0.35">
      <c r="A272" s="8" t="s">
        <v>323</v>
      </c>
      <c r="B272" s="8" t="str">
        <f>IF(Table2[[#This Row],[Jenis_Proyek]]="", "Tidak Diketahui", Table2[[#This Row],[Jenis_Proyek]])</f>
        <v>Drainase</v>
      </c>
      <c r="C272" s="8" t="str">
        <f>IF(Table2[[#This Row],[Lokasi]]="", "Tidak Diketahui", Table2[[#This Row],[Lokasi]])</f>
        <v>Bau-Bau</v>
      </c>
      <c r="D272" s="8" t="str">
        <f>IF(Table2[[#This Row],[Nama_Proyek]]="", "Tidak Diketahui", Table2[[#This Row],[Nama_Proyek]])</f>
        <v>Perbaikan Drainase Bau-Bau</v>
      </c>
      <c r="E272" s="14">
        <v>45124</v>
      </c>
      <c r="F272" s="14">
        <v>45269</v>
      </c>
      <c r="G272" s="10">
        <v>288462185</v>
      </c>
      <c r="H272" s="8" t="str">
        <f>IF(Table2[[#This Row],[Kontraktor]]="", "Tidak Diketahui",Table2[[#This Row],[Kontraktor]])</f>
        <v>PT B</v>
      </c>
      <c r="I272" s="11">
        <f>Table245[[#This Row],[Tanggal_Selesai]]-Table245[[#This Row],[Tanggal_Mulai]]</f>
        <v>145</v>
      </c>
      <c r="J272" s="17">
        <f>Table245[[#This Row],[Anggaran]]/Table245[[#This Row],[Durasi_Proyek]]</f>
        <v>1989394.3793103448</v>
      </c>
      <c r="K272" s="11">
        <f>YEAR(Table245[[#This Row],[Tanggal_Mulai]])</f>
        <v>2023</v>
      </c>
    </row>
    <row r="273" spans="1:11" ht="14.25" customHeight="1" x14ac:dyDescent="0.35">
      <c r="A273" s="8" t="s">
        <v>324</v>
      </c>
      <c r="B273" s="8" t="str">
        <f>IF(Table2[[#This Row],[Jenis_Proyek]]="", "Tidak Diketahui", Table2[[#This Row],[Jenis_Proyek]])</f>
        <v>Jalan Raya</v>
      </c>
      <c r="C273" s="8" t="str">
        <f>IF(Table2[[#This Row],[Lokasi]]="", "Tidak Diketahui", Table2[[#This Row],[Lokasi]])</f>
        <v>Bandung</v>
      </c>
      <c r="D273" s="8" t="str">
        <f>IF(Table2[[#This Row],[Nama_Proyek]]="", "Tidak Diketahui", Table2[[#This Row],[Nama_Proyek]])</f>
        <v>Perbaikan Jalan Raya Bandung</v>
      </c>
      <c r="E273" s="14">
        <v>45125</v>
      </c>
      <c r="F273" s="14">
        <v>45419</v>
      </c>
      <c r="G273" s="10">
        <v>706008565</v>
      </c>
      <c r="H273" s="8" t="str">
        <f>IF(Table2[[#This Row],[Kontraktor]]="", "Tidak Diketahui",Table2[[#This Row],[Kontraktor]])</f>
        <v>PT C</v>
      </c>
      <c r="I273" s="11">
        <f>Table245[[#This Row],[Tanggal_Selesai]]-Table245[[#This Row],[Tanggal_Mulai]]</f>
        <v>294</v>
      </c>
      <c r="J273" s="17">
        <f>Table245[[#This Row],[Anggaran]]/Table245[[#This Row],[Durasi_Proyek]]</f>
        <v>2401389.6768707484</v>
      </c>
      <c r="K273" s="11">
        <f>YEAR(Table245[[#This Row],[Tanggal_Mulai]])</f>
        <v>2023</v>
      </c>
    </row>
    <row r="274" spans="1:11" ht="14.25" customHeight="1" x14ac:dyDescent="0.35">
      <c r="A274" s="8" t="s">
        <v>325</v>
      </c>
      <c r="B274" s="8" t="str">
        <f>IF(Table2[[#This Row],[Jenis_Proyek]]="", "Tidak Diketahui", Table2[[#This Row],[Jenis_Proyek]])</f>
        <v>Jembatan</v>
      </c>
      <c r="C274" s="8" t="str">
        <f>IF(Table2[[#This Row],[Lokasi]]="", "Tidak Diketahui", Table2[[#This Row],[Lokasi]])</f>
        <v>Jakarta</v>
      </c>
      <c r="D274" s="8" t="str">
        <f>IF(Table2[[#This Row],[Nama_Proyek]]="", "Tidak Diketahui", Table2[[#This Row],[Nama_Proyek]])</f>
        <v>Pembuatan Jembatan Jakarta</v>
      </c>
      <c r="E274" s="14">
        <v>45125</v>
      </c>
      <c r="F274" s="14">
        <v>45317</v>
      </c>
      <c r="G274" s="10">
        <v>3442468253</v>
      </c>
      <c r="H274" s="8" t="str">
        <f>IF(Table2[[#This Row],[Kontraktor]]="", "Tidak Diketahui",Table2[[#This Row],[Kontraktor]])</f>
        <v>PT C</v>
      </c>
      <c r="I274" s="11">
        <f>Table245[[#This Row],[Tanggal_Selesai]]-Table245[[#This Row],[Tanggal_Mulai]]</f>
        <v>192</v>
      </c>
      <c r="J274" s="17">
        <f>Table245[[#This Row],[Anggaran]]/Table245[[#This Row],[Durasi_Proyek]]</f>
        <v>17929522.151041668</v>
      </c>
      <c r="K274" s="11">
        <f>YEAR(Table245[[#This Row],[Tanggal_Mulai]])</f>
        <v>2023</v>
      </c>
    </row>
    <row r="275" spans="1:11" ht="14.25" customHeight="1" x14ac:dyDescent="0.35">
      <c r="A275" s="8" t="s">
        <v>326</v>
      </c>
      <c r="B275" s="8" t="str">
        <f>IF(Table2[[#This Row],[Jenis_Proyek]]="", "Tidak Diketahui", Table2[[#This Row],[Jenis_Proyek]])</f>
        <v>Flyover</v>
      </c>
      <c r="C275" s="8" t="str">
        <f>IF(Table2[[#This Row],[Lokasi]]="", "Tidak Diketahui", Table2[[#This Row],[Lokasi]])</f>
        <v>Surabaya</v>
      </c>
      <c r="D275" s="8" t="str">
        <f>IF(Table2[[#This Row],[Nama_Proyek]]="", "Tidak Diketahui", Table2[[#This Row],[Nama_Proyek]])</f>
        <v>Pembuatan Flyover Surabaya</v>
      </c>
      <c r="E275" s="14">
        <v>45125</v>
      </c>
      <c r="F275" s="14">
        <v>45188</v>
      </c>
      <c r="G275" s="10">
        <v>2233995238</v>
      </c>
      <c r="H275" s="8" t="str">
        <f>IF(Table2[[#This Row],[Kontraktor]]="", "Tidak Diketahui",Table2[[#This Row],[Kontraktor]])</f>
        <v>PT B</v>
      </c>
      <c r="I275" s="11">
        <f>Table245[[#This Row],[Tanggal_Selesai]]-Table245[[#This Row],[Tanggal_Mulai]]</f>
        <v>63</v>
      </c>
      <c r="J275" s="17">
        <f>Table245[[#This Row],[Anggaran]]/Table245[[#This Row],[Durasi_Proyek]]</f>
        <v>35460241.873015873</v>
      </c>
      <c r="K275" s="11">
        <f>YEAR(Table245[[#This Row],[Tanggal_Mulai]])</f>
        <v>2023</v>
      </c>
    </row>
    <row r="276" spans="1:11" ht="14.25" customHeight="1" x14ac:dyDescent="0.35">
      <c r="A276" s="8" t="s">
        <v>327</v>
      </c>
      <c r="B276" s="8" t="str">
        <f>IF(Table2[[#This Row],[Jenis_Proyek]]="", "Tidak Diketahui", Table2[[#This Row],[Jenis_Proyek]])</f>
        <v>Drainase</v>
      </c>
      <c r="C276" s="8" t="str">
        <f>IF(Table2[[#This Row],[Lokasi]]="", "Tidak Diketahui", Table2[[#This Row],[Lokasi]])</f>
        <v>Tomohon</v>
      </c>
      <c r="D276" s="8" t="str">
        <f>IF(Table2[[#This Row],[Nama_Proyek]]="", "Tidak Diketahui", Table2[[#This Row],[Nama_Proyek]])</f>
        <v>Perbaikan Drainase Tomohon</v>
      </c>
      <c r="E276" s="14">
        <v>45125</v>
      </c>
      <c r="F276" s="14">
        <v>45277</v>
      </c>
      <c r="G276" s="10">
        <v>579386663</v>
      </c>
      <c r="H276" s="8" t="str">
        <f>IF(Table2[[#This Row],[Kontraktor]]="", "Tidak Diketahui",Table2[[#This Row],[Kontraktor]])</f>
        <v>PT B</v>
      </c>
      <c r="I276" s="11">
        <f>Table245[[#This Row],[Tanggal_Selesai]]-Table245[[#This Row],[Tanggal_Mulai]]</f>
        <v>152</v>
      </c>
      <c r="J276" s="17">
        <f>Table245[[#This Row],[Anggaran]]/Table245[[#This Row],[Durasi_Proyek]]</f>
        <v>3811754.3618421052</v>
      </c>
      <c r="K276" s="11">
        <f>YEAR(Table245[[#This Row],[Tanggal_Mulai]])</f>
        <v>2023</v>
      </c>
    </row>
    <row r="277" spans="1:11" ht="14.25" customHeight="1" x14ac:dyDescent="0.35">
      <c r="A277" s="8" t="s">
        <v>328</v>
      </c>
      <c r="B277" s="8" t="str">
        <f>IF(Table2[[#This Row],[Jenis_Proyek]]="", "Tidak Diketahui", Table2[[#This Row],[Jenis_Proyek]])</f>
        <v>Gedung</v>
      </c>
      <c r="C277" s="8" t="str">
        <f>IF(Table2[[#This Row],[Lokasi]]="", "Tidak Diketahui", Table2[[#This Row],[Lokasi]])</f>
        <v>Depok</v>
      </c>
      <c r="D277" s="8" t="str">
        <f>IF(Table2[[#This Row],[Nama_Proyek]]="", "Tidak Diketahui", Table2[[#This Row],[Nama_Proyek]])</f>
        <v>Perbaikan Gedung Pemerintah Depok</v>
      </c>
      <c r="E277" s="14">
        <v>45125</v>
      </c>
      <c r="F277" s="14">
        <v>45327</v>
      </c>
      <c r="G277" s="10">
        <v>2892512480</v>
      </c>
      <c r="H277" s="8" t="str">
        <f>IF(Table2[[#This Row],[Kontraktor]]="", "Tidak Diketahui",Table2[[#This Row],[Kontraktor]])</f>
        <v>PT B</v>
      </c>
      <c r="I277" s="11">
        <f>Table245[[#This Row],[Tanggal_Selesai]]-Table245[[#This Row],[Tanggal_Mulai]]</f>
        <v>202</v>
      </c>
      <c r="J277" s="17">
        <f>Table245[[#This Row],[Anggaran]]/Table245[[#This Row],[Durasi_Proyek]]</f>
        <v>14319368.712871287</v>
      </c>
      <c r="K277" s="11">
        <f>YEAR(Table245[[#This Row],[Tanggal_Mulai]])</f>
        <v>2023</v>
      </c>
    </row>
    <row r="278" spans="1:11" ht="14.25" customHeight="1" x14ac:dyDescent="0.35">
      <c r="A278" s="8" t="s">
        <v>329</v>
      </c>
      <c r="B278" s="8" t="str">
        <f>IF(Table2[[#This Row],[Jenis_Proyek]]="", "Tidak Diketahui", Table2[[#This Row],[Jenis_Proyek]])</f>
        <v>Jembatan</v>
      </c>
      <c r="C278" s="8" t="str">
        <f>IF(Table2[[#This Row],[Lokasi]]="", "Tidak Diketahui", Table2[[#This Row],[Lokasi]])</f>
        <v>Bandung</v>
      </c>
      <c r="D278" s="8" t="str">
        <f>IF(Table2[[#This Row],[Nama_Proyek]]="", "Tidak Diketahui", Table2[[#This Row],[Nama_Proyek]])</f>
        <v>Perbaikan Jembatan Bandung</v>
      </c>
      <c r="E278" s="14">
        <v>45126</v>
      </c>
      <c r="F278" s="14">
        <v>45187</v>
      </c>
      <c r="G278" s="10">
        <v>1731360253</v>
      </c>
      <c r="H278" s="8" t="str">
        <f>IF(Table2[[#This Row],[Kontraktor]]="", "Tidak Diketahui",Table2[[#This Row],[Kontraktor]])</f>
        <v>PT. Yuniar Hakim Tbk</v>
      </c>
      <c r="I278" s="11">
        <f>Table245[[#This Row],[Tanggal_Selesai]]-Table245[[#This Row],[Tanggal_Mulai]]</f>
        <v>61</v>
      </c>
      <c r="J278" s="17">
        <f>Table245[[#This Row],[Anggaran]]/Table245[[#This Row],[Durasi_Proyek]]</f>
        <v>28382954.967213117</v>
      </c>
      <c r="K278" s="11">
        <f>YEAR(Table245[[#This Row],[Tanggal_Mulai]])</f>
        <v>2023</v>
      </c>
    </row>
    <row r="279" spans="1:11" ht="14.25" customHeight="1" x14ac:dyDescent="0.35">
      <c r="A279" s="8" t="s">
        <v>330</v>
      </c>
      <c r="B279" s="8" t="str">
        <f>IF(Table2[[#This Row],[Jenis_Proyek]]="", "Tidak Diketahui", Table2[[#This Row],[Jenis_Proyek]])</f>
        <v>Flyover</v>
      </c>
      <c r="C279" s="8" t="str">
        <f>IF(Table2[[#This Row],[Lokasi]]="", "Tidak Diketahui", Table2[[#This Row],[Lokasi]])</f>
        <v>Bandung</v>
      </c>
      <c r="D279" s="8" t="str">
        <f>IF(Table2[[#This Row],[Nama_Proyek]]="", "Tidak Diketahui", Table2[[#This Row],[Nama_Proyek]])</f>
        <v>Pembuatan Flyover Bandung</v>
      </c>
      <c r="E279" s="14">
        <v>45128</v>
      </c>
      <c r="F279" s="14">
        <v>45204</v>
      </c>
      <c r="G279" s="10">
        <v>4702380798</v>
      </c>
      <c r="H279" s="8" t="str">
        <f>IF(Table2[[#This Row],[Kontraktor]]="", "Tidak Diketahui",Table2[[#This Row],[Kontraktor]])</f>
        <v>PT C</v>
      </c>
      <c r="I279" s="11">
        <f>Table245[[#This Row],[Tanggal_Selesai]]-Table245[[#This Row],[Tanggal_Mulai]]</f>
        <v>76</v>
      </c>
      <c r="J279" s="17">
        <f>Table245[[#This Row],[Anggaran]]/Table245[[#This Row],[Durasi_Proyek]]</f>
        <v>61873431.552631579</v>
      </c>
      <c r="K279" s="11">
        <f>YEAR(Table245[[#This Row],[Tanggal_Mulai]])</f>
        <v>2023</v>
      </c>
    </row>
    <row r="280" spans="1:11" ht="14.25" customHeight="1" x14ac:dyDescent="0.35">
      <c r="A280" s="8" t="s">
        <v>331</v>
      </c>
      <c r="B280" s="8" t="str">
        <f>IF(Table2[[#This Row],[Jenis_Proyek]]="", "Tidak Diketahui", Table2[[#This Row],[Jenis_Proyek]])</f>
        <v>Gedung</v>
      </c>
      <c r="C280" s="8" t="str">
        <f>IF(Table2[[#This Row],[Lokasi]]="", "Tidak Diketahui", Table2[[#This Row],[Lokasi]])</f>
        <v>Bau-Bau</v>
      </c>
      <c r="D280" s="8" t="str">
        <f>IF(Table2[[#This Row],[Nama_Proyek]]="", "Tidak Diketahui", Table2[[#This Row],[Nama_Proyek]])</f>
        <v>Perbaikan Gedung Pemerintah Bau-Bau</v>
      </c>
      <c r="E280" s="14">
        <v>45128</v>
      </c>
      <c r="F280" s="14">
        <v>45275</v>
      </c>
      <c r="G280" s="10">
        <v>1321857853</v>
      </c>
      <c r="H280" s="8" t="str">
        <f>IF(Table2[[#This Row],[Kontraktor]]="", "Tidak Diketahui",Table2[[#This Row],[Kontraktor]])</f>
        <v>CV Sihombing</v>
      </c>
      <c r="I280" s="11">
        <f>Table245[[#This Row],[Tanggal_Selesai]]-Table245[[#This Row],[Tanggal_Mulai]]</f>
        <v>147</v>
      </c>
      <c r="J280" s="17">
        <f>Table245[[#This Row],[Anggaran]]/Table245[[#This Row],[Durasi_Proyek]]</f>
        <v>8992230.2925170064</v>
      </c>
      <c r="K280" s="11">
        <f>YEAR(Table245[[#This Row],[Tanggal_Mulai]])</f>
        <v>2023</v>
      </c>
    </row>
    <row r="281" spans="1:11" ht="14.25" customHeight="1" x14ac:dyDescent="0.35">
      <c r="A281" s="8" t="s">
        <v>332</v>
      </c>
      <c r="B281" s="8" t="str">
        <f>IF(Table2[[#This Row],[Jenis_Proyek]]="", "Tidak Diketahui", Table2[[#This Row],[Jenis_Proyek]])</f>
        <v>Jembatan</v>
      </c>
      <c r="C281" s="8" t="str">
        <f>IF(Table2[[#This Row],[Lokasi]]="", "Tidak Diketahui", Table2[[#This Row],[Lokasi]])</f>
        <v>Jakarta</v>
      </c>
      <c r="D281" s="8" t="str">
        <f>IF(Table2[[#This Row],[Nama_Proyek]]="", "Tidak Diketahui", Table2[[#This Row],[Nama_Proyek]])</f>
        <v>Pembuatan Jembatan Jakarta</v>
      </c>
      <c r="E281" s="14">
        <v>45128</v>
      </c>
      <c r="F281" s="14">
        <v>45188</v>
      </c>
      <c r="G281" s="10">
        <v>4256914338</v>
      </c>
      <c r="H281" s="8" t="str">
        <f>IF(Table2[[#This Row],[Kontraktor]]="", "Tidak Diketahui",Table2[[#This Row],[Kontraktor]])</f>
        <v>PT B</v>
      </c>
      <c r="I281" s="11">
        <f>Table245[[#This Row],[Tanggal_Selesai]]-Table245[[#This Row],[Tanggal_Mulai]]</f>
        <v>60</v>
      </c>
      <c r="J281" s="17">
        <f>Table245[[#This Row],[Anggaran]]/Table245[[#This Row],[Durasi_Proyek]]</f>
        <v>70948572.299999997</v>
      </c>
      <c r="K281" s="11">
        <f>YEAR(Table245[[#This Row],[Tanggal_Mulai]])</f>
        <v>2023</v>
      </c>
    </row>
    <row r="282" spans="1:11" ht="14.25" customHeight="1" x14ac:dyDescent="0.35">
      <c r="A282" s="8" t="s">
        <v>333</v>
      </c>
      <c r="B282" s="8" t="str">
        <f>IF(Table2[[#This Row],[Jenis_Proyek]]="", "Tidak Diketahui", Table2[[#This Row],[Jenis_Proyek]])</f>
        <v>Drainase</v>
      </c>
      <c r="C282" s="8" t="str">
        <f>IF(Table2[[#This Row],[Lokasi]]="", "Tidak Diketahui", Table2[[#This Row],[Lokasi]])</f>
        <v>Bau-Bau</v>
      </c>
      <c r="D282" s="8" t="str">
        <f>IF(Table2[[#This Row],[Nama_Proyek]]="", "Tidak Diketahui", Table2[[#This Row],[Nama_Proyek]])</f>
        <v>Perbaikan Drainase Bau-Bau</v>
      </c>
      <c r="E282" s="14">
        <v>45128</v>
      </c>
      <c r="F282" s="14">
        <v>45492</v>
      </c>
      <c r="G282" s="10">
        <v>202438902</v>
      </c>
      <c r="H282" s="8" t="str">
        <f>IF(Table2[[#This Row],[Kontraktor]]="", "Tidak Diketahui",Table2[[#This Row],[Kontraktor]])</f>
        <v>PT C</v>
      </c>
      <c r="I282" s="11">
        <f>Table245[[#This Row],[Tanggal_Selesai]]-Table245[[#This Row],[Tanggal_Mulai]]</f>
        <v>364</v>
      </c>
      <c r="J282" s="17">
        <f>Table245[[#This Row],[Anggaran]]/Table245[[#This Row],[Durasi_Proyek]]</f>
        <v>556150.82967032969</v>
      </c>
      <c r="K282" s="11">
        <f>YEAR(Table245[[#This Row],[Tanggal_Mulai]])</f>
        <v>2023</v>
      </c>
    </row>
    <row r="283" spans="1:11" ht="14.25" customHeight="1" x14ac:dyDescent="0.35">
      <c r="A283" s="8" t="s">
        <v>334</v>
      </c>
      <c r="B283" s="8" t="str">
        <f>IF(Table2[[#This Row],[Jenis_Proyek]]="", "Tidak Diketahui", Table2[[#This Row],[Jenis_Proyek]])</f>
        <v>Gedung</v>
      </c>
      <c r="C283" s="8" t="str">
        <f>IF(Table2[[#This Row],[Lokasi]]="", "Tidak Diketahui", Table2[[#This Row],[Lokasi]])</f>
        <v>Bandung</v>
      </c>
      <c r="D283" s="8" t="str">
        <f>IF(Table2[[#This Row],[Nama_Proyek]]="", "Tidak Diketahui", Table2[[#This Row],[Nama_Proyek]])</f>
        <v>Perbaikan Gedung Pemerintah Bandung</v>
      </c>
      <c r="E283" s="14">
        <v>45129</v>
      </c>
      <c r="F283" s="14">
        <v>45264</v>
      </c>
      <c r="G283" s="10">
        <v>7153815573</v>
      </c>
      <c r="H283" s="8" t="str">
        <f>IF(Table2[[#This Row],[Kontraktor]]="", "Tidak Diketahui",Table2[[#This Row],[Kontraktor]])</f>
        <v>CV Sihombing</v>
      </c>
      <c r="I283" s="11">
        <f>Table245[[#This Row],[Tanggal_Selesai]]-Table245[[#This Row],[Tanggal_Mulai]]</f>
        <v>135</v>
      </c>
      <c r="J283" s="17">
        <f>Table245[[#This Row],[Anggaran]]/Table245[[#This Row],[Durasi_Proyek]]</f>
        <v>52991226.466666669</v>
      </c>
      <c r="K283" s="11">
        <f>YEAR(Table245[[#This Row],[Tanggal_Mulai]])</f>
        <v>2023</v>
      </c>
    </row>
    <row r="284" spans="1:11" ht="14.25" customHeight="1" x14ac:dyDescent="0.35">
      <c r="A284" s="8" t="s">
        <v>335</v>
      </c>
      <c r="B284" s="8" t="str">
        <f>IF(Table2[[#This Row],[Jenis_Proyek]]="", "Tidak Diketahui", Table2[[#This Row],[Jenis_Proyek]])</f>
        <v>Flyover</v>
      </c>
      <c r="C284" s="8" t="str">
        <f>IF(Table2[[#This Row],[Lokasi]]="", "Tidak Diketahui", Table2[[#This Row],[Lokasi]])</f>
        <v>Depok</v>
      </c>
      <c r="D284" s="8" t="str">
        <f>IF(Table2[[#This Row],[Nama_Proyek]]="", "Tidak Diketahui", Table2[[#This Row],[Nama_Proyek]])</f>
        <v>Pembuatan Flyover Depok</v>
      </c>
      <c r="E284" s="14">
        <v>45129</v>
      </c>
      <c r="F284" s="14">
        <v>45285</v>
      </c>
      <c r="G284" s="10">
        <v>2210232440</v>
      </c>
      <c r="H284" s="8" t="str">
        <f>IF(Table2[[#This Row],[Kontraktor]]="", "Tidak Diketahui",Table2[[#This Row],[Kontraktor]])</f>
        <v>PT. Yuniar Hakim Tbk</v>
      </c>
      <c r="I284" s="11">
        <f>Table245[[#This Row],[Tanggal_Selesai]]-Table245[[#This Row],[Tanggal_Mulai]]</f>
        <v>156</v>
      </c>
      <c r="J284" s="17">
        <f>Table245[[#This Row],[Anggaran]]/Table245[[#This Row],[Durasi_Proyek]]</f>
        <v>14168156.666666666</v>
      </c>
      <c r="K284" s="11">
        <f>YEAR(Table245[[#This Row],[Tanggal_Mulai]])</f>
        <v>2023</v>
      </c>
    </row>
    <row r="285" spans="1:11" ht="14.25" customHeight="1" x14ac:dyDescent="0.35">
      <c r="A285" s="8" t="s">
        <v>336</v>
      </c>
      <c r="B285" s="8" t="str">
        <f>IF(Table2[[#This Row],[Jenis_Proyek]]="", "Tidak Diketahui", Table2[[#This Row],[Jenis_Proyek]])</f>
        <v>Jembatan</v>
      </c>
      <c r="C285" s="8" t="str">
        <f>IF(Table2[[#This Row],[Lokasi]]="", "Tidak Diketahui", Table2[[#This Row],[Lokasi]])</f>
        <v>Medan</v>
      </c>
      <c r="D285" s="8" t="str">
        <f>IF(Table2[[#This Row],[Nama_Proyek]]="", "Tidak Diketahui", Table2[[#This Row],[Nama_Proyek]])</f>
        <v>Perbaikan Jembatan Medan</v>
      </c>
      <c r="E285" s="14">
        <v>45129</v>
      </c>
      <c r="F285" s="14">
        <v>45310</v>
      </c>
      <c r="G285" s="10">
        <v>2045004222</v>
      </c>
      <c r="H285" s="8" t="str">
        <f>IF(Table2[[#This Row],[Kontraktor]]="", "Tidak Diketahui",Table2[[#This Row],[Kontraktor]])</f>
        <v>PT B</v>
      </c>
      <c r="I285" s="11">
        <f>Table245[[#This Row],[Tanggal_Selesai]]-Table245[[#This Row],[Tanggal_Mulai]]</f>
        <v>181</v>
      </c>
      <c r="J285" s="17">
        <f>Table245[[#This Row],[Anggaran]]/Table245[[#This Row],[Durasi_Proyek]]</f>
        <v>11298365.867403315</v>
      </c>
      <c r="K285" s="11">
        <f>YEAR(Table245[[#This Row],[Tanggal_Mulai]])</f>
        <v>2023</v>
      </c>
    </row>
    <row r="286" spans="1:11" ht="14.25" customHeight="1" x14ac:dyDescent="0.35">
      <c r="A286" s="8" t="s">
        <v>337</v>
      </c>
      <c r="B286" s="8" t="str">
        <f>IF(Table2[[#This Row],[Jenis_Proyek]]="", "Tidak Diketahui", Table2[[#This Row],[Jenis_Proyek]])</f>
        <v>Jalan Raya</v>
      </c>
      <c r="C286" s="8" t="str">
        <f>IF(Table2[[#This Row],[Lokasi]]="", "Tidak Diketahui", Table2[[#This Row],[Lokasi]])</f>
        <v>Medan</v>
      </c>
      <c r="D286" s="8" t="str">
        <f>IF(Table2[[#This Row],[Nama_Proyek]]="", "Tidak Diketahui", Table2[[#This Row],[Nama_Proyek]])</f>
        <v>Perbaikan Jalan Raya Medan</v>
      </c>
      <c r="E286" s="14">
        <v>45130</v>
      </c>
      <c r="F286" s="14">
        <v>45445</v>
      </c>
      <c r="G286" s="10">
        <v>607111213</v>
      </c>
      <c r="H286" s="8" t="str">
        <f>IF(Table2[[#This Row],[Kontraktor]]="", "Tidak Diketahui",Table2[[#This Row],[Kontraktor]])</f>
        <v>PT. Yuniar Hakim Tbk</v>
      </c>
      <c r="I286" s="11">
        <f>Table245[[#This Row],[Tanggal_Selesai]]-Table245[[#This Row],[Tanggal_Mulai]]</f>
        <v>315</v>
      </c>
      <c r="J286" s="17">
        <f>Table245[[#This Row],[Anggaran]]/Table245[[#This Row],[Durasi_Proyek]]</f>
        <v>1927337.1841269841</v>
      </c>
      <c r="K286" s="11">
        <f>YEAR(Table245[[#This Row],[Tanggal_Mulai]])</f>
        <v>2023</v>
      </c>
    </row>
    <row r="287" spans="1:11" ht="14.25" customHeight="1" x14ac:dyDescent="0.35">
      <c r="A287" s="8" t="s">
        <v>338</v>
      </c>
      <c r="B287" s="8" t="str">
        <f>IF(Table2[[#This Row],[Jenis_Proyek]]="", "Tidak Diketahui", Table2[[#This Row],[Jenis_Proyek]])</f>
        <v>Jalan Raya</v>
      </c>
      <c r="C287" s="8" t="str">
        <f>IF(Table2[[#This Row],[Lokasi]]="", "Tidak Diketahui", Table2[[#This Row],[Lokasi]])</f>
        <v>Bandung</v>
      </c>
      <c r="D287" s="8" t="str">
        <f>IF(Table2[[#This Row],[Nama_Proyek]]="", "Tidak Diketahui", Table2[[#This Row],[Nama_Proyek]])</f>
        <v>Perbaikan Jalan Raya Bandung</v>
      </c>
      <c r="E287" s="14">
        <v>45130</v>
      </c>
      <c r="F287" s="14">
        <v>45407</v>
      </c>
      <c r="G287" s="10">
        <v>378250495</v>
      </c>
      <c r="H287" s="8" t="str">
        <f>IF(Table2[[#This Row],[Kontraktor]]="", "Tidak Diketahui",Table2[[#This Row],[Kontraktor]])</f>
        <v>PT. Lailasari Hariyah (Persero) Tbk</v>
      </c>
      <c r="I287" s="11">
        <f>Table245[[#This Row],[Tanggal_Selesai]]-Table245[[#This Row],[Tanggal_Mulai]]</f>
        <v>277</v>
      </c>
      <c r="J287" s="17">
        <f>Table245[[#This Row],[Anggaran]]/Table245[[#This Row],[Durasi_Proyek]]</f>
        <v>1365525.2527075813</v>
      </c>
      <c r="K287" s="11">
        <f>YEAR(Table245[[#This Row],[Tanggal_Mulai]])</f>
        <v>2023</v>
      </c>
    </row>
    <row r="288" spans="1:11" ht="14.25" customHeight="1" x14ac:dyDescent="0.35">
      <c r="A288" s="8" t="s">
        <v>339</v>
      </c>
      <c r="B288" s="8" t="str">
        <f>IF(Table2[[#This Row],[Jenis_Proyek]]="", "Tidak Diketahui", Table2[[#This Row],[Jenis_Proyek]])</f>
        <v>Drainase</v>
      </c>
      <c r="C288" s="8" t="str">
        <f>IF(Table2[[#This Row],[Lokasi]]="", "Tidak Diketahui", Table2[[#This Row],[Lokasi]])</f>
        <v>Medan</v>
      </c>
      <c r="D288" s="8" t="str">
        <f>IF(Table2[[#This Row],[Nama_Proyek]]="", "Tidak Diketahui", Table2[[#This Row],[Nama_Proyek]])</f>
        <v>Perbaikan Drainase Medan</v>
      </c>
      <c r="E288" s="14">
        <v>45130</v>
      </c>
      <c r="F288" s="14">
        <v>45277</v>
      </c>
      <c r="G288" s="10">
        <v>225164187</v>
      </c>
      <c r="H288" s="8" t="str">
        <f>IF(Table2[[#This Row],[Kontraktor]]="", "Tidak Diketahui",Table2[[#This Row],[Kontraktor]])</f>
        <v>Tidak Diketahui</v>
      </c>
      <c r="I288" s="11">
        <f>Table245[[#This Row],[Tanggal_Selesai]]-Table245[[#This Row],[Tanggal_Mulai]]</f>
        <v>147</v>
      </c>
      <c r="J288" s="17">
        <f>Table245[[#This Row],[Anggaran]]/Table245[[#This Row],[Durasi_Proyek]]</f>
        <v>1531729.163265306</v>
      </c>
      <c r="K288" s="11">
        <f>YEAR(Table245[[#This Row],[Tanggal_Mulai]])</f>
        <v>2023</v>
      </c>
    </row>
    <row r="289" spans="1:11" ht="14.25" customHeight="1" x14ac:dyDescent="0.35">
      <c r="A289" s="8" t="s">
        <v>340</v>
      </c>
      <c r="B289" s="8" t="str">
        <f>IF(Table2[[#This Row],[Jenis_Proyek]]="", "Tidak Diketahui", Table2[[#This Row],[Jenis_Proyek]])</f>
        <v>Jembatan</v>
      </c>
      <c r="C289" s="8" t="str">
        <f>IF(Table2[[#This Row],[Lokasi]]="", "Tidak Diketahui", Table2[[#This Row],[Lokasi]])</f>
        <v>Bandung</v>
      </c>
      <c r="D289" s="8" t="str">
        <f>IF(Table2[[#This Row],[Nama_Proyek]]="", "Tidak Diketahui", Table2[[#This Row],[Nama_Proyek]])</f>
        <v>Perbaikan Jembatan Bandung</v>
      </c>
      <c r="E289" s="14">
        <v>45130</v>
      </c>
      <c r="F289" s="14">
        <v>45465</v>
      </c>
      <c r="G289" s="10">
        <v>4178594822</v>
      </c>
      <c r="H289" s="8" t="str">
        <f>IF(Table2[[#This Row],[Kontraktor]]="", "Tidak Diketahui",Table2[[#This Row],[Kontraktor]])</f>
        <v>PT. Yuniar Hakim Tbk</v>
      </c>
      <c r="I289" s="11">
        <f>Table245[[#This Row],[Tanggal_Selesai]]-Table245[[#This Row],[Tanggal_Mulai]]</f>
        <v>335</v>
      </c>
      <c r="J289" s="17">
        <f>Table245[[#This Row],[Anggaran]]/Table245[[#This Row],[Durasi_Proyek]]</f>
        <v>12473417.379104478</v>
      </c>
      <c r="K289" s="11">
        <f>YEAR(Table245[[#This Row],[Tanggal_Mulai]])</f>
        <v>2023</v>
      </c>
    </row>
    <row r="290" spans="1:11" ht="14.25" customHeight="1" x14ac:dyDescent="0.35">
      <c r="A290" s="8" t="s">
        <v>341</v>
      </c>
      <c r="B290" s="8" t="str">
        <f>IF(Table2[[#This Row],[Jenis_Proyek]]="", "Tidak Diketahui", Table2[[#This Row],[Jenis_Proyek]])</f>
        <v>Jalan Raya</v>
      </c>
      <c r="C290" s="8" t="str">
        <f>IF(Table2[[#This Row],[Lokasi]]="", "Tidak Diketahui", Table2[[#This Row],[Lokasi]])</f>
        <v>Tomohon</v>
      </c>
      <c r="D290" s="8" t="str">
        <f>IF(Table2[[#This Row],[Nama_Proyek]]="", "Tidak Diketahui", Table2[[#This Row],[Nama_Proyek]])</f>
        <v>Perbaikan Jalan Raya Tomohon</v>
      </c>
      <c r="E290" s="14">
        <v>45131</v>
      </c>
      <c r="F290" s="14">
        <v>45228</v>
      </c>
      <c r="G290" s="10">
        <v>660225526</v>
      </c>
      <c r="H290" s="8" t="str">
        <f>IF(Table2[[#This Row],[Kontraktor]]="", "Tidak Diketahui",Table2[[#This Row],[Kontraktor]])</f>
        <v>PT C</v>
      </c>
      <c r="I290" s="11">
        <f>Table245[[#This Row],[Tanggal_Selesai]]-Table245[[#This Row],[Tanggal_Mulai]]</f>
        <v>97</v>
      </c>
      <c r="J290" s="17">
        <f>Table245[[#This Row],[Anggaran]]/Table245[[#This Row],[Durasi_Proyek]]</f>
        <v>6806448.7216494847</v>
      </c>
      <c r="K290" s="11">
        <f>YEAR(Table245[[#This Row],[Tanggal_Mulai]])</f>
        <v>2023</v>
      </c>
    </row>
    <row r="291" spans="1:11" ht="14.25" customHeight="1" x14ac:dyDescent="0.35">
      <c r="A291" s="8" t="s">
        <v>342</v>
      </c>
      <c r="B291" s="8" t="str">
        <f>IF(Table2[[#This Row],[Jenis_Proyek]]="", "Tidak Diketahui", Table2[[#This Row],[Jenis_Proyek]])</f>
        <v>Jembatan</v>
      </c>
      <c r="C291" s="8" t="str">
        <f>IF(Table2[[#This Row],[Lokasi]]="", "Tidak Diketahui", Table2[[#This Row],[Lokasi]])</f>
        <v>Depok</v>
      </c>
      <c r="D291" s="8" t="str">
        <f>IF(Table2[[#This Row],[Nama_Proyek]]="", "Tidak Diketahui", Table2[[#This Row],[Nama_Proyek]])</f>
        <v>Pembuatan Jembatan Depok</v>
      </c>
      <c r="E291" s="14">
        <v>45131</v>
      </c>
      <c r="F291" s="14">
        <v>45411</v>
      </c>
      <c r="G291" s="10">
        <v>6255723631</v>
      </c>
      <c r="H291" s="8" t="str">
        <f>IF(Table2[[#This Row],[Kontraktor]]="", "Tidak Diketahui",Table2[[#This Row],[Kontraktor]])</f>
        <v>PT C</v>
      </c>
      <c r="I291" s="11">
        <f>Table245[[#This Row],[Tanggal_Selesai]]-Table245[[#This Row],[Tanggal_Mulai]]</f>
        <v>280</v>
      </c>
      <c r="J291" s="17">
        <f>Table245[[#This Row],[Anggaran]]/Table245[[#This Row],[Durasi_Proyek]]</f>
        <v>22341870.110714287</v>
      </c>
      <c r="K291" s="11">
        <f>YEAR(Table245[[#This Row],[Tanggal_Mulai]])</f>
        <v>2023</v>
      </c>
    </row>
    <row r="292" spans="1:11" ht="14.25" customHeight="1" x14ac:dyDescent="0.35">
      <c r="A292" s="8" t="s">
        <v>343</v>
      </c>
      <c r="B292" s="8" t="str">
        <f>IF(Table2[[#This Row],[Jenis_Proyek]]="", "Tidak Diketahui", Table2[[#This Row],[Jenis_Proyek]])</f>
        <v>Flyover</v>
      </c>
      <c r="C292" s="8" t="str">
        <f>IF(Table2[[#This Row],[Lokasi]]="", "Tidak Diketahui", Table2[[#This Row],[Lokasi]])</f>
        <v>Jakarta</v>
      </c>
      <c r="D292" s="8" t="str">
        <f>IF(Table2[[#This Row],[Nama_Proyek]]="", "Tidak Diketahui", Table2[[#This Row],[Nama_Proyek]])</f>
        <v>Pembuatan Flyover Jakarta</v>
      </c>
      <c r="E292" s="14">
        <v>45131</v>
      </c>
      <c r="F292" s="14">
        <v>45271</v>
      </c>
      <c r="G292" s="10">
        <v>1935087556</v>
      </c>
      <c r="H292" s="8" t="str">
        <f>IF(Table2[[#This Row],[Kontraktor]]="", "Tidak Diketahui",Table2[[#This Row],[Kontraktor]])</f>
        <v>CV Sihombing</v>
      </c>
      <c r="I292" s="11">
        <f>Table245[[#This Row],[Tanggal_Selesai]]-Table245[[#This Row],[Tanggal_Mulai]]</f>
        <v>140</v>
      </c>
      <c r="J292" s="17">
        <f>Table245[[#This Row],[Anggaran]]/Table245[[#This Row],[Durasi_Proyek]]</f>
        <v>13822053.971428571</v>
      </c>
      <c r="K292" s="11">
        <f>YEAR(Table245[[#This Row],[Tanggal_Mulai]])</f>
        <v>2023</v>
      </c>
    </row>
    <row r="293" spans="1:11" ht="14.25" customHeight="1" x14ac:dyDescent="0.35">
      <c r="A293" s="8" t="s">
        <v>344</v>
      </c>
      <c r="B293" s="8" t="str">
        <f>IF(Table2[[#This Row],[Jenis_Proyek]]="", "Tidak Diketahui", Table2[[#This Row],[Jenis_Proyek]])</f>
        <v>Jembatan</v>
      </c>
      <c r="C293" s="8" t="str">
        <f>IF(Table2[[#This Row],[Lokasi]]="", "Tidak Diketahui", Table2[[#This Row],[Lokasi]])</f>
        <v>Makassar</v>
      </c>
      <c r="D293" s="8" t="str">
        <f>IF(Table2[[#This Row],[Nama_Proyek]]="", "Tidak Diketahui", Table2[[#This Row],[Nama_Proyek]])</f>
        <v>Perbaikan Jembatan Makassar</v>
      </c>
      <c r="E293" s="14">
        <v>45133</v>
      </c>
      <c r="F293" s="14">
        <v>45384</v>
      </c>
      <c r="G293" s="10">
        <v>6639282641</v>
      </c>
      <c r="H293" s="8" t="str">
        <f>IF(Table2[[#This Row],[Kontraktor]]="", "Tidak Diketahui",Table2[[#This Row],[Kontraktor]])</f>
        <v>PT A</v>
      </c>
      <c r="I293" s="11">
        <f>Table245[[#This Row],[Tanggal_Selesai]]-Table245[[#This Row],[Tanggal_Mulai]]</f>
        <v>251</v>
      </c>
      <c r="J293" s="17">
        <f>Table245[[#This Row],[Anggaran]]/Table245[[#This Row],[Durasi_Proyek]]</f>
        <v>26451325.262948208</v>
      </c>
      <c r="K293" s="11">
        <f>YEAR(Table245[[#This Row],[Tanggal_Mulai]])</f>
        <v>2023</v>
      </c>
    </row>
    <row r="294" spans="1:11" ht="14.25" customHeight="1" x14ac:dyDescent="0.35">
      <c r="A294" s="8" t="s">
        <v>345</v>
      </c>
      <c r="B294" s="8" t="str">
        <f>IF(Table2[[#This Row],[Jenis_Proyek]]="", "Tidak Diketahui", Table2[[#This Row],[Jenis_Proyek]])</f>
        <v>Gedung</v>
      </c>
      <c r="C294" s="8" t="str">
        <f>IF(Table2[[#This Row],[Lokasi]]="", "Tidak Diketahui", Table2[[#This Row],[Lokasi]])</f>
        <v>Surabaya</v>
      </c>
      <c r="D294" s="8" t="str">
        <f>IF(Table2[[#This Row],[Nama_Proyek]]="", "Tidak Diketahui", Table2[[#This Row],[Nama_Proyek]])</f>
        <v>Perbaikan Gedung Pemerintah Surabaya</v>
      </c>
      <c r="E294" s="14">
        <v>45133</v>
      </c>
      <c r="F294" s="14">
        <v>45429</v>
      </c>
      <c r="G294" s="10">
        <v>1341304566</v>
      </c>
      <c r="H294" s="8" t="str">
        <f>IF(Table2[[#This Row],[Kontraktor]]="", "Tidak Diketahui",Table2[[#This Row],[Kontraktor]])</f>
        <v>PT B</v>
      </c>
      <c r="I294" s="11">
        <f>Table245[[#This Row],[Tanggal_Selesai]]-Table245[[#This Row],[Tanggal_Mulai]]</f>
        <v>296</v>
      </c>
      <c r="J294" s="17">
        <f>Table245[[#This Row],[Anggaran]]/Table245[[#This Row],[Durasi_Proyek]]</f>
        <v>4531434.344594595</v>
      </c>
      <c r="K294" s="11">
        <f>YEAR(Table245[[#This Row],[Tanggal_Mulai]])</f>
        <v>2023</v>
      </c>
    </row>
    <row r="295" spans="1:11" ht="14.25" customHeight="1" x14ac:dyDescent="0.35">
      <c r="A295" s="8" t="s">
        <v>346</v>
      </c>
      <c r="B295" s="8" t="str">
        <f>IF(Table2[[#This Row],[Jenis_Proyek]]="", "Tidak Diketahui", Table2[[#This Row],[Jenis_Proyek]])</f>
        <v>Jembatan</v>
      </c>
      <c r="C295" s="8" t="str">
        <f>IF(Table2[[#This Row],[Lokasi]]="", "Tidak Diketahui", Table2[[#This Row],[Lokasi]])</f>
        <v>Medan</v>
      </c>
      <c r="D295" s="8" t="str">
        <f>IF(Table2[[#This Row],[Nama_Proyek]]="", "Tidak Diketahui", Table2[[#This Row],[Nama_Proyek]])</f>
        <v>Pembuatan Jembatan Medan</v>
      </c>
      <c r="E295" s="14">
        <v>45135</v>
      </c>
      <c r="F295" s="14">
        <v>45168</v>
      </c>
      <c r="G295" s="10">
        <v>1482129947</v>
      </c>
      <c r="H295" s="8" t="str">
        <f>IF(Table2[[#This Row],[Kontraktor]]="", "Tidak Diketahui",Table2[[#This Row],[Kontraktor]])</f>
        <v>PT D</v>
      </c>
      <c r="I295" s="11">
        <f>Table245[[#This Row],[Tanggal_Selesai]]-Table245[[#This Row],[Tanggal_Mulai]]</f>
        <v>33</v>
      </c>
      <c r="J295" s="17">
        <f>Table245[[#This Row],[Anggaran]]/Table245[[#This Row],[Durasi_Proyek]]</f>
        <v>44913028.696969695</v>
      </c>
      <c r="K295" s="11">
        <f>YEAR(Table245[[#This Row],[Tanggal_Mulai]])</f>
        <v>2023</v>
      </c>
    </row>
    <row r="296" spans="1:11" ht="14.25" customHeight="1" x14ac:dyDescent="0.35">
      <c r="A296" s="8" t="s">
        <v>347</v>
      </c>
      <c r="B296" s="8" t="str">
        <f>IF(Table2[[#This Row],[Jenis_Proyek]]="", "Tidak Diketahui", Table2[[#This Row],[Jenis_Proyek]])</f>
        <v>Jembatan</v>
      </c>
      <c r="C296" s="8" t="str">
        <f>IF(Table2[[#This Row],[Lokasi]]="", "Tidak Diketahui", Table2[[#This Row],[Lokasi]])</f>
        <v>Medan</v>
      </c>
      <c r="D296" s="8" t="str">
        <f>IF(Table2[[#This Row],[Nama_Proyek]]="", "Tidak Diketahui", Table2[[#This Row],[Nama_Proyek]])</f>
        <v>Pembuatan Jembatan Medan</v>
      </c>
      <c r="E296" s="14">
        <v>45135</v>
      </c>
      <c r="F296" s="14">
        <v>45240</v>
      </c>
      <c r="G296" s="10">
        <v>5134610940</v>
      </c>
      <c r="H296" s="8" t="str">
        <f>IF(Table2[[#This Row],[Kontraktor]]="", "Tidak Diketahui",Table2[[#This Row],[Kontraktor]])</f>
        <v>CV Sihombing</v>
      </c>
      <c r="I296" s="11">
        <f>Table245[[#This Row],[Tanggal_Selesai]]-Table245[[#This Row],[Tanggal_Mulai]]</f>
        <v>105</v>
      </c>
      <c r="J296" s="17">
        <f>Table245[[#This Row],[Anggaran]]/Table245[[#This Row],[Durasi_Proyek]]</f>
        <v>48901056.571428575</v>
      </c>
      <c r="K296" s="11">
        <f>YEAR(Table245[[#This Row],[Tanggal_Mulai]])</f>
        <v>2023</v>
      </c>
    </row>
    <row r="297" spans="1:11" ht="14.25" customHeight="1" x14ac:dyDescent="0.35">
      <c r="A297" s="8" t="s">
        <v>348</v>
      </c>
      <c r="B297" s="8" t="str">
        <f>IF(Table2[[#This Row],[Jenis_Proyek]]="", "Tidak Diketahui", Table2[[#This Row],[Jenis_Proyek]])</f>
        <v>Jalan Raya</v>
      </c>
      <c r="C297" s="8" t="str">
        <f>IF(Table2[[#This Row],[Lokasi]]="", "Tidak Diketahui", Table2[[#This Row],[Lokasi]])</f>
        <v>Medan</v>
      </c>
      <c r="D297" s="8" t="str">
        <f>IF(Table2[[#This Row],[Nama_Proyek]]="", "Tidak Diketahui", Table2[[#This Row],[Nama_Proyek]])</f>
        <v>Perbaikan Jalan Raya Medan</v>
      </c>
      <c r="E297" s="14">
        <v>45135</v>
      </c>
      <c r="F297" s="14">
        <v>45357</v>
      </c>
      <c r="G297" s="10">
        <v>344333067</v>
      </c>
      <c r="H297" s="8" t="str">
        <f>IF(Table2[[#This Row],[Kontraktor]]="", "Tidak Diketahui",Table2[[#This Row],[Kontraktor]])</f>
        <v>PT C</v>
      </c>
      <c r="I297" s="11">
        <f>Table245[[#This Row],[Tanggal_Selesai]]-Table245[[#This Row],[Tanggal_Mulai]]</f>
        <v>222</v>
      </c>
      <c r="J297" s="17">
        <f>Table245[[#This Row],[Anggaran]]/Table245[[#This Row],[Durasi_Proyek]]</f>
        <v>1551049.8513513512</v>
      </c>
      <c r="K297" s="11">
        <f>YEAR(Table245[[#This Row],[Tanggal_Mulai]])</f>
        <v>2023</v>
      </c>
    </row>
    <row r="298" spans="1:11" ht="14.25" customHeight="1" x14ac:dyDescent="0.35">
      <c r="A298" s="8" t="s">
        <v>349</v>
      </c>
      <c r="B298" s="8" t="str">
        <f>IF(Table2[[#This Row],[Jenis_Proyek]]="", "Tidak Diketahui", Table2[[#This Row],[Jenis_Proyek]])</f>
        <v>Gedung</v>
      </c>
      <c r="C298" s="8" t="str">
        <f>IF(Table2[[#This Row],[Lokasi]]="", "Tidak Diketahui", Table2[[#This Row],[Lokasi]])</f>
        <v>Bau-Bau</v>
      </c>
      <c r="D298" s="8" t="str">
        <f>IF(Table2[[#This Row],[Nama_Proyek]]="", "Tidak Diketahui", Table2[[#This Row],[Nama_Proyek]])</f>
        <v>Perbaikan Gedung Pemerintah Bau-Bau</v>
      </c>
      <c r="E298" s="14">
        <v>45136</v>
      </c>
      <c r="F298" s="14">
        <v>45177</v>
      </c>
      <c r="G298" s="10">
        <v>2347619310</v>
      </c>
      <c r="H298" s="8" t="str">
        <f>IF(Table2[[#This Row],[Kontraktor]]="", "Tidak Diketahui",Table2[[#This Row],[Kontraktor]])</f>
        <v>PT D</v>
      </c>
      <c r="I298" s="11">
        <f>Table245[[#This Row],[Tanggal_Selesai]]-Table245[[#This Row],[Tanggal_Mulai]]</f>
        <v>41</v>
      </c>
      <c r="J298" s="17">
        <f>Table245[[#This Row],[Anggaran]]/Table245[[#This Row],[Durasi_Proyek]]</f>
        <v>57259007.560975611</v>
      </c>
      <c r="K298" s="11">
        <f>YEAR(Table245[[#This Row],[Tanggal_Mulai]])</f>
        <v>2023</v>
      </c>
    </row>
    <row r="299" spans="1:11" ht="14.25" customHeight="1" x14ac:dyDescent="0.35">
      <c r="A299" s="8" t="s">
        <v>350</v>
      </c>
      <c r="B299" s="8" t="str">
        <f>IF(Table2[[#This Row],[Jenis_Proyek]]="", "Tidak Diketahui", Table2[[#This Row],[Jenis_Proyek]])</f>
        <v>Flyover</v>
      </c>
      <c r="C299" s="8" t="str">
        <f>IF(Table2[[#This Row],[Lokasi]]="", "Tidak Diketahui", Table2[[#This Row],[Lokasi]])</f>
        <v>Tomohon</v>
      </c>
      <c r="D299" s="8" t="str">
        <f>IF(Table2[[#This Row],[Nama_Proyek]]="", "Tidak Diketahui", Table2[[#This Row],[Nama_Proyek]])</f>
        <v>Perbaikan Flyover Tomohon</v>
      </c>
      <c r="E299" s="14">
        <v>45136</v>
      </c>
      <c r="F299" s="14">
        <v>45380</v>
      </c>
      <c r="G299" s="10">
        <v>2422397660</v>
      </c>
      <c r="H299" s="8" t="str">
        <f>IF(Table2[[#This Row],[Kontraktor]]="", "Tidak Diketahui",Table2[[#This Row],[Kontraktor]])</f>
        <v>PT A</v>
      </c>
      <c r="I299" s="11">
        <f>Table245[[#This Row],[Tanggal_Selesai]]-Table245[[#This Row],[Tanggal_Mulai]]</f>
        <v>244</v>
      </c>
      <c r="J299" s="17">
        <f>Table245[[#This Row],[Anggaran]]/Table245[[#This Row],[Durasi_Proyek]]</f>
        <v>9927859.2622950822</v>
      </c>
      <c r="K299" s="11">
        <f>YEAR(Table245[[#This Row],[Tanggal_Mulai]])</f>
        <v>2023</v>
      </c>
    </row>
    <row r="300" spans="1:11" ht="14.25" customHeight="1" x14ac:dyDescent="0.35">
      <c r="A300" s="8" t="s">
        <v>351</v>
      </c>
      <c r="B300" s="8" t="str">
        <f>IF(Table2[[#This Row],[Jenis_Proyek]]="", "Tidak Diketahui", Table2[[#This Row],[Jenis_Proyek]])</f>
        <v>Drainase</v>
      </c>
      <c r="C300" s="8" t="str">
        <f>IF(Table2[[#This Row],[Lokasi]]="", "Tidak Diketahui", Table2[[#This Row],[Lokasi]])</f>
        <v>Bandung</v>
      </c>
      <c r="D300" s="8" t="str">
        <f>IF(Table2[[#This Row],[Nama_Proyek]]="", "Tidak Diketahui", Table2[[#This Row],[Nama_Proyek]])</f>
        <v>Perbaikan Drainase Bandung</v>
      </c>
      <c r="E300" s="14">
        <v>45137</v>
      </c>
      <c r="F300" s="14">
        <v>45306</v>
      </c>
      <c r="G300" s="10">
        <v>593562614</v>
      </c>
      <c r="H300" s="8" t="str">
        <f>IF(Table2[[#This Row],[Kontraktor]]="", "Tidak Diketahui",Table2[[#This Row],[Kontraktor]])</f>
        <v>CV Sihombing</v>
      </c>
      <c r="I300" s="11">
        <f>Table245[[#This Row],[Tanggal_Selesai]]-Table245[[#This Row],[Tanggal_Mulai]]</f>
        <v>169</v>
      </c>
      <c r="J300" s="17">
        <f>Table245[[#This Row],[Anggaran]]/Table245[[#This Row],[Durasi_Proyek]]</f>
        <v>3512204.8165680473</v>
      </c>
      <c r="K300" s="11">
        <f>YEAR(Table245[[#This Row],[Tanggal_Mulai]])</f>
        <v>2023</v>
      </c>
    </row>
    <row r="301" spans="1:11" ht="14.25" customHeight="1" x14ac:dyDescent="0.35">
      <c r="A301" s="8" t="s">
        <v>352</v>
      </c>
      <c r="B301" s="8" t="str">
        <f>IF(Table2[[#This Row],[Jenis_Proyek]]="", "Tidak Diketahui", Table2[[#This Row],[Jenis_Proyek]])</f>
        <v>Flyover</v>
      </c>
      <c r="C301" s="8" t="str">
        <f>IF(Table2[[#This Row],[Lokasi]]="", "Tidak Diketahui", Table2[[#This Row],[Lokasi]])</f>
        <v>Tomohon</v>
      </c>
      <c r="D301" s="8" t="str">
        <f>IF(Table2[[#This Row],[Nama_Proyek]]="", "Tidak Diketahui", Table2[[#This Row],[Nama_Proyek]])</f>
        <v>Pembuatan Flyover Tomohon</v>
      </c>
      <c r="E301" s="14">
        <v>45137</v>
      </c>
      <c r="F301" s="14">
        <v>45248</v>
      </c>
      <c r="G301" s="10">
        <v>3507077254</v>
      </c>
      <c r="H301" s="8" t="str">
        <f>IF(Table2[[#This Row],[Kontraktor]]="", "Tidak Diketahui",Table2[[#This Row],[Kontraktor]])</f>
        <v>PT A</v>
      </c>
      <c r="I301" s="11">
        <f>Table245[[#This Row],[Tanggal_Selesai]]-Table245[[#This Row],[Tanggal_Mulai]]</f>
        <v>111</v>
      </c>
      <c r="J301" s="17">
        <f>Table245[[#This Row],[Anggaran]]/Table245[[#This Row],[Durasi_Proyek]]</f>
        <v>31595290.576576576</v>
      </c>
      <c r="K301" s="11">
        <f>YEAR(Table245[[#This Row],[Tanggal_Mulai]])</f>
        <v>2023</v>
      </c>
    </row>
    <row r="302" spans="1:11" ht="14.25" customHeight="1" x14ac:dyDescent="0.35">
      <c r="A302" s="8" t="s">
        <v>353</v>
      </c>
      <c r="B302" s="8" t="str">
        <f>IF(Table2[[#This Row],[Jenis_Proyek]]="", "Tidak Diketahui", Table2[[#This Row],[Jenis_Proyek]])</f>
        <v>Gedung</v>
      </c>
      <c r="C302" s="8" t="str">
        <f>IF(Table2[[#This Row],[Lokasi]]="", "Tidak Diketahui", Table2[[#This Row],[Lokasi]])</f>
        <v>Depok</v>
      </c>
      <c r="D302" s="8" t="str">
        <f>IF(Table2[[#This Row],[Nama_Proyek]]="", "Tidak Diketahui", Table2[[#This Row],[Nama_Proyek]])</f>
        <v>Perbaikan Gedung Pemerintah Depok</v>
      </c>
      <c r="E302" s="14">
        <v>45138</v>
      </c>
      <c r="F302" s="14">
        <v>45446</v>
      </c>
      <c r="G302" s="10">
        <v>7830031020</v>
      </c>
      <c r="H302" s="8" t="str">
        <f>IF(Table2[[#This Row],[Kontraktor]]="", "Tidak Diketahui",Table2[[#This Row],[Kontraktor]])</f>
        <v>PT. Yuniar Hakim Tbk</v>
      </c>
      <c r="I302" s="11">
        <f>Table245[[#This Row],[Tanggal_Selesai]]-Table245[[#This Row],[Tanggal_Mulai]]</f>
        <v>308</v>
      </c>
      <c r="J302" s="17">
        <f>Table245[[#This Row],[Anggaran]]/Table245[[#This Row],[Durasi_Proyek]]</f>
        <v>25422178.636363637</v>
      </c>
      <c r="K302" s="11">
        <f>YEAR(Table245[[#This Row],[Tanggal_Mulai]])</f>
        <v>2023</v>
      </c>
    </row>
    <row r="303" spans="1:11" ht="14.25" customHeight="1" x14ac:dyDescent="0.35">
      <c r="A303" s="8" t="s">
        <v>354</v>
      </c>
      <c r="B303" s="8" t="str">
        <f>IF(Table2[[#This Row],[Jenis_Proyek]]="", "Tidak Diketahui", Table2[[#This Row],[Jenis_Proyek]])</f>
        <v>Flyover</v>
      </c>
      <c r="C303" s="8" t="str">
        <f>IF(Table2[[#This Row],[Lokasi]]="", "Tidak Diketahui", Table2[[#This Row],[Lokasi]])</f>
        <v>Makassar</v>
      </c>
      <c r="D303" s="8" t="str">
        <f>IF(Table2[[#This Row],[Nama_Proyek]]="", "Tidak Diketahui", Table2[[#This Row],[Nama_Proyek]])</f>
        <v>Pembuatan Flyover Makassar</v>
      </c>
      <c r="E303" s="14">
        <v>45138</v>
      </c>
      <c r="F303" s="14">
        <v>45260</v>
      </c>
      <c r="G303" s="10">
        <v>3767875960</v>
      </c>
      <c r="H303" s="8" t="str">
        <f>IF(Table2[[#This Row],[Kontraktor]]="", "Tidak Diketahui",Table2[[#This Row],[Kontraktor]])</f>
        <v>Tidak Diketahui</v>
      </c>
      <c r="I303" s="11">
        <f>Table245[[#This Row],[Tanggal_Selesai]]-Table245[[#This Row],[Tanggal_Mulai]]</f>
        <v>122</v>
      </c>
      <c r="J303" s="17">
        <f>Table245[[#This Row],[Anggaran]]/Table245[[#This Row],[Durasi_Proyek]]</f>
        <v>30884229.18032787</v>
      </c>
      <c r="K303" s="11">
        <f>YEAR(Table245[[#This Row],[Tanggal_Mulai]])</f>
        <v>2023</v>
      </c>
    </row>
    <row r="304" spans="1:11" ht="14.25" customHeight="1" x14ac:dyDescent="0.35">
      <c r="A304" s="8" t="s">
        <v>355</v>
      </c>
      <c r="B304" s="8" t="str">
        <f>IF(Table2[[#This Row],[Jenis_Proyek]]="", "Tidak Diketahui", Table2[[#This Row],[Jenis_Proyek]])</f>
        <v>Gedung</v>
      </c>
      <c r="C304" s="8" t="str">
        <f>IF(Table2[[#This Row],[Lokasi]]="", "Tidak Diketahui", Table2[[#This Row],[Lokasi]])</f>
        <v>Bandung</v>
      </c>
      <c r="D304" s="8" t="str">
        <f>IF(Table2[[#This Row],[Nama_Proyek]]="", "Tidak Diketahui", Table2[[#This Row],[Nama_Proyek]])</f>
        <v>Perbaikan Gedung Pemerintah Bandung</v>
      </c>
      <c r="E304" s="14">
        <v>45140</v>
      </c>
      <c r="F304" s="14">
        <v>45456</v>
      </c>
      <c r="G304" s="10">
        <v>8403683934</v>
      </c>
      <c r="H304" s="8" t="str">
        <f>IF(Table2[[#This Row],[Kontraktor]]="", "Tidak Diketahui",Table2[[#This Row],[Kontraktor]])</f>
        <v>PT D</v>
      </c>
      <c r="I304" s="11">
        <f>Table245[[#This Row],[Tanggal_Selesai]]-Table245[[#This Row],[Tanggal_Mulai]]</f>
        <v>316</v>
      </c>
      <c r="J304" s="17">
        <f>Table245[[#This Row],[Anggaran]]/Table245[[#This Row],[Durasi_Proyek]]</f>
        <v>26593936.5</v>
      </c>
      <c r="K304" s="11">
        <f>YEAR(Table245[[#This Row],[Tanggal_Mulai]])</f>
        <v>2023</v>
      </c>
    </row>
    <row r="305" spans="1:11" ht="14.25" customHeight="1" x14ac:dyDescent="0.35">
      <c r="A305" s="8" t="s">
        <v>356</v>
      </c>
      <c r="B305" s="8" t="str">
        <f>IF(Table2[[#This Row],[Jenis_Proyek]]="", "Tidak Diketahui", Table2[[#This Row],[Jenis_Proyek]])</f>
        <v>Flyover</v>
      </c>
      <c r="C305" s="8" t="str">
        <f>IF(Table2[[#This Row],[Lokasi]]="", "Tidak Diketahui", Table2[[#This Row],[Lokasi]])</f>
        <v>Bandung</v>
      </c>
      <c r="D305" s="8" t="str">
        <f>IF(Table2[[#This Row],[Nama_Proyek]]="", "Tidak Diketahui", Table2[[#This Row],[Nama_Proyek]])</f>
        <v>Perbaikan Flyover Bandung</v>
      </c>
      <c r="E305" s="14">
        <v>45140</v>
      </c>
      <c r="F305" s="14">
        <v>45473</v>
      </c>
      <c r="G305" s="10">
        <v>4381657926</v>
      </c>
      <c r="H305" s="8" t="str">
        <f>IF(Table2[[#This Row],[Kontraktor]]="", "Tidak Diketahui",Table2[[#This Row],[Kontraktor]])</f>
        <v>PT. Yuniar Hakim Tbk</v>
      </c>
      <c r="I305" s="11">
        <f>Table245[[#This Row],[Tanggal_Selesai]]-Table245[[#This Row],[Tanggal_Mulai]]</f>
        <v>333</v>
      </c>
      <c r="J305" s="17">
        <f>Table245[[#This Row],[Anggaran]]/Table245[[#This Row],[Durasi_Proyek]]</f>
        <v>13158131.90990991</v>
      </c>
      <c r="K305" s="11">
        <f>YEAR(Table245[[#This Row],[Tanggal_Mulai]])</f>
        <v>2023</v>
      </c>
    </row>
    <row r="306" spans="1:11" ht="14.25" customHeight="1" x14ac:dyDescent="0.35">
      <c r="A306" s="8" t="s">
        <v>357</v>
      </c>
      <c r="B306" s="8" t="str">
        <f>IF(Table2[[#This Row],[Jenis_Proyek]]="", "Tidak Diketahui", Table2[[#This Row],[Jenis_Proyek]])</f>
        <v>Jembatan</v>
      </c>
      <c r="C306" s="8" t="str">
        <f>IF(Table2[[#This Row],[Lokasi]]="", "Tidak Diketahui", Table2[[#This Row],[Lokasi]])</f>
        <v>Medan</v>
      </c>
      <c r="D306" s="8" t="str">
        <f>IF(Table2[[#This Row],[Nama_Proyek]]="", "Tidak Diketahui", Table2[[#This Row],[Nama_Proyek]])</f>
        <v>Pembuatan Jembatan Medan</v>
      </c>
      <c r="E306" s="14">
        <v>45140</v>
      </c>
      <c r="F306" s="14">
        <v>45487</v>
      </c>
      <c r="G306" s="10">
        <v>1717899076</v>
      </c>
      <c r="H306" s="8" t="str">
        <f>IF(Table2[[#This Row],[Kontraktor]]="", "Tidak Diketahui",Table2[[#This Row],[Kontraktor]])</f>
        <v>CV Sihombing</v>
      </c>
      <c r="I306" s="11">
        <f>Table245[[#This Row],[Tanggal_Selesai]]-Table245[[#This Row],[Tanggal_Mulai]]</f>
        <v>347</v>
      </c>
      <c r="J306" s="17">
        <f>Table245[[#This Row],[Anggaran]]/Table245[[#This Row],[Durasi_Proyek]]</f>
        <v>4950717.7982708933</v>
      </c>
      <c r="K306" s="11">
        <f>YEAR(Table245[[#This Row],[Tanggal_Mulai]])</f>
        <v>2023</v>
      </c>
    </row>
    <row r="307" spans="1:11" ht="14.25" customHeight="1" x14ac:dyDescent="0.35">
      <c r="A307" s="8" t="s">
        <v>358</v>
      </c>
      <c r="B307" s="8" t="str">
        <f>IF(Table2[[#This Row],[Jenis_Proyek]]="", "Tidak Diketahui", Table2[[#This Row],[Jenis_Proyek]])</f>
        <v>Jalan Raya</v>
      </c>
      <c r="C307" s="8" t="str">
        <f>IF(Table2[[#This Row],[Lokasi]]="", "Tidak Diketahui", Table2[[#This Row],[Lokasi]])</f>
        <v>Surabaya</v>
      </c>
      <c r="D307" s="8" t="str">
        <f>IF(Table2[[#This Row],[Nama_Proyek]]="", "Tidak Diketahui", Table2[[#This Row],[Nama_Proyek]])</f>
        <v>Perbaikan Jalan Raya Surabaya</v>
      </c>
      <c r="E307" s="14">
        <v>45143</v>
      </c>
      <c r="F307" s="14">
        <v>45201</v>
      </c>
      <c r="G307" s="10">
        <v>231308784</v>
      </c>
      <c r="H307" s="8" t="str">
        <f>IF(Table2[[#This Row],[Kontraktor]]="", "Tidak Diketahui",Table2[[#This Row],[Kontraktor]])</f>
        <v>PT C</v>
      </c>
      <c r="I307" s="11">
        <f>Table245[[#This Row],[Tanggal_Selesai]]-Table245[[#This Row],[Tanggal_Mulai]]</f>
        <v>58</v>
      </c>
      <c r="J307" s="17">
        <f>Table245[[#This Row],[Anggaran]]/Table245[[#This Row],[Durasi_Proyek]]</f>
        <v>3988082.4827586208</v>
      </c>
      <c r="K307" s="11">
        <f>YEAR(Table245[[#This Row],[Tanggal_Mulai]])</f>
        <v>2023</v>
      </c>
    </row>
    <row r="308" spans="1:11" ht="14.25" customHeight="1" x14ac:dyDescent="0.35">
      <c r="A308" s="8" t="s">
        <v>359</v>
      </c>
      <c r="B308" s="8" t="str">
        <f>IF(Table2[[#This Row],[Jenis_Proyek]]="", "Tidak Diketahui", Table2[[#This Row],[Jenis_Proyek]])</f>
        <v>Gedung</v>
      </c>
      <c r="C308" s="8" t="str">
        <f>IF(Table2[[#This Row],[Lokasi]]="", "Tidak Diketahui", Table2[[#This Row],[Lokasi]])</f>
        <v>Depok</v>
      </c>
      <c r="D308" s="8" t="str">
        <f>IF(Table2[[#This Row],[Nama_Proyek]]="", "Tidak Diketahui", Table2[[#This Row],[Nama_Proyek]])</f>
        <v>Perbaikan Gedung Pemerintah Depok</v>
      </c>
      <c r="E308" s="14">
        <v>45143</v>
      </c>
      <c r="F308" s="14">
        <v>45254</v>
      </c>
      <c r="G308" s="10">
        <v>1694502492</v>
      </c>
      <c r="H308" s="8" t="str">
        <f>IF(Table2[[#This Row],[Kontraktor]]="", "Tidak Diketahui",Table2[[#This Row],[Kontraktor]])</f>
        <v>PT. Lailasari Hariyah (Persero) Tbk</v>
      </c>
      <c r="I308" s="11">
        <f>Table245[[#This Row],[Tanggal_Selesai]]-Table245[[#This Row],[Tanggal_Mulai]]</f>
        <v>111</v>
      </c>
      <c r="J308" s="17">
        <f>Table245[[#This Row],[Anggaran]]/Table245[[#This Row],[Durasi_Proyek]]</f>
        <v>15265788.216216216</v>
      </c>
      <c r="K308" s="11">
        <f>YEAR(Table245[[#This Row],[Tanggal_Mulai]])</f>
        <v>2023</v>
      </c>
    </row>
    <row r="309" spans="1:11" ht="14.25" customHeight="1" x14ac:dyDescent="0.35">
      <c r="A309" s="8" t="s">
        <v>360</v>
      </c>
      <c r="B309" s="8" t="str">
        <f>IF(Table2[[#This Row],[Jenis_Proyek]]="", "Tidak Diketahui", Table2[[#This Row],[Jenis_Proyek]])</f>
        <v>Gedung</v>
      </c>
      <c r="C309" s="8" t="str">
        <f>IF(Table2[[#This Row],[Lokasi]]="", "Tidak Diketahui", Table2[[#This Row],[Lokasi]])</f>
        <v>Depok</v>
      </c>
      <c r="D309" s="8" t="str">
        <f>IF(Table2[[#This Row],[Nama_Proyek]]="", "Tidak Diketahui", Table2[[#This Row],[Nama_Proyek]])</f>
        <v>Perbaikan Gedung Pemerintah Depok</v>
      </c>
      <c r="E309" s="14">
        <v>45144</v>
      </c>
      <c r="F309" s="14">
        <v>45215</v>
      </c>
      <c r="G309" s="10">
        <v>6044403214</v>
      </c>
      <c r="H309" s="8" t="str">
        <f>IF(Table2[[#This Row],[Kontraktor]]="", "Tidak Diketahui",Table2[[#This Row],[Kontraktor]])</f>
        <v>PT C</v>
      </c>
      <c r="I309" s="11">
        <f>Table245[[#This Row],[Tanggal_Selesai]]-Table245[[#This Row],[Tanggal_Mulai]]</f>
        <v>71</v>
      </c>
      <c r="J309" s="17">
        <f>Table245[[#This Row],[Anggaran]]/Table245[[#This Row],[Durasi_Proyek]]</f>
        <v>85132439.633802816</v>
      </c>
      <c r="K309" s="11">
        <f>YEAR(Table245[[#This Row],[Tanggal_Mulai]])</f>
        <v>2023</v>
      </c>
    </row>
    <row r="310" spans="1:11" ht="14.25" customHeight="1" x14ac:dyDescent="0.35">
      <c r="A310" s="8" t="s">
        <v>361</v>
      </c>
      <c r="B310" s="8" t="str">
        <f>IF(Table2[[#This Row],[Jenis_Proyek]]="", "Tidak Diketahui", Table2[[#This Row],[Jenis_Proyek]])</f>
        <v>Flyover</v>
      </c>
      <c r="C310" s="8" t="str">
        <f>IF(Table2[[#This Row],[Lokasi]]="", "Tidak Diketahui", Table2[[#This Row],[Lokasi]])</f>
        <v>Jakarta</v>
      </c>
      <c r="D310" s="8" t="str">
        <f>IF(Table2[[#This Row],[Nama_Proyek]]="", "Tidak Diketahui", Table2[[#This Row],[Nama_Proyek]])</f>
        <v>Pembuatan Flyover Jakarta</v>
      </c>
      <c r="E310" s="14">
        <v>45144</v>
      </c>
      <c r="F310" s="14">
        <v>45187</v>
      </c>
      <c r="G310" s="10">
        <v>4486128429</v>
      </c>
      <c r="H310" s="8" t="str">
        <f>IF(Table2[[#This Row],[Kontraktor]]="", "Tidak Diketahui",Table2[[#This Row],[Kontraktor]])</f>
        <v>Tidak Diketahui</v>
      </c>
      <c r="I310" s="11">
        <f>Table245[[#This Row],[Tanggal_Selesai]]-Table245[[#This Row],[Tanggal_Mulai]]</f>
        <v>43</v>
      </c>
      <c r="J310" s="17">
        <f>Table245[[#This Row],[Anggaran]]/Table245[[#This Row],[Durasi_Proyek]]</f>
        <v>104328568.11627907</v>
      </c>
      <c r="K310" s="11">
        <f>YEAR(Table245[[#This Row],[Tanggal_Mulai]])</f>
        <v>2023</v>
      </c>
    </row>
    <row r="311" spans="1:11" ht="14.25" customHeight="1" x14ac:dyDescent="0.35">
      <c r="A311" s="8" t="s">
        <v>362</v>
      </c>
      <c r="B311" s="8" t="str">
        <f>IF(Table2[[#This Row],[Jenis_Proyek]]="", "Tidak Diketahui", Table2[[#This Row],[Jenis_Proyek]])</f>
        <v>Jalan Raya</v>
      </c>
      <c r="C311" s="8" t="str">
        <f>IF(Table2[[#This Row],[Lokasi]]="", "Tidak Diketahui", Table2[[#This Row],[Lokasi]])</f>
        <v>Medan</v>
      </c>
      <c r="D311" s="8" t="str">
        <f>IF(Table2[[#This Row],[Nama_Proyek]]="", "Tidak Diketahui", Table2[[#This Row],[Nama_Proyek]])</f>
        <v>Perbaikan Jalan Raya Medan</v>
      </c>
      <c r="E311" s="14">
        <v>45145</v>
      </c>
      <c r="F311" s="14">
        <v>45397</v>
      </c>
      <c r="G311" s="10">
        <v>873718114</v>
      </c>
      <c r="H311" s="8" t="str">
        <f>IF(Table2[[#This Row],[Kontraktor]]="", "Tidak Diketahui",Table2[[#This Row],[Kontraktor]])</f>
        <v>CV Sihombing</v>
      </c>
      <c r="I311" s="11">
        <f>Table245[[#This Row],[Tanggal_Selesai]]-Table245[[#This Row],[Tanggal_Mulai]]</f>
        <v>252</v>
      </c>
      <c r="J311" s="17">
        <f>Table245[[#This Row],[Anggaran]]/Table245[[#This Row],[Durasi_Proyek]]</f>
        <v>3467135.3730158731</v>
      </c>
      <c r="K311" s="11">
        <f>YEAR(Table245[[#This Row],[Tanggal_Mulai]])</f>
        <v>2023</v>
      </c>
    </row>
    <row r="312" spans="1:11" ht="14.25" customHeight="1" x14ac:dyDescent="0.35">
      <c r="A312" s="8" t="s">
        <v>363</v>
      </c>
      <c r="B312" s="8" t="str">
        <f>IF(Table2[[#This Row],[Jenis_Proyek]]="", "Tidak Diketahui", Table2[[#This Row],[Jenis_Proyek]])</f>
        <v>Drainase</v>
      </c>
      <c r="C312" s="8" t="str">
        <f>IF(Table2[[#This Row],[Lokasi]]="", "Tidak Diketahui", Table2[[#This Row],[Lokasi]])</f>
        <v>Jakarta</v>
      </c>
      <c r="D312" s="8" t="str">
        <f>IF(Table2[[#This Row],[Nama_Proyek]]="", "Tidak Diketahui", Table2[[#This Row],[Nama_Proyek]])</f>
        <v>Perbaikan Drainase Jakarta</v>
      </c>
      <c r="E312" s="14">
        <v>45147</v>
      </c>
      <c r="F312" s="14">
        <v>45343</v>
      </c>
      <c r="G312" s="10">
        <v>230467768</v>
      </c>
      <c r="H312" s="8" t="str">
        <f>IF(Table2[[#This Row],[Kontraktor]]="", "Tidak Diketahui",Table2[[#This Row],[Kontraktor]])</f>
        <v>PT B</v>
      </c>
      <c r="I312" s="11">
        <f>Table245[[#This Row],[Tanggal_Selesai]]-Table245[[#This Row],[Tanggal_Mulai]]</f>
        <v>196</v>
      </c>
      <c r="J312" s="17">
        <f>Table245[[#This Row],[Anggaran]]/Table245[[#This Row],[Durasi_Proyek]]</f>
        <v>1175855.9591836734</v>
      </c>
      <c r="K312" s="11">
        <f>YEAR(Table245[[#This Row],[Tanggal_Mulai]])</f>
        <v>2023</v>
      </c>
    </row>
    <row r="313" spans="1:11" ht="14.25" customHeight="1" x14ac:dyDescent="0.35">
      <c r="A313" s="8" t="s">
        <v>364</v>
      </c>
      <c r="B313" s="8" t="str">
        <f>IF(Table2[[#This Row],[Jenis_Proyek]]="", "Tidak Diketahui", Table2[[#This Row],[Jenis_Proyek]])</f>
        <v>Jalan Raya</v>
      </c>
      <c r="C313" s="8" t="str">
        <f>IF(Table2[[#This Row],[Lokasi]]="", "Tidak Diketahui", Table2[[#This Row],[Lokasi]])</f>
        <v>Bandung</v>
      </c>
      <c r="D313" s="8" t="str">
        <f>IF(Table2[[#This Row],[Nama_Proyek]]="", "Tidak Diketahui", Table2[[#This Row],[Nama_Proyek]])</f>
        <v>Perbaikan Jalan Raya Bandung</v>
      </c>
      <c r="E313" s="14">
        <v>45148</v>
      </c>
      <c r="F313" s="14">
        <v>45259</v>
      </c>
      <c r="G313" s="10">
        <v>688191398</v>
      </c>
      <c r="H313" s="8" t="str">
        <f>IF(Table2[[#This Row],[Kontraktor]]="", "Tidak Diketahui",Table2[[#This Row],[Kontraktor]])</f>
        <v>CV Sihombing</v>
      </c>
      <c r="I313" s="11">
        <f>Table245[[#This Row],[Tanggal_Selesai]]-Table245[[#This Row],[Tanggal_Mulai]]</f>
        <v>111</v>
      </c>
      <c r="J313" s="17">
        <f>Table245[[#This Row],[Anggaran]]/Table245[[#This Row],[Durasi_Proyek]]</f>
        <v>6199922.5045045046</v>
      </c>
      <c r="K313" s="11">
        <f>YEAR(Table245[[#This Row],[Tanggal_Mulai]])</f>
        <v>2023</v>
      </c>
    </row>
    <row r="314" spans="1:11" ht="14.25" customHeight="1" x14ac:dyDescent="0.35">
      <c r="A314" s="8" t="s">
        <v>365</v>
      </c>
      <c r="B314" s="8" t="str">
        <f>IF(Table2[[#This Row],[Jenis_Proyek]]="", "Tidak Diketahui", Table2[[#This Row],[Jenis_Proyek]])</f>
        <v>Gedung</v>
      </c>
      <c r="C314" s="8" t="str">
        <f>IF(Table2[[#This Row],[Lokasi]]="", "Tidak Diketahui", Table2[[#This Row],[Lokasi]])</f>
        <v>Bandung</v>
      </c>
      <c r="D314" s="8" t="str">
        <f>IF(Table2[[#This Row],[Nama_Proyek]]="", "Tidak Diketahui", Table2[[#This Row],[Nama_Proyek]])</f>
        <v>Perbaikan Gedung Pemerintah Bandung</v>
      </c>
      <c r="E314" s="14">
        <v>45149</v>
      </c>
      <c r="F314" s="14">
        <v>45285</v>
      </c>
      <c r="G314" s="10">
        <v>2697606072</v>
      </c>
      <c r="H314" s="8" t="str">
        <f>IF(Table2[[#This Row],[Kontraktor]]="", "Tidak Diketahui",Table2[[#This Row],[Kontraktor]])</f>
        <v>CV Sihombing</v>
      </c>
      <c r="I314" s="11">
        <f>Table245[[#This Row],[Tanggal_Selesai]]-Table245[[#This Row],[Tanggal_Mulai]]</f>
        <v>136</v>
      </c>
      <c r="J314" s="17">
        <f>Table245[[#This Row],[Anggaran]]/Table245[[#This Row],[Durasi_Proyek]]</f>
        <v>19835338.764705881</v>
      </c>
      <c r="K314" s="11">
        <f>YEAR(Table245[[#This Row],[Tanggal_Mulai]])</f>
        <v>2023</v>
      </c>
    </row>
    <row r="315" spans="1:11" ht="14.25" customHeight="1" x14ac:dyDescent="0.35">
      <c r="A315" s="8" t="s">
        <v>366</v>
      </c>
      <c r="B315" s="8" t="str">
        <f>IF(Table2[[#This Row],[Jenis_Proyek]]="", "Tidak Diketahui", Table2[[#This Row],[Jenis_Proyek]])</f>
        <v>Jalan Raya</v>
      </c>
      <c r="C315" s="8" t="str">
        <f>IF(Table2[[#This Row],[Lokasi]]="", "Tidak Diketahui", Table2[[#This Row],[Lokasi]])</f>
        <v>Jakarta</v>
      </c>
      <c r="D315" s="8" t="str">
        <f>IF(Table2[[#This Row],[Nama_Proyek]]="", "Tidak Diketahui", Table2[[#This Row],[Nama_Proyek]])</f>
        <v>Perbaikan Jalan Raya Jakarta</v>
      </c>
      <c r="E315" s="14">
        <v>45151</v>
      </c>
      <c r="F315" s="14">
        <v>45311</v>
      </c>
      <c r="G315" s="10">
        <v>990744889</v>
      </c>
      <c r="H315" s="8" t="str">
        <f>IF(Table2[[#This Row],[Kontraktor]]="", "Tidak Diketahui",Table2[[#This Row],[Kontraktor]])</f>
        <v>PT. Lailasari Hariyah (Persero) Tbk</v>
      </c>
      <c r="I315" s="11">
        <f>Table245[[#This Row],[Tanggal_Selesai]]-Table245[[#This Row],[Tanggal_Mulai]]</f>
        <v>160</v>
      </c>
      <c r="J315" s="17">
        <f>Table245[[#This Row],[Anggaran]]/Table245[[#This Row],[Durasi_Proyek]]</f>
        <v>6192155.5562500004</v>
      </c>
      <c r="K315" s="11">
        <f>YEAR(Table245[[#This Row],[Tanggal_Mulai]])</f>
        <v>2023</v>
      </c>
    </row>
    <row r="316" spans="1:11" ht="14.25" customHeight="1" x14ac:dyDescent="0.35">
      <c r="A316" s="8" t="s">
        <v>367</v>
      </c>
      <c r="B316" s="8" t="str">
        <f>IF(Table2[[#This Row],[Jenis_Proyek]]="", "Tidak Diketahui", Table2[[#This Row],[Jenis_Proyek]])</f>
        <v>Jembatan</v>
      </c>
      <c r="C316" s="8" t="str">
        <f>IF(Table2[[#This Row],[Lokasi]]="", "Tidak Diketahui", Table2[[#This Row],[Lokasi]])</f>
        <v>Bandung</v>
      </c>
      <c r="D316" s="8" t="str">
        <f>IF(Table2[[#This Row],[Nama_Proyek]]="", "Tidak Diketahui", Table2[[#This Row],[Nama_Proyek]])</f>
        <v>Pembuatan Jembatan Bandung</v>
      </c>
      <c r="E316" s="14">
        <v>45153</v>
      </c>
      <c r="F316" s="14">
        <v>45342</v>
      </c>
      <c r="G316" s="10">
        <v>3212613392</v>
      </c>
      <c r="H316" s="8" t="str">
        <f>IF(Table2[[#This Row],[Kontraktor]]="", "Tidak Diketahui",Table2[[#This Row],[Kontraktor]])</f>
        <v>PT A</v>
      </c>
      <c r="I316" s="11">
        <f>Table245[[#This Row],[Tanggal_Selesai]]-Table245[[#This Row],[Tanggal_Mulai]]</f>
        <v>189</v>
      </c>
      <c r="J316" s="17">
        <f>Table245[[#This Row],[Anggaran]]/Table245[[#This Row],[Durasi_Proyek]]</f>
        <v>16997954.455026455</v>
      </c>
      <c r="K316" s="11">
        <f>YEAR(Table245[[#This Row],[Tanggal_Mulai]])</f>
        <v>2023</v>
      </c>
    </row>
    <row r="317" spans="1:11" ht="14.25" customHeight="1" x14ac:dyDescent="0.35">
      <c r="A317" s="8" t="s">
        <v>368</v>
      </c>
      <c r="B317" s="8" t="str">
        <f>IF(Table2[[#This Row],[Jenis_Proyek]]="", "Tidak Diketahui", Table2[[#This Row],[Jenis_Proyek]])</f>
        <v>Jembatan</v>
      </c>
      <c r="C317" s="8" t="str">
        <f>IF(Table2[[#This Row],[Lokasi]]="", "Tidak Diketahui", Table2[[#This Row],[Lokasi]])</f>
        <v>Makassar</v>
      </c>
      <c r="D317" s="8" t="str">
        <f>IF(Table2[[#This Row],[Nama_Proyek]]="", "Tidak Diketahui", Table2[[#This Row],[Nama_Proyek]])</f>
        <v>Pembuatan Jembatan Makassar</v>
      </c>
      <c r="E317" s="14">
        <v>45154</v>
      </c>
      <c r="F317" s="14">
        <v>45311</v>
      </c>
      <c r="G317" s="10">
        <v>843044899</v>
      </c>
      <c r="H317" s="8" t="str">
        <f>IF(Table2[[#This Row],[Kontraktor]]="", "Tidak Diketahui",Table2[[#This Row],[Kontraktor]])</f>
        <v>PT. Lailasari Hariyah (Persero) Tbk</v>
      </c>
      <c r="I317" s="11">
        <f>Table245[[#This Row],[Tanggal_Selesai]]-Table245[[#This Row],[Tanggal_Mulai]]</f>
        <v>157</v>
      </c>
      <c r="J317" s="17">
        <f>Table245[[#This Row],[Anggaran]]/Table245[[#This Row],[Durasi_Proyek]]</f>
        <v>5369712.7324840762</v>
      </c>
      <c r="K317" s="11">
        <f>YEAR(Table245[[#This Row],[Tanggal_Mulai]])</f>
        <v>2023</v>
      </c>
    </row>
    <row r="318" spans="1:11" ht="14.25" customHeight="1" x14ac:dyDescent="0.35">
      <c r="A318" s="8" t="s">
        <v>369</v>
      </c>
      <c r="B318" s="8" t="str">
        <f>IF(Table2[[#This Row],[Jenis_Proyek]]="", "Tidak Diketahui", Table2[[#This Row],[Jenis_Proyek]])</f>
        <v>Drainase</v>
      </c>
      <c r="C318" s="8" t="str">
        <f>IF(Table2[[#This Row],[Lokasi]]="", "Tidak Diketahui", Table2[[#This Row],[Lokasi]])</f>
        <v>Tomohon</v>
      </c>
      <c r="D318" s="8" t="str">
        <f>IF(Table2[[#This Row],[Nama_Proyek]]="", "Tidak Diketahui", Table2[[#This Row],[Nama_Proyek]])</f>
        <v>Perbaikan Drainase Tomohon</v>
      </c>
      <c r="E318" s="14">
        <v>45154</v>
      </c>
      <c r="F318" s="14">
        <v>45341</v>
      </c>
      <c r="G318" s="10">
        <v>442886883</v>
      </c>
      <c r="H318" s="8" t="str">
        <f>IF(Table2[[#This Row],[Kontraktor]]="", "Tidak Diketahui",Table2[[#This Row],[Kontraktor]])</f>
        <v>Tidak Diketahui</v>
      </c>
      <c r="I318" s="11">
        <f>Table245[[#This Row],[Tanggal_Selesai]]-Table245[[#This Row],[Tanggal_Mulai]]</f>
        <v>187</v>
      </c>
      <c r="J318" s="17">
        <f>Table245[[#This Row],[Anggaran]]/Table245[[#This Row],[Durasi_Proyek]]</f>
        <v>2368379.0534759359</v>
      </c>
      <c r="K318" s="11">
        <f>YEAR(Table245[[#This Row],[Tanggal_Mulai]])</f>
        <v>2023</v>
      </c>
    </row>
    <row r="319" spans="1:11" ht="14.25" customHeight="1" x14ac:dyDescent="0.35">
      <c r="A319" s="8" t="s">
        <v>370</v>
      </c>
      <c r="B319" s="8" t="str">
        <f>IF(Table2[[#This Row],[Jenis_Proyek]]="", "Tidak Diketahui", Table2[[#This Row],[Jenis_Proyek]])</f>
        <v>Gedung</v>
      </c>
      <c r="C319" s="8" t="str">
        <f>IF(Table2[[#This Row],[Lokasi]]="", "Tidak Diketahui", Table2[[#This Row],[Lokasi]])</f>
        <v>Depok</v>
      </c>
      <c r="D319" s="8" t="str">
        <f>IF(Table2[[#This Row],[Nama_Proyek]]="", "Tidak Diketahui", Table2[[#This Row],[Nama_Proyek]])</f>
        <v>Perbaikan Gedung Pemerintah Depok</v>
      </c>
      <c r="E319" s="14">
        <v>45155</v>
      </c>
      <c r="F319" s="14">
        <v>45382</v>
      </c>
      <c r="G319" s="10">
        <v>8993425036</v>
      </c>
      <c r="H319" s="8" t="str">
        <f>IF(Table2[[#This Row],[Kontraktor]]="", "Tidak Diketahui",Table2[[#This Row],[Kontraktor]])</f>
        <v>PT D</v>
      </c>
      <c r="I319" s="11">
        <f>Table245[[#This Row],[Tanggal_Selesai]]-Table245[[#This Row],[Tanggal_Mulai]]</f>
        <v>227</v>
      </c>
      <c r="J319" s="17">
        <f>Table245[[#This Row],[Anggaran]]/Table245[[#This Row],[Durasi_Proyek]]</f>
        <v>39618612.493392073</v>
      </c>
      <c r="K319" s="11">
        <f>YEAR(Table245[[#This Row],[Tanggal_Mulai]])</f>
        <v>2023</v>
      </c>
    </row>
    <row r="320" spans="1:11" ht="14.25" customHeight="1" x14ac:dyDescent="0.35">
      <c r="A320" s="8" t="s">
        <v>371</v>
      </c>
      <c r="B320" s="8" t="str">
        <f>IF(Table2[[#This Row],[Jenis_Proyek]]="", "Tidak Diketahui", Table2[[#This Row],[Jenis_Proyek]])</f>
        <v>Gedung</v>
      </c>
      <c r="C320" s="8" t="str">
        <f>IF(Table2[[#This Row],[Lokasi]]="", "Tidak Diketahui", Table2[[#This Row],[Lokasi]])</f>
        <v>Bandung</v>
      </c>
      <c r="D320" s="8" t="str">
        <f>IF(Table2[[#This Row],[Nama_Proyek]]="", "Tidak Diketahui", Table2[[#This Row],[Nama_Proyek]])</f>
        <v>Perbaikan Gedung Pemerintah Bandung</v>
      </c>
      <c r="E320" s="14">
        <v>45157</v>
      </c>
      <c r="F320" s="14">
        <v>45222</v>
      </c>
      <c r="G320" s="10">
        <v>4764842863</v>
      </c>
      <c r="H320" s="8" t="str">
        <f>IF(Table2[[#This Row],[Kontraktor]]="", "Tidak Diketahui",Table2[[#This Row],[Kontraktor]])</f>
        <v>PT A</v>
      </c>
      <c r="I320" s="11">
        <f>Table245[[#This Row],[Tanggal_Selesai]]-Table245[[#This Row],[Tanggal_Mulai]]</f>
        <v>65</v>
      </c>
      <c r="J320" s="17">
        <f>Table245[[#This Row],[Anggaran]]/Table245[[#This Row],[Durasi_Proyek]]</f>
        <v>73305274.815384611</v>
      </c>
      <c r="K320" s="11">
        <f>YEAR(Table245[[#This Row],[Tanggal_Mulai]])</f>
        <v>2023</v>
      </c>
    </row>
    <row r="321" spans="1:11" ht="14.25" customHeight="1" x14ac:dyDescent="0.35">
      <c r="A321" s="8" t="s">
        <v>372</v>
      </c>
      <c r="B321" s="8" t="str">
        <f>IF(Table2[[#This Row],[Jenis_Proyek]]="", "Tidak Diketahui", Table2[[#This Row],[Jenis_Proyek]])</f>
        <v>Jalan Raya</v>
      </c>
      <c r="C321" s="8" t="str">
        <f>IF(Table2[[#This Row],[Lokasi]]="", "Tidak Diketahui", Table2[[#This Row],[Lokasi]])</f>
        <v>Medan</v>
      </c>
      <c r="D321" s="8" t="str">
        <f>IF(Table2[[#This Row],[Nama_Proyek]]="", "Tidak Diketahui", Table2[[#This Row],[Nama_Proyek]])</f>
        <v>Perbaikan Jalan Raya Medan</v>
      </c>
      <c r="E321" s="14">
        <v>45157</v>
      </c>
      <c r="F321" s="14">
        <v>45305</v>
      </c>
      <c r="G321" s="10">
        <v>616245876</v>
      </c>
      <c r="H321" s="8" t="str">
        <f>IF(Table2[[#This Row],[Kontraktor]]="", "Tidak Diketahui",Table2[[#This Row],[Kontraktor]])</f>
        <v>Tidak Diketahui</v>
      </c>
      <c r="I321" s="11">
        <f>Table245[[#This Row],[Tanggal_Selesai]]-Table245[[#This Row],[Tanggal_Mulai]]</f>
        <v>148</v>
      </c>
      <c r="J321" s="17">
        <f>Table245[[#This Row],[Anggaran]]/Table245[[#This Row],[Durasi_Proyek]]</f>
        <v>4163823.4864864866</v>
      </c>
      <c r="K321" s="11">
        <f>YEAR(Table245[[#This Row],[Tanggal_Mulai]])</f>
        <v>2023</v>
      </c>
    </row>
    <row r="322" spans="1:11" ht="14.25" customHeight="1" x14ac:dyDescent="0.35">
      <c r="A322" s="8" t="s">
        <v>373</v>
      </c>
      <c r="B322" s="8" t="str">
        <f>IF(Table2[[#This Row],[Jenis_Proyek]]="", "Tidak Diketahui", Table2[[#This Row],[Jenis_Proyek]])</f>
        <v>Flyover</v>
      </c>
      <c r="C322" s="8" t="str">
        <f>IF(Table2[[#This Row],[Lokasi]]="", "Tidak Diketahui", Table2[[#This Row],[Lokasi]])</f>
        <v>Makassar</v>
      </c>
      <c r="D322" s="8" t="str">
        <f>IF(Table2[[#This Row],[Nama_Proyek]]="", "Tidak Diketahui", Table2[[#This Row],[Nama_Proyek]])</f>
        <v>Pembuatan Flyover Makassar</v>
      </c>
      <c r="E322" s="14">
        <v>45158</v>
      </c>
      <c r="F322" s="14">
        <v>45284</v>
      </c>
      <c r="G322" s="10">
        <v>2466228274</v>
      </c>
      <c r="H322" s="8" t="str">
        <f>IF(Table2[[#This Row],[Kontraktor]]="", "Tidak Diketahui",Table2[[#This Row],[Kontraktor]])</f>
        <v>PT. Yuniar Hakim Tbk</v>
      </c>
      <c r="I322" s="11">
        <f>Table245[[#This Row],[Tanggal_Selesai]]-Table245[[#This Row],[Tanggal_Mulai]]</f>
        <v>126</v>
      </c>
      <c r="J322" s="17">
        <f>Table245[[#This Row],[Anggaran]]/Table245[[#This Row],[Durasi_Proyek]]</f>
        <v>19573240.269841269</v>
      </c>
      <c r="K322" s="11">
        <f>YEAR(Table245[[#This Row],[Tanggal_Mulai]])</f>
        <v>2023</v>
      </c>
    </row>
    <row r="323" spans="1:11" ht="14.25" customHeight="1" x14ac:dyDescent="0.35">
      <c r="A323" s="8" t="s">
        <v>374</v>
      </c>
      <c r="B323" s="8" t="str">
        <f>IF(Table2[[#This Row],[Jenis_Proyek]]="", "Tidak Diketahui", Table2[[#This Row],[Jenis_Proyek]])</f>
        <v>Flyover</v>
      </c>
      <c r="C323" s="8" t="str">
        <f>IF(Table2[[#This Row],[Lokasi]]="", "Tidak Diketahui", Table2[[#This Row],[Lokasi]])</f>
        <v>Bau-Bau</v>
      </c>
      <c r="D323" s="8" t="str">
        <f>IF(Table2[[#This Row],[Nama_Proyek]]="", "Tidak Diketahui", Table2[[#This Row],[Nama_Proyek]])</f>
        <v>Pembuatan Flyover Bau-Bau</v>
      </c>
      <c r="E323" s="14">
        <v>45159</v>
      </c>
      <c r="F323" s="14">
        <v>45378</v>
      </c>
      <c r="G323" s="10">
        <v>3270114898</v>
      </c>
      <c r="H323" s="8" t="str">
        <f>IF(Table2[[#This Row],[Kontraktor]]="", "Tidak Diketahui",Table2[[#This Row],[Kontraktor]])</f>
        <v>PT D</v>
      </c>
      <c r="I323" s="11">
        <f>Table245[[#This Row],[Tanggal_Selesai]]-Table245[[#This Row],[Tanggal_Mulai]]</f>
        <v>219</v>
      </c>
      <c r="J323" s="17">
        <f>Table245[[#This Row],[Anggaran]]/Table245[[#This Row],[Durasi_Proyek]]</f>
        <v>14932031.497716894</v>
      </c>
      <c r="K323" s="11">
        <f>YEAR(Table245[[#This Row],[Tanggal_Mulai]])</f>
        <v>2023</v>
      </c>
    </row>
    <row r="324" spans="1:11" ht="14.25" customHeight="1" x14ac:dyDescent="0.35">
      <c r="A324" s="8" t="s">
        <v>375</v>
      </c>
      <c r="B324" s="8" t="str">
        <f>IF(Table2[[#This Row],[Jenis_Proyek]]="", "Tidak Diketahui", Table2[[#This Row],[Jenis_Proyek]])</f>
        <v>Flyover</v>
      </c>
      <c r="C324" s="8" t="str">
        <f>IF(Table2[[#This Row],[Lokasi]]="", "Tidak Diketahui", Table2[[#This Row],[Lokasi]])</f>
        <v>Depok</v>
      </c>
      <c r="D324" s="8" t="str">
        <f>IF(Table2[[#This Row],[Nama_Proyek]]="", "Tidak Diketahui", Table2[[#This Row],[Nama_Proyek]])</f>
        <v>Perbaikan Flyover Depok</v>
      </c>
      <c r="E324" s="14">
        <v>45159</v>
      </c>
      <c r="F324" s="14">
        <v>45272</v>
      </c>
      <c r="G324" s="10">
        <v>2841617618</v>
      </c>
      <c r="H324" s="8" t="str">
        <f>IF(Table2[[#This Row],[Kontraktor]]="", "Tidak Diketahui",Table2[[#This Row],[Kontraktor]])</f>
        <v>PT D</v>
      </c>
      <c r="I324" s="11">
        <f>Table245[[#This Row],[Tanggal_Selesai]]-Table245[[#This Row],[Tanggal_Mulai]]</f>
        <v>113</v>
      </c>
      <c r="J324" s="17">
        <f>Table245[[#This Row],[Anggaran]]/Table245[[#This Row],[Durasi_Proyek]]</f>
        <v>25147058.566371683</v>
      </c>
      <c r="K324" s="11">
        <f>YEAR(Table245[[#This Row],[Tanggal_Mulai]])</f>
        <v>2023</v>
      </c>
    </row>
    <row r="325" spans="1:11" ht="14.25" customHeight="1" x14ac:dyDescent="0.35">
      <c r="A325" s="8" t="s">
        <v>376</v>
      </c>
      <c r="B325" s="8" t="str">
        <f>IF(Table2[[#This Row],[Jenis_Proyek]]="", "Tidak Diketahui", Table2[[#This Row],[Jenis_Proyek]])</f>
        <v>Flyover</v>
      </c>
      <c r="C325" s="8" t="str">
        <f>IF(Table2[[#This Row],[Lokasi]]="", "Tidak Diketahui", Table2[[#This Row],[Lokasi]])</f>
        <v>Depok</v>
      </c>
      <c r="D325" s="8" t="str">
        <f>IF(Table2[[#This Row],[Nama_Proyek]]="", "Tidak Diketahui", Table2[[#This Row],[Nama_Proyek]])</f>
        <v>Perbaikan Flyover Depok</v>
      </c>
      <c r="E325" s="14">
        <v>45160</v>
      </c>
      <c r="F325" s="14">
        <v>45415</v>
      </c>
      <c r="G325" s="10">
        <v>2178901994</v>
      </c>
      <c r="H325" s="8" t="str">
        <f>IF(Table2[[#This Row],[Kontraktor]]="", "Tidak Diketahui",Table2[[#This Row],[Kontraktor]])</f>
        <v>Tidak Diketahui</v>
      </c>
      <c r="I325" s="11">
        <f>Table245[[#This Row],[Tanggal_Selesai]]-Table245[[#This Row],[Tanggal_Mulai]]</f>
        <v>255</v>
      </c>
      <c r="J325" s="17">
        <f>Table245[[#This Row],[Anggaran]]/Table245[[#This Row],[Durasi_Proyek]]</f>
        <v>8544713.7019607835</v>
      </c>
      <c r="K325" s="11">
        <f>YEAR(Table245[[#This Row],[Tanggal_Mulai]])</f>
        <v>2023</v>
      </c>
    </row>
    <row r="326" spans="1:11" ht="14.25" customHeight="1" x14ac:dyDescent="0.35">
      <c r="A326" s="8" t="s">
        <v>377</v>
      </c>
      <c r="B326" s="8" t="str">
        <f>IF(Table2[[#This Row],[Jenis_Proyek]]="", "Tidak Diketahui", Table2[[#This Row],[Jenis_Proyek]])</f>
        <v>Gedung</v>
      </c>
      <c r="C326" s="8" t="str">
        <f>IF(Table2[[#This Row],[Lokasi]]="", "Tidak Diketahui", Table2[[#This Row],[Lokasi]])</f>
        <v>Bau-Bau</v>
      </c>
      <c r="D326" s="8" t="str">
        <f>IF(Table2[[#This Row],[Nama_Proyek]]="", "Tidak Diketahui", Table2[[#This Row],[Nama_Proyek]])</f>
        <v>Perbaikan Gedung Pemerintah Bau-Bau</v>
      </c>
      <c r="E326" s="14">
        <v>45160</v>
      </c>
      <c r="F326" s="14">
        <v>45496</v>
      </c>
      <c r="G326" s="10">
        <v>4033563886</v>
      </c>
      <c r="H326" s="8" t="str">
        <f>IF(Table2[[#This Row],[Kontraktor]]="", "Tidak Diketahui",Table2[[#This Row],[Kontraktor]])</f>
        <v>Tidak Diketahui</v>
      </c>
      <c r="I326" s="11">
        <f>Table245[[#This Row],[Tanggal_Selesai]]-Table245[[#This Row],[Tanggal_Mulai]]</f>
        <v>336</v>
      </c>
      <c r="J326" s="17">
        <f>Table245[[#This Row],[Anggaran]]/Table245[[#This Row],[Durasi_Proyek]]</f>
        <v>12004654.422619049</v>
      </c>
      <c r="K326" s="11">
        <f>YEAR(Table245[[#This Row],[Tanggal_Mulai]])</f>
        <v>2023</v>
      </c>
    </row>
    <row r="327" spans="1:11" ht="14.25" customHeight="1" x14ac:dyDescent="0.35">
      <c r="A327" s="8" t="s">
        <v>378</v>
      </c>
      <c r="B327" s="8" t="str">
        <f>IF(Table2[[#This Row],[Jenis_Proyek]]="", "Tidak Diketahui", Table2[[#This Row],[Jenis_Proyek]])</f>
        <v>Jembatan</v>
      </c>
      <c r="C327" s="8" t="str">
        <f>IF(Table2[[#This Row],[Lokasi]]="", "Tidak Diketahui", Table2[[#This Row],[Lokasi]])</f>
        <v>Depok</v>
      </c>
      <c r="D327" s="8" t="str">
        <f>IF(Table2[[#This Row],[Nama_Proyek]]="", "Tidak Diketahui", Table2[[#This Row],[Nama_Proyek]])</f>
        <v>Perbaikan Jembatan Depok</v>
      </c>
      <c r="E327" s="14">
        <v>45160</v>
      </c>
      <c r="F327" s="14">
        <v>45197</v>
      </c>
      <c r="G327" s="10">
        <v>965725164</v>
      </c>
      <c r="H327" s="8" t="str">
        <f>IF(Table2[[#This Row],[Kontraktor]]="", "Tidak Diketahui",Table2[[#This Row],[Kontraktor]])</f>
        <v>Tidak Diketahui</v>
      </c>
      <c r="I327" s="11">
        <f>Table245[[#This Row],[Tanggal_Selesai]]-Table245[[#This Row],[Tanggal_Mulai]]</f>
        <v>37</v>
      </c>
      <c r="J327" s="17">
        <f>Table245[[#This Row],[Anggaran]]/Table245[[#This Row],[Durasi_Proyek]]</f>
        <v>26100680.108108107</v>
      </c>
      <c r="K327" s="11">
        <f>YEAR(Table245[[#This Row],[Tanggal_Mulai]])</f>
        <v>2023</v>
      </c>
    </row>
    <row r="328" spans="1:11" ht="14.25" customHeight="1" x14ac:dyDescent="0.35">
      <c r="A328" s="8" t="s">
        <v>379</v>
      </c>
      <c r="B328" s="8" t="str">
        <f>IF(Table2[[#This Row],[Jenis_Proyek]]="", "Tidak Diketahui", Table2[[#This Row],[Jenis_Proyek]])</f>
        <v>Jalan Raya</v>
      </c>
      <c r="C328" s="8" t="str">
        <f>IF(Table2[[#This Row],[Lokasi]]="", "Tidak Diketahui", Table2[[#This Row],[Lokasi]])</f>
        <v>Depok</v>
      </c>
      <c r="D328" s="8" t="str">
        <f>IF(Table2[[#This Row],[Nama_Proyek]]="", "Tidak Diketahui", Table2[[#This Row],[Nama_Proyek]])</f>
        <v>Perbaikan Jalan Raya Depok</v>
      </c>
      <c r="E328" s="14">
        <v>45161</v>
      </c>
      <c r="F328" s="14">
        <v>45199</v>
      </c>
      <c r="G328" s="10">
        <v>647397365</v>
      </c>
      <c r="H328" s="8" t="str">
        <f>IF(Table2[[#This Row],[Kontraktor]]="", "Tidak Diketahui",Table2[[#This Row],[Kontraktor]])</f>
        <v>PT D</v>
      </c>
      <c r="I328" s="11">
        <f>Table245[[#This Row],[Tanggal_Selesai]]-Table245[[#This Row],[Tanggal_Mulai]]</f>
        <v>38</v>
      </c>
      <c r="J328" s="17">
        <f>Table245[[#This Row],[Anggaran]]/Table245[[#This Row],[Durasi_Proyek]]</f>
        <v>17036772.763157893</v>
      </c>
      <c r="K328" s="11">
        <f>YEAR(Table245[[#This Row],[Tanggal_Mulai]])</f>
        <v>2023</v>
      </c>
    </row>
    <row r="329" spans="1:11" ht="14.25" customHeight="1" x14ac:dyDescent="0.35">
      <c r="A329" s="8" t="s">
        <v>380</v>
      </c>
      <c r="B329" s="8" t="str">
        <f>IF(Table2[[#This Row],[Jenis_Proyek]]="", "Tidak Diketahui", Table2[[#This Row],[Jenis_Proyek]])</f>
        <v>Jembatan</v>
      </c>
      <c r="C329" s="8" t="str">
        <f>IF(Table2[[#This Row],[Lokasi]]="", "Tidak Diketahui", Table2[[#This Row],[Lokasi]])</f>
        <v>Depok</v>
      </c>
      <c r="D329" s="8" t="str">
        <f>IF(Table2[[#This Row],[Nama_Proyek]]="", "Tidak Diketahui", Table2[[#This Row],[Nama_Proyek]])</f>
        <v>Perbaikan Jembatan Depok</v>
      </c>
      <c r="E329" s="14">
        <v>45161</v>
      </c>
      <c r="F329" s="14">
        <v>45466</v>
      </c>
      <c r="G329" s="10">
        <v>775460621</v>
      </c>
      <c r="H329" s="8" t="str">
        <f>IF(Table2[[#This Row],[Kontraktor]]="", "Tidak Diketahui",Table2[[#This Row],[Kontraktor]])</f>
        <v>PT. Lailasari Hariyah (Persero) Tbk</v>
      </c>
      <c r="I329" s="11">
        <f>Table245[[#This Row],[Tanggal_Selesai]]-Table245[[#This Row],[Tanggal_Mulai]]</f>
        <v>305</v>
      </c>
      <c r="J329" s="17">
        <f>Table245[[#This Row],[Anggaran]]/Table245[[#This Row],[Durasi_Proyek]]</f>
        <v>2542493.8393442621</v>
      </c>
      <c r="K329" s="11">
        <f>YEAR(Table245[[#This Row],[Tanggal_Mulai]])</f>
        <v>2023</v>
      </c>
    </row>
    <row r="330" spans="1:11" ht="14.25" customHeight="1" x14ac:dyDescent="0.35">
      <c r="A330" s="8" t="s">
        <v>381</v>
      </c>
      <c r="B330" s="8" t="str">
        <f>IF(Table2[[#This Row],[Jenis_Proyek]]="", "Tidak Diketahui", Table2[[#This Row],[Jenis_Proyek]])</f>
        <v>Gedung</v>
      </c>
      <c r="C330" s="8" t="str">
        <f>IF(Table2[[#This Row],[Lokasi]]="", "Tidak Diketahui", Table2[[#This Row],[Lokasi]])</f>
        <v>Jakarta</v>
      </c>
      <c r="D330" s="8" t="str">
        <f>IF(Table2[[#This Row],[Nama_Proyek]]="", "Tidak Diketahui", Table2[[#This Row],[Nama_Proyek]])</f>
        <v>Perbaikan Gedung Pemerintah Jakarta</v>
      </c>
      <c r="E330" s="14">
        <v>45162</v>
      </c>
      <c r="F330" s="14">
        <v>45516</v>
      </c>
      <c r="G330" s="10">
        <v>7165201683</v>
      </c>
      <c r="H330" s="8" t="str">
        <f>IF(Table2[[#This Row],[Kontraktor]]="", "Tidak Diketahui",Table2[[#This Row],[Kontraktor]])</f>
        <v>CV Sihombing</v>
      </c>
      <c r="I330" s="11">
        <f>Table245[[#This Row],[Tanggal_Selesai]]-Table245[[#This Row],[Tanggal_Mulai]]</f>
        <v>354</v>
      </c>
      <c r="J330" s="17">
        <f>Table245[[#This Row],[Anggaran]]/Table245[[#This Row],[Durasi_Proyek]]</f>
        <v>20240682.720338982</v>
      </c>
      <c r="K330" s="11">
        <f>YEAR(Table245[[#This Row],[Tanggal_Mulai]])</f>
        <v>2023</v>
      </c>
    </row>
    <row r="331" spans="1:11" ht="14.25" customHeight="1" x14ac:dyDescent="0.35">
      <c r="A331" s="8" t="s">
        <v>382</v>
      </c>
      <c r="B331" s="8" t="str">
        <f>IF(Table2[[#This Row],[Jenis_Proyek]]="", "Tidak Diketahui", Table2[[#This Row],[Jenis_Proyek]])</f>
        <v>Drainase</v>
      </c>
      <c r="C331" s="8" t="str">
        <f>IF(Table2[[#This Row],[Lokasi]]="", "Tidak Diketahui", Table2[[#This Row],[Lokasi]])</f>
        <v>Surabaya</v>
      </c>
      <c r="D331" s="8" t="str">
        <f>IF(Table2[[#This Row],[Nama_Proyek]]="", "Tidak Diketahui", Table2[[#This Row],[Nama_Proyek]])</f>
        <v>Perbaikan Drainase Surabaya</v>
      </c>
      <c r="E331" s="14">
        <v>45162</v>
      </c>
      <c r="F331" s="14">
        <v>45254</v>
      </c>
      <c r="G331" s="10">
        <v>557418865</v>
      </c>
      <c r="H331" s="8" t="str">
        <f>IF(Table2[[#This Row],[Kontraktor]]="", "Tidak Diketahui",Table2[[#This Row],[Kontraktor]])</f>
        <v>Tidak Diketahui</v>
      </c>
      <c r="I331" s="11">
        <f>Table245[[#This Row],[Tanggal_Selesai]]-Table245[[#This Row],[Tanggal_Mulai]]</f>
        <v>92</v>
      </c>
      <c r="J331" s="17">
        <f>Table245[[#This Row],[Anggaran]]/Table245[[#This Row],[Durasi_Proyek]]</f>
        <v>6058900.7065217393</v>
      </c>
      <c r="K331" s="11">
        <f>YEAR(Table245[[#This Row],[Tanggal_Mulai]])</f>
        <v>2023</v>
      </c>
    </row>
    <row r="332" spans="1:11" ht="14.25" customHeight="1" x14ac:dyDescent="0.35">
      <c r="A332" s="8" t="s">
        <v>383</v>
      </c>
      <c r="B332" s="8" t="str">
        <f>IF(Table2[[#This Row],[Jenis_Proyek]]="", "Tidak Diketahui", Table2[[#This Row],[Jenis_Proyek]])</f>
        <v>Gedung</v>
      </c>
      <c r="C332" s="8" t="str">
        <f>IF(Table2[[#This Row],[Lokasi]]="", "Tidak Diketahui", Table2[[#This Row],[Lokasi]])</f>
        <v>Surabaya</v>
      </c>
      <c r="D332" s="8" t="str">
        <f>IF(Table2[[#This Row],[Nama_Proyek]]="", "Tidak Diketahui", Table2[[#This Row],[Nama_Proyek]])</f>
        <v>Perbaikan Gedung Pemerintah Surabaya</v>
      </c>
      <c r="E332" s="14">
        <v>45163</v>
      </c>
      <c r="F332" s="14">
        <v>45219</v>
      </c>
      <c r="G332" s="10">
        <v>4732793482</v>
      </c>
      <c r="H332" s="8" t="str">
        <f>IF(Table2[[#This Row],[Kontraktor]]="", "Tidak Diketahui",Table2[[#This Row],[Kontraktor]])</f>
        <v>PT B</v>
      </c>
      <c r="I332" s="11">
        <f>Table245[[#This Row],[Tanggal_Selesai]]-Table245[[#This Row],[Tanggal_Mulai]]</f>
        <v>56</v>
      </c>
      <c r="J332" s="17">
        <f>Table245[[#This Row],[Anggaran]]/Table245[[#This Row],[Durasi_Proyek]]</f>
        <v>84514169.321428567</v>
      </c>
      <c r="K332" s="11">
        <f>YEAR(Table245[[#This Row],[Tanggal_Mulai]])</f>
        <v>2023</v>
      </c>
    </row>
    <row r="333" spans="1:11" ht="14.25" customHeight="1" x14ac:dyDescent="0.35">
      <c r="A333" s="8" t="s">
        <v>384</v>
      </c>
      <c r="B333" s="8" t="str">
        <f>IF(Table2[[#This Row],[Jenis_Proyek]]="", "Tidak Diketahui", Table2[[#This Row],[Jenis_Proyek]])</f>
        <v>Jembatan</v>
      </c>
      <c r="C333" s="8" t="str">
        <f>IF(Table2[[#This Row],[Lokasi]]="", "Tidak Diketahui", Table2[[#This Row],[Lokasi]])</f>
        <v>Jakarta</v>
      </c>
      <c r="D333" s="8" t="str">
        <f>IF(Table2[[#This Row],[Nama_Proyek]]="", "Tidak Diketahui", Table2[[#This Row],[Nama_Proyek]])</f>
        <v>Pembuatan Jembatan Jakarta</v>
      </c>
      <c r="E333" s="14">
        <v>45163</v>
      </c>
      <c r="F333" s="14">
        <v>45258</v>
      </c>
      <c r="G333" s="10">
        <v>2993133974</v>
      </c>
      <c r="H333" s="8" t="str">
        <f>IF(Table2[[#This Row],[Kontraktor]]="", "Tidak Diketahui",Table2[[#This Row],[Kontraktor]])</f>
        <v>PT B</v>
      </c>
      <c r="I333" s="11">
        <f>Table245[[#This Row],[Tanggal_Selesai]]-Table245[[#This Row],[Tanggal_Mulai]]</f>
        <v>95</v>
      </c>
      <c r="J333" s="17">
        <f>Table245[[#This Row],[Anggaran]]/Table245[[#This Row],[Durasi_Proyek]]</f>
        <v>31506673.410526317</v>
      </c>
      <c r="K333" s="11">
        <f>YEAR(Table245[[#This Row],[Tanggal_Mulai]])</f>
        <v>2023</v>
      </c>
    </row>
    <row r="334" spans="1:11" ht="14.25" customHeight="1" x14ac:dyDescent="0.35">
      <c r="A334" s="8" t="s">
        <v>385</v>
      </c>
      <c r="B334" s="8" t="str">
        <f>IF(Table2[[#This Row],[Jenis_Proyek]]="", "Tidak Diketahui", Table2[[#This Row],[Jenis_Proyek]])</f>
        <v>Flyover</v>
      </c>
      <c r="C334" s="8" t="str">
        <f>IF(Table2[[#This Row],[Lokasi]]="", "Tidak Diketahui", Table2[[#This Row],[Lokasi]])</f>
        <v>Tomohon</v>
      </c>
      <c r="D334" s="8" t="str">
        <f>IF(Table2[[#This Row],[Nama_Proyek]]="", "Tidak Diketahui", Table2[[#This Row],[Nama_Proyek]])</f>
        <v>Pembuatan Flyover Tomohon</v>
      </c>
      <c r="E334" s="14">
        <v>45164</v>
      </c>
      <c r="F334" s="14">
        <v>45456</v>
      </c>
      <c r="G334" s="10">
        <v>4720470438</v>
      </c>
      <c r="H334" s="8" t="str">
        <f>IF(Table2[[#This Row],[Kontraktor]]="", "Tidak Diketahui",Table2[[#This Row],[Kontraktor]])</f>
        <v>PT C</v>
      </c>
      <c r="I334" s="11">
        <f>Table245[[#This Row],[Tanggal_Selesai]]-Table245[[#This Row],[Tanggal_Mulai]]</f>
        <v>292</v>
      </c>
      <c r="J334" s="17">
        <f>Table245[[#This Row],[Anggaran]]/Table245[[#This Row],[Durasi_Proyek]]</f>
        <v>16165994.650684932</v>
      </c>
      <c r="K334" s="11">
        <f>YEAR(Table245[[#This Row],[Tanggal_Mulai]])</f>
        <v>2023</v>
      </c>
    </row>
    <row r="335" spans="1:11" ht="14.25" customHeight="1" x14ac:dyDescent="0.35">
      <c r="A335" s="8" t="s">
        <v>386</v>
      </c>
      <c r="B335" s="8" t="str">
        <f>IF(Table2[[#This Row],[Jenis_Proyek]]="", "Tidak Diketahui", Table2[[#This Row],[Jenis_Proyek]])</f>
        <v>Jembatan</v>
      </c>
      <c r="C335" s="8" t="str">
        <f>IF(Table2[[#This Row],[Lokasi]]="", "Tidak Diketahui", Table2[[#This Row],[Lokasi]])</f>
        <v>Bau-Bau</v>
      </c>
      <c r="D335" s="8" t="str">
        <f>IF(Table2[[#This Row],[Nama_Proyek]]="", "Tidak Diketahui", Table2[[#This Row],[Nama_Proyek]])</f>
        <v>Perbaikan Jembatan Bau-Bau</v>
      </c>
      <c r="E335" s="14">
        <v>45167</v>
      </c>
      <c r="F335" s="14">
        <v>45453</v>
      </c>
      <c r="G335" s="10">
        <v>3999421618</v>
      </c>
      <c r="H335" s="8" t="str">
        <f>IF(Table2[[#This Row],[Kontraktor]]="", "Tidak Diketahui",Table2[[#This Row],[Kontraktor]])</f>
        <v>PT B</v>
      </c>
      <c r="I335" s="11">
        <f>Table245[[#This Row],[Tanggal_Selesai]]-Table245[[#This Row],[Tanggal_Mulai]]</f>
        <v>286</v>
      </c>
      <c r="J335" s="17">
        <f>Table245[[#This Row],[Anggaran]]/Table245[[#This Row],[Durasi_Proyek]]</f>
        <v>13983991.671328671</v>
      </c>
      <c r="K335" s="11">
        <f>YEAR(Table245[[#This Row],[Tanggal_Mulai]])</f>
        <v>2023</v>
      </c>
    </row>
    <row r="336" spans="1:11" ht="14.25" customHeight="1" x14ac:dyDescent="0.35">
      <c r="A336" s="8" t="s">
        <v>387</v>
      </c>
      <c r="B336" s="8" t="str">
        <f>IF(Table2[[#This Row],[Jenis_Proyek]]="", "Tidak Diketahui", Table2[[#This Row],[Jenis_Proyek]])</f>
        <v>Jembatan</v>
      </c>
      <c r="C336" s="8" t="str">
        <f>IF(Table2[[#This Row],[Lokasi]]="", "Tidak Diketahui", Table2[[#This Row],[Lokasi]])</f>
        <v>Makassar</v>
      </c>
      <c r="D336" s="8" t="str">
        <f>IF(Table2[[#This Row],[Nama_Proyek]]="", "Tidak Diketahui", Table2[[#This Row],[Nama_Proyek]])</f>
        <v>Perbaikan Jembatan Makassar</v>
      </c>
      <c r="E336" s="14">
        <v>45168</v>
      </c>
      <c r="F336" s="14">
        <v>45511</v>
      </c>
      <c r="G336" s="10">
        <v>1118159098</v>
      </c>
      <c r="H336" s="8" t="str">
        <f>IF(Table2[[#This Row],[Kontraktor]]="", "Tidak Diketahui",Table2[[#This Row],[Kontraktor]])</f>
        <v>PT A</v>
      </c>
      <c r="I336" s="11">
        <f>Table245[[#This Row],[Tanggal_Selesai]]-Table245[[#This Row],[Tanggal_Mulai]]</f>
        <v>343</v>
      </c>
      <c r="J336" s="17">
        <f>Table245[[#This Row],[Anggaran]]/Table245[[#This Row],[Durasi_Proyek]]</f>
        <v>3259939.0612244899</v>
      </c>
      <c r="K336" s="11">
        <f>YEAR(Table245[[#This Row],[Tanggal_Mulai]])</f>
        <v>2023</v>
      </c>
    </row>
    <row r="337" spans="1:11" ht="14.25" customHeight="1" x14ac:dyDescent="0.35">
      <c r="A337" s="8" t="s">
        <v>388</v>
      </c>
      <c r="B337" s="8" t="str">
        <f>IF(Table2[[#This Row],[Jenis_Proyek]]="", "Tidak Diketahui", Table2[[#This Row],[Jenis_Proyek]])</f>
        <v>Gedung</v>
      </c>
      <c r="C337" s="8" t="str">
        <f>IF(Table2[[#This Row],[Lokasi]]="", "Tidak Diketahui", Table2[[#This Row],[Lokasi]])</f>
        <v>Tomohon</v>
      </c>
      <c r="D337" s="8" t="str">
        <f>IF(Table2[[#This Row],[Nama_Proyek]]="", "Tidak Diketahui", Table2[[#This Row],[Nama_Proyek]])</f>
        <v>Perbaikan Gedung Pemerintah Tomohon</v>
      </c>
      <c r="E337" s="14">
        <v>45168</v>
      </c>
      <c r="F337" s="14">
        <v>45530</v>
      </c>
      <c r="G337" s="10">
        <v>9891638971</v>
      </c>
      <c r="H337" s="8" t="str">
        <f>IF(Table2[[#This Row],[Kontraktor]]="", "Tidak Diketahui",Table2[[#This Row],[Kontraktor]])</f>
        <v>Tidak Diketahui</v>
      </c>
      <c r="I337" s="11">
        <f>Table245[[#This Row],[Tanggal_Selesai]]-Table245[[#This Row],[Tanggal_Mulai]]</f>
        <v>362</v>
      </c>
      <c r="J337" s="17">
        <f>Table245[[#This Row],[Anggaran]]/Table245[[#This Row],[Durasi_Proyek]]</f>
        <v>27324969.533149172</v>
      </c>
      <c r="K337" s="11">
        <f>YEAR(Table245[[#This Row],[Tanggal_Mulai]])</f>
        <v>2023</v>
      </c>
    </row>
    <row r="338" spans="1:11" ht="14.25" customHeight="1" x14ac:dyDescent="0.35">
      <c r="A338" s="8" t="s">
        <v>389</v>
      </c>
      <c r="B338" s="8" t="str">
        <f>IF(Table2[[#This Row],[Jenis_Proyek]]="", "Tidak Diketahui", Table2[[#This Row],[Jenis_Proyek]])</f>
        <v>Drainase</v>
      </c>
      <c r="C338" s="8" t="str">
        <f>IF(Table2[[#This Row],[Lokasi]]="", "Tidak Diketahui", Table2[[#This Row],[Lokasi]])</f>
        <v>Jakarta</v>
      </c>
      <c r="D338" s="8" t="str">
        <f>IF(Table2[[#This Row],[Nama_Proyek]]="", "Tidak Diketahui", Table2[[#This Row],[Nama_Proyek]])</f>
        <v>Perbaikan Drainase Jakarta</v>
      </c>
      <c r="E338" s="14">
        <v>45168</v>
      </c>
      <c r="F338" s="14">
        <v>45236</v>
      </c>
      <c r="G338" s="10">
        <v>246997207</v>
      </c>
      <c r="H338" s="8" t="str">
        <f>IF(Table2[[#This Row],[Kontraktor]]="", "Tidak Diketahui",Table2[[#This Row],[Kontraktor]])</f>
        <v>PT D</v>
      </c>
      <c r="I338" s="11">
        <f>Table245[[#This Row],[Tanggal_Selesai]]-Table245[[#This Row],[Tanggal_Mulai]]</f>
        <v>68</v>
      </c>
      <c r="J338" s="17">
        <f>Table245[[#This Row],[Anggaran]]/Table245[[#This Row],[Durasi_Proyek]]</f>
        <v>3632311.8676470588</v>
      </c>
      <c r="K338" s="11">
        <f>YEAR(Table245[[#This Row],[Tanggal_Mulai]])</f>
        <v>2023</v>
      </c>
    </row>
    <row r="339" spans="1:11" ht="14.25" customHeight="1" x14ac:dyDescent="0.35">
      <c r="A339" s="8" t="s">
        <v>390</v>
      </c>
      <c r="B339" s="8" t="str">
        <f>IF(Table2[[#This Row],[Jenis_Proyek]]="", "Tidak Diketahui", Table2[[#This Row],[Jenis_Proyek]])</f>
        <v>Flyover</v>
      </c>
      <c r="C339" s="8" t="str">
        <f>IF(Table2[[#This Row],[Lokasi]]="", "Tidak Diketahui", Table2[[#This Row],[Lokasi]])</f>
        <v>Bandung</v>
      </c>
      <c r="D339" s="8" t="str">
        <f>IF(Table2[[#This Row],[Nama_Proyek]]="", "Tidak Diketahui", Table2[[#This Row],[Nama_Proyek]])</f>
        <v>Perbaikan Flyover Bandung</v>
      </c>
      <c r="E339" s="14">
        <v>45169</v>
      </c>
      <c r="F339" s="14">
        <v>45200</v>
      </c>
      <c r="G339" s="10">
        <v>4163473786</v>
      </c>
      <c r="H339" s="8" t="str">
        <f>IF(Table2[[#This Row],[Kontraktor]]="", "Tidak Diketahui",Table2[[#This Row],[Kontraktor]])</f>
        <v>PT C</v>
      </c>
      <c r="I339" s="11">
        <f>Table245[[#This Row],[Tanggal_Selesai]]-Table245[[#This Row],[Tanggal_Mulai]]</f>
        <v>31</v>
      </c>
      <c r="J339" s="17">
        <f>Table245[[#This Row],[Anggaran]]/Table245[[#This Row],[Durasi_Proyek]]</f>
        <v>134305606</v>
      </c>
      <c r="K339" s="11">
        <f>YEAR(Table245[[#This Row],[Tanggal_Mulai]])</f>
        <v>2023</v>
      </c>
    </row>
    <row r="340" spans="1:11" ht="14.25" customHeight="1" x14ac:dyDescent="0.35">
      <c r="A340" s="8" t="s">
        <v>391</v>
      </c>
      <c r="B340" s="8" t="str">
        <f>IF(Table2[[#This Row],[Jenis_Proyek]]="", "Tidak Diketahui", Table2[[#This Row],[Jenis_Proyek]])</f>
        <v>Gedung</v>
      </c>
      <c r="C340" s="8" t="str">
        <f>IF(Table2[[#This Row],[Lokasi]]="", "Tidak Diketahui", Table2[[#This Row],[Lokasi]])</f>
        <v>Makassar</v>
      </c>
      <c r="D340" s="8" t="str">
        <f>IF(Table2[[#This Row],[Nama_Proyek]]="", "Tidak Diketahui", Table2[[#This Row],[Nama_Proyek]])</f>
        <v>Perbaikan Gedung Pemerintah Makassar</v>
      </c>
      <c r="E340" s="14">
        <v>45169</v>
      </c>
      <c r="F340" s="14">
        <v>45267</v>
      </c>
      <c r="G340" s="10">
        <v>2007900262</v>
      </c>
      <c r="H340" s="8" t="str">
        <f>IF(Table2[[#This Row],[Kontraktor]]="", "Tidak Diketahui",Table2[[#This Row],[Kontraktor]])</f>
        <v>PT. Yuniar Hakim Tbk</v>
      </c>
      <c r="I340" s="11">
        <f>Table245[[#This Row],[Tanggal_Selesai]]-Table245[[#This Row],[Tanggal_Mulai]]</f>
        <v>98</v>
      </c>
      <c r="J340" s="17">
        <f>Table245[[#This Row],[Anggaran]]/Table245[[#This Row],[Durasi_Proyek]]</f>
        <v>20488778.183673471</v>
      </c>
      <c r="K340" s="11">
        <f>YEAR(Table245[[#This Row],[Tanggal_Mulai]])</f>
        <v>2023</v>
      </c>
    </row>
    <row r="341" spans="1:11" ht="14.25" customHeight="1" x14ac:dyDescent="0.35">
      <c r="A341" s="8" t="s">
        <v>392</v>
      </c>
      <c r="B341" s="8" t="str">
        <f>IF(Table2[[#This Row],[Jenis_Proyek]]="", "Tidak Diketahui", Table2[[#This Row],[Jenis_Proyek]])</f>
        <v>Gedung</v>
      </c>
      <c r="C341" s="8" t="str">
        <f>IF(Table2[[#This Row],[Lokasi]]="", "Tidak Diketahui", Table2[[#This Row],[Lokasi]])</f>
        <v>Bau-Bau</v>
      </c>
      <c r="D341" s="8" t="str">
        <f>IF(Table2[[#This Row],[Nama_Proyek]]="", "Tidak Diketahui", Table2[[#This Row],[Nama_Proyek]])</f>
        <v>Perbaikan Gedung Pemerintah Bau-Bau</v>
      </c>
      <c r="E341" s="14">
        <v>45170</v>
      </c>
      <c r="F341" s="14">
        <v>45454</v>
      </c>
      <c r="G341" s="10">
        <v>9921498760</v>
      </c>
      <c r="H341" s="8" t="str">
        <f>IF(Table2[[#This Row],[Kontraktor]]="", "Tidak Diketahui",Table2[[#This Row],[Kontraktor]])</f>
        <v>PT D</v>
      </c>
      <c r="I341" s="11">
        <f>Table245[[#This Row],[Tanggal_Selesai]]-Table245[[#This Row],[Tanggal_Mulai]]</f>
        <v>284</v>
      </c>
      <c r="J341" s="17">
        <f>Table245[[#This Row],[Anggaran]]/Table245[[#This Row],[Durasi_Proyek]]</f>
        <v>34934854.788732395</v>
      </c>
      <c r="K341" s="11">
        <f>YEAR(Table245[[#This Row],[Tanggal_Mulai]])</f>
        <v>2023</v>
      </c>
    </row>
    <row r="342" spans="1:11" ht="14.25" customHeight="1" x14ac:dyDescent="0.35">
      <c r="A342" s="8" t="s">
        <v>393</v>
      </c>
      <c r="B342" s="8" t="str">
        <f>IF(Table2[[#This Row],[Jenis_Proyek]]="", "Tidak Diketahui", Table2[[#This Row],[Jenis_Proyek]])</f>
        <v>Flyover</v>
      </c>
      <c r="C342" s="8" t="str">
        <f>IF(Table2[[#This Row],[Lokasi]]="", "Tidak Diketahui", Table2[[#This Row],[Lokasi]])</f>
        <v>Bandung</v>
      </c>
      <c r="D342" s="8" t="str">
        <f>IF(Table2[[#This Row],[Nama_Proyek]]="", "Tidak Diketahui", Table2[[#This Row],[Nama_Proyek]])</f>
        <v>Perbaikan Flyover Bandung</v>
      </c>
      <c r="E342" s="14">
        <v>45171</v>
      </c>
      <c r="F342" s="14">
        <v>45288</v>
      </c>
      <c r="G342" s="10">
        <v>2562733310</v>
      </c>
      <c r="H342" s="8" t="str">
        <f>IF(Table2[[#This Row],[Kontraktor]]="", "Tidak Diketahui",Table2[[#This Row],[Kontraktor]])</f>
        <v>PT B</v>
      </c>
      <c r="I342" s="11">
        <f>Table245[[#This Row],[Tanggal_Selesai]]-Table245[[#This Row],[Tanggal_Mulai]]</f>
        <v>117</v>
      </c>
      <c r="J342" s="17">
        <f>Table245[[#This Row],[Anggaran]]/Table245[[#This Row],[Durasi_Proyek]]</f>
        <v>21903703.504273504</v>
      </c>
      <c r="K342" s="11">
        <f>YEAR(Table245[[#This Row],[Tanggal_Mulai]])</f>
        <v>2023</v>
      </c>
    </row>
    <row r="343" spans="1:11" ht="14.25" customHeight="1" x14ac:dyDescent="0.35">
      <c r="A343" s="8" t="s">
        <v>394</v>
      </c>
      <c r="B343" s="8" t="str">
        <f>IF(Table2[[#This Row],[Jenis_Proyek]]="", "Tidak Diketahui", Table2[[#This Row],[Jenis_Proyek]])</f>
        <v>Jalan Raya</v>
      </c>
      <c r="C343" s="8" t="str">
        <f>IF(Table2[[#This Row],[Lokasi]]="", "Tidak Diketahui", Table2[[#This Row],[Lokasi]])</f>
        <v>Surabaya</v>
      </c>
      <c r="D343" s="8" t="str">
        <f>IF(Table2[[#This Row],[Nama_Proyek]]="", "Tidak Diketahui", Table2[[#This Row],[Nama_Proyek]])</f>
        <v>Perbaikan Jalan Raya Surabaya</v>
      </c>
      <c r="E343" s="14">
        <v>45172</v>
      </c>
      <c r="F343" s="14">
        <v>45435</v>
      </c>
      <c r="G343" s="10">
        <v>894294565</v>
      </c>
      <c r="H343" s="8" t="str">
        <f>IF(Table2[[#This Row],[Kontraktor]]="", "Tidak Diketahui",Table2[[#This Row],[Kontraktor]])</f>
        <v>PT D</v>
      </c>
      <c r="I343" s="11">
        <f>Table245[[#This Row],[Tanggal_Selesai]]-Table245[[#This Row],[Tanggal_Mulai]]</f>
        <v>263</v>
      </c>
      <c r="J343" s="17">
        <f>Table245[[#This Row],[Anggaran]]/Table245[[#This Row],[Durasi_Proyek]]</f>
        <v>3400359.5627376428</v>
      </c>
      <c r="K343" s="11">
        <f>YEAR(Table245[[#This Row],[Tanggal_Mulai]])</f>
        <v>2023</v>
      </c>
    </row>
    <row r="344" spans="1:11" ht="14.25" customHeight="1" x14ac:dyDescent="0.35">
      <c r="A344" s="8" t="s">
        <v>395</v>
      </c>
      <c r="B344" s="8" t="str">
        <f>IF(Table2[[#This Row],[Jenis_Proyek]]="", "Tidak Diketahui", Table2[[#This Row],[Jenis_Proyek]])</f>
        <v>Jembatan</v>
      </c>
      <c r="C344" s="8" t="str">
        <f>IF(Table2[[#This Row],[Lokasi]]="", "Tidak Diketahui", Table2[[#This Row],[Lokasi]])</f>
        <v>Makassar</v>
      </c>
      <c r="D344" s="8" t="str">
        <f>IF(Table2[[#This Row],[Nama_Proyek]]="", "Tidak Diketahui", Table2[[#This Row],[Nama_Proyek]])</f>
        <v>Perbaikan Jembatan Makassar</v>
      </c>
      <c r="E344" s="14">
        <v>45173</v>
      </c>
      <c r="F344" s="14">
        <v>45340</v>
      </c>
      <c r="G344" s="10">
        <v>661378979</v>
      </c>
      <c r="H344" s="8" t="str">
        <f>IF(Table2[[#This Row],[Kontraktor]]="", "Tidak Diketahui",Table2[[#This Row],[Kontraktor]])</f>
        <v>PT. Yuniar Hakim Tbk</v>
      </c>
      <c r="I344" s="11">
        <f>Table245[[#This Row],[Tanggal_Selesai]]-Table245[[#This Row],[Tanggal_Mulai]]</f>
        <v>167</v>
      </c>
      <c r="J344" s="17">
        <f>Table245[[#This Row],[Anggaran]]/Table245[[#This Row],[Durasi_Proyek]]</f>
        <v>3960353.1676646709</v>
      </c>
      <c r="K344" s="11">
        <f>YEAR(Table245[[#This Row],[Tanggal_Mulai]])</f>
        <v>2023</v>
      </c>
    </row>
    <row r="345" spans="1:11" ht="14.25" customHeight="1" x14ac:dyDescent="0.35">
      <c r="A345" s="8" t="s">
        <v>396</v>
      </c>
      <c r="B345" s="8" t="str">
        <f>IF(Table2[[#This Row],[Jenis_Proyek]]="", "Tidak Diketahui", Table2[[#This Row],[Jenis_Proyek]])</f>
        <v>Flyover</v>
      </c>
      <c r="C345" s="8" t="str">
        <f>IF(Table2[[#This Row],[Lokasi]]="", "Tidak Diketahui", Table2[[#This Row],[Lokasi]])</f>
        <v>Bandung</v>
      </c>
      <c r="D345" s="8" t="str">
        <f>IF(Table2[[#This Row],[Nama_Proyek]]="", "Tidak Diketahui", Table2[[#This Row],[Nama_Proyek]])</f>
        <v>Perbaikan Flyover Bandung</v>
      </c>
      <c r="E345" s="14">
        <v>45175</v>
      </c>
      <c r="F345" s="14">
        <v>45316</v>
      </c>
      <c r="G345" s="10">
        <v>2081376801</v>
      </c>
      <c r="H345" s="8" t="str">
        <f>IF(Table2[[#This Row],[Kontraktor]]="", "Tidak Diketahui",Table2[[#This Row],[Kontraktor]])</f>
        <v>Tidak Diketahui</v>
      </c>
      <c r="I345" s="11">
        <f>Table245[[#This Row],[Tanggal_Selesai]]-Table245[[#This Row],[Tanggal_Mulai]]</f>
        <v>141</v>
      </c>
      <c r="J345" s="17">
        <f>Table245[[#This Row],[Anggaran]]/Table245[[#This Row],[Durasi_Proyek]]</f>
        <v>14761537.595744681</v>
      </c>
      <c r="K345" s="11">
        <f>YEAR(Table245[[#This Row],[Tanggal_Mulai]])</f>
        <v>2023</v>
      </c>
    </row>
    <row r="346" spans="1:11" ht="14.25" customHeight="1" x14ac:dyDescent="0.35">
      <c r="A346" s="8" t="s">
        <v>397</v>
      </c>
      <c r="B346" s="8" t="str">
        <f>IF(Table2[[#This Row],[Jenis_Proyek]]="", "Tidak Diketahui", Table2[[#This Row],[Jenis_Proyek]])</f>
        <v>Drainase</v>
      </c>
      <c r="C346" s="8" t="str">
        <f>IF(Table2[[#This Row],[Lokasi]]="", "Tidak Diketahui", Table2[[#This Row],[Lokasi]])</f>
        <v>Bau-Bau</v>
      </c>
      <c r="D346" s="8" t="str">
        <f>IF(Table2[[#This Row],[Nama_Proyek]]="", "Tidak Diketahui", Table2[[#This Row],[Nama_Proyek]])</f>
        <v>Perbaikan Drainase Bau-Bau</v>
      </c>
      <c r="E346" s="14">
        <v>45177</v>
      </c>
      <c r="F346" s="14">
        <v>45477</v>
      </c>
      <c r="G346" s="10">
        <v>609956841</v>
      </c>
      <c r="H346" s="8" t="str">
        <f>IF(Table2[[#This Row],[Kontraktor]]="", "Tidak Diketahui",Table2[[#This Row],[Kontraktor]])</f>
        <v>PT B</v>
      </c>
      <c r="I346" s="11">
        <f>Table245[[#This Row],[Tanggal_Selesai]]-Table245[[#This Row],[Tanggal_Mulai]]</f>
        <v>300</v>
      </c>
      <c r="J346" s="17">
        <f>Table245[[#This Row],[Anggaran]]/Table245[[#This Row],[Durasi_Proyek]]</f>
        <v>2033189.47</v>
      </c>
      <c r="K346" s="11">
        <f>YEAR(Table245[[#This Row],[Tanggal_Mulai]])</f>
        <v>2023</v>
      </c>
    </row>
    <row r="347" spans="1:11" ht="14.25" customHeight="1" x14ac:dyDescent="0.35">
      <c r="A347" s="8" t="s">
        <v>398</v>
      </c>
      <c r="B347" s="8" t="str">
        <f>IF(Table2[[#This Row],[Jenis_Proyek]]="", "Tidak Diketahui", Table2[[#This Row],[Jenis_Proyek]])</f>
        <v>Gedung</v>
      </c>
      <c r="C347" s="8" t="str">
        <f>IF(Table2[[#This Row],[Lokasi]]="", "Tidak Diketahui", Table2[[#This Row],[Lokasi]])</f>
        <v>Surabaya</v>
      </c>
      <c r="D347" s="8" t="str">
        <f>IF(Table2[[#This Row],[Nama_Proyek]]="", "Tidak Diketahui", Table2[[#This Row],[Nama_Proyek]])</f>
        <v>Perbaikan Gedung Pemerintah Surabaya</v>
      </c>
      <c r="E347" s="14">
        <v>45178</v>
      </c>
      <c r="F347" s="14">
        <v>45449</v>
      </c>
      <c r="G347" s="10">
        <v>4372183615</v>
      </c>
      <c r="H347" s="8" t="str">
        <f>IF(Table2[[#This Row],[Kontraktor]]="", "Tidak Diketahui",Table2[[#This Row],[Kontraktor]])</f>
        <v>PT D</v>
      </c>
      <c r="I347" s="11">
        <f>Table245[[#This Row],[Tanggal_Selesai]]-Table245[[#This Row],[Tanggal_Mulai]]</f>
        <v>271</v>
      </c>
      <c r="J347" s="17">
        <f>Table245[[#This Row],[Anggaran]]/Table245[[#This Row],[Durasi_Proyek]]</f>
        <v>16133518.874538746</v>
      </c>
      <c r="K347" s="11">
        <f>YEAR(Table245[[#This Row],[Tanggal_Mulai]])</f>
        <v>2023</v>
      </c>
    </row>
    <row r="348" spans="1:11" ht="14.25" customHeight="1" x14ac:dyDescent="0.35">
      <c r="A348" s="8" t="s">
        <v>399</v>
      </c>
      <c r="B348" s="8" t="str">
        <f>IF(Table2[[#This Row],[Jenis_Proyek]]="", "Tidak Diketahui", Table2[[#This Row],[Jenis_Proyek]])</f>
        <v>Gedung</v>
      </c>
      <c r="C348" s="8" t="str">
        <f>IF(Table2[[#This Row],[Lokasi]]="", "Tidak Diketahui", Table2[[#This Row],[Lokasi]])</f>
        <v>Tomohon</v>
      </c>
      <c r="D348" s="8" t="str">
        <f>IF(Table2[[#This Row],[Nama_Proyek]]="", "Tidak Diketahui", Table2[[#This Row],[Nama_Proyek]])</f>
        <v>Perbaikan Gedung Pemerintah Tomohon</v>
      </c>
      <c r="E348" s="14">
        <v>45178</v>
      </c>
      <c r="F348" s="14">
        <v>45540</v>
      </c>
      <c r="G348" s="10">
        <v>7734024053</v>
      </c>
      <c r="H348" s="8" t="str">
        <f>IF(Table2[[#This Row],[Kontraktor]]="", "Tidak Diketahui",Table2[[#This Row],[Kontraktor]])</f>
        <v>PT. Yuniar Hakim Tbk</v>
      </c>
      <c r="I348" s="11">
        <f>Table245[[#This Row],[Tanggal_Selesai]]-Table245[[#This Row],[Tanggal_Mulai]]</f>
        <v>362</v>
      </c>
      <c r="J348" s="17">
        <f>Table245[[#This Row],[Anggaran]]/Table245[[#This Row],[Durasi_Proyek]]</f>
        <v>21364707.328729283</v>
      </c>
      <c r="K348" s="11">
        <f>YEAR(Table245[[#This Row],[Tanggal_Mulai]])</f>
        <v>2023</v>
      </c>
    </row>
    <row r="349" spans="1:11" ht="14.25" customHeight="1" x14ac:dyDescent="0.35">
      <c r="A349" s="8" t="s">
        <v>400</v>
      </c>
      <c r="B349" s="8" t="str">
        <f>IF(Table2[[#This Row],[Jenis_Proyek]]="", "Tidak Diketahui", Table2[[#This Row],[Jenis_Proyek]])</f>
        <v>Flyover</v>
      </c>
      <c r="C349" s="8" t="str">
        <f>IF(Table2[[#This Row],[Lokasi]]="", "Tidak Diketahui", Table2[[#This Row],[Lokasi]])</f>
        <v>Tomohon</v>
      </c>
      <c r="D349" s="8" t="str">
        <f>IF(Table2[[#This Row],[Nama_Proyek]]="", "Tidak Diketahui", Table2[[#This Row],[Nama_Proyek]])</f>
        <v>Pembuatan Flyover Tomohon</v>
      </c>
      <c r="E349" s="14">
        <v>45178</v>
      </c>
      <c r="F349" s="14">
        <v>45457</v>
      </c>
      <c r="G349" s="10">
        <v>2237295280</v>
      </c>
      <c r="H349" s="8" t="str">
        <f>IF(Table2[[#This Row],[Kontraktor]]="", "Tidak Diketahui",Table2[[#This Row],[Kontraktor]])</f>
        <v>PT. Lailasari Hariyah (Persero) Tbk</v>
      </c>
      <c r="I349" s="11">
        <f>Table245[[#This Row],[Tanggal_Selesai]]-Table245[[#This Row],[Tanggal_Mulai]]</f>
        <v>279</v>
      </c>
      <c r="J349" s="17">
        <f>Table245[[#This Row],[Anggaran]]/Table245[[#This Row],[Durasi_Proyek]]</f>
        <v>8018979.4982078848</v>
      </c>
      <c r="K349" s="11">
        <f>YEAR(Table245[[#This Row],[Tanggal_Mulai]])</f>
        <v>2023</v>
      </c>
    </row>
    <row r="350" spans="1:11" ht="14.25" customHeight="1" x14ac:dyDescent="0.35">
      <c r="A350" s="8" t="s">
        <v>401</v>
      </c>
      <c r="B350" s="8" t="str">
        <f>IF(Table2[[#This Row],[Jenis_Proyek]]="", "Tidak Diketahui", Table2[[#This Row],[Jenis_Proyek]])</f>
        <v>Jembatan</v>
      </c>
      <c r="C350" s="8" t="str">
        <f>IF(Table2[[#This Row],[Lokasi]]="", "Tidak Diketahui", Table2[[#This Row],[Lokasi]])</f>
        <v>Bandung</v>
      </c>
      <c r="D350" s="8" t="str">
        <f>IF(Table2[[#This Row],[Nama_Proyek]]="", "Tidak Diketahui", Table2[[#This Row],[Nama_Proyek]])</f>
        <v>Pembuatan Jembatan Bandung</v>
      </c>
      <c r="E350" s="14">
        <v>45178</v>
      </c>
      <c r="F350" s="14">
        <v>45279</v>
      </c>
      <c r="G350" s="10">
        <v>4595910673</v>
      </c>
      <c r="H350" s="8" t="str">
        <f>IF(Table2[[#This Row],[Kontraktor]]="", "Tidak Diketahui",Table2[[#This Row],[Kontraktor]])</f>
        <v>PT C</v>
      </c>
      <c r="I350" s="11">
        <f>Table245[[#This Row],[Tanggal_Selesai]]-Table245[[#This Row],[Tanggal_Mulai]]</f>
        <v>101</v>
      </c>
      <c r="J350" s="17">
        <f>Table245[[#This Row],[Anggaran]]/Table245[[#This Row],[Durasi_Proyek]]</f>
        <v>45504066.069306932</v>
      </c>
      <c r="K350" s="11">
        <f>YEAR(Table245[[#This Row],[Tanggal_Mulai]])</f>
        <v>2023</v>
      </c>
    </row>
    <row r="351" spans="1:11" ht="14.25" customHeight="1" x14ac:dyDescent="0.35">
      <c r="A351" s="8" t="s">
        <v>402</v>
      </c>
      <c r="B351" s="8" t="str">
        <f>IF(Table2[[#This Row],[Jenis_Proyek]]="", "Tidak Diketahui", Table2[[#This Row],[Jenis_Proyek]])</f>
        <v>Jembatan</v>
      </c>
      <c r="C351" s="8" t="str">
        <f>IF(Table2[[#This Row],[Lokasi]]="", "Tidak Diketahui", Table2[[#This Row],[Lokasi]])</f>
        <v>Makassar</v>
      </c>
      <c r="D351" s="8" t="str">
        <f>IF(Table2[[#This Row],[Nama_Proyek]]="", "Tidak Diketahui", Table2[[#This Row],[Nama_Proyek]])</f>
        <v>Perbaikan Jembatan Makassar</v>
      </c>
      <c r="E351" s="14">
        <v>45179</v>
      </c>
      <c r="F351" s="14">
        <v>45400</v>
      </c>
      <c r="G351" s="10">
        <v>5159672072</v>
      </c>
      <c r="H351" s="8" t="str">
        <f>IF(Table2[[#This Row],[Kontraktor]]="", "Tidak Diketahui",Table2[[#This Row],[Kontraktor]])</f>
        <v>CV Sihombing</v>
      </c>
      <c r="I351" s="11">
        <f>Table245[[#This Row],[Tanggal_Selesai]]-Table245[[#This Row],[Tanggal_Mulai]]</f>
        <v>221</v>
      </c>
      <c r="J351" s="17">
        <f>Table245[[#This Row],[Anggaran]]/Table245[[#This Row],[Durasi_Proyek]]</f>
        <v>23346932.452488687</v>
      </c>
      <c r="K351" s="11">
        <f>YEAR(Table245[[#This Row],[Tanggal_Mulai]])</f>
        <v>2023</v>
      </c>
    </row>
    <row r="352" spans="1:11" ht="14.25" customHeight="1" x14ac:dyDescent="0.35">
      <c r="A352" s="8" t="s">
        <v>403</v>
      </c>
      <c r="B352" s="8" t="str">
        <f>IF(Table2[[#This Row],[Jenis_Proyek]]="", "Tidak Diketahui", Table2[[#This Row],[Jenis_Proyek]])</f>
        <v>Gedung</v>
      </c>
      <c r="C352" s="8" t="str">
        <f>IF(Table2[[#This Row],[Lokasi]]="", "Tidak Diketahui", Table2[[#This Row],[Lokasi]])</f>
        <v>Bau-Bau</v>
      </c>
      <c r="D352" s="8" t="str">
        <f>IF(Table2[[#This Row],[Nama_Proyek]]="", "Tidak Diketahui", Table2[[#This Row],[Nama_Proyek]])</f>
        <v>Perbaikan Gedung Pemerintah Bau-Bau</v>
      </c>
      <c r="E352" s="14">
        <v>45180</v>
      </c>
      <c r="F352" s="14">
        <v>45270</v>
      </c>
      <c r="G352" s="10">
        <v>6721798052</v>
      </c>
      <c r="H352" s="8" t="str">
        <f>IF(Table2[[#This Row],[Kontraktor]]="", "Tidak Diketahui",Table2[[#This Row],[Kontraktor]])</f>
        <v>Tidak Diketahui</v>
      </c>
      <c r="I352" s="11">
        <f>Table245[[#This Row],[Tanggal_Selesai]]-Table245[[#This Row],[Tanggal_Mulai]]</f>
        <v>90</v>
      </c>
      <c r="J352" s="17">
        <f>Table245[[#This Row],[Anggaran]]/Table245[[#This Row],[Durasi_Proyek]]</f>
        <v>74686645.022222221</v>
      </c>
      <c r="K352" s="11">
        <f>YEAR(Table245[[#This Row],[Tanggal_Mulai]])</f>
        <v>2023</v>
      </c>
    </row>
    <row r="353" spans="1:11" ht="14.25" customHeight="1" x14ac:dyDescent="0.35">
      <c r="A353" s="8" t="s">
        <v>404</v>
      </c>
      <c r="B353" s="8" t="str">
        <f>IF(Table2[[#This Row],[Jenis_Proyek]]="", "Tidak Diketahui", Table2[[#This Row],[Jenis_Proyek]])</f>
        <v>Jembatan</v>
      </c>
      <c r="C353" s="8" t="str">
        <f>IF(Table2[[#This Row],[Lokasi]]="", "Tidak Diketahui", Table2[[#This Row],[Lokasi]])</f>
        <v>Bau-Bau</v>
      </c>
      <c r="D353" s="8" t="str">
        <f>IF(Table2[[#This Row],[Nama_Proyek]]="", "Tidak Diketahui", Table2[[#This Row],[Nama_Proyek]])</f>
        <v>Pembuatan Jembatan Bau-Bau</v>
      </c>
      <c r="E353" s="14">
        <v>45181</v>
      </c>
      <c r="F353" s="14">
        <v>45455</v>
      </c>
      <c r="G353" s="10">
        <v>4769425566</v>
      </c>
      <c r="H353" s="8" t="str">
        <f>IF(Table2[[#This Row],[Kontraktor]]="", "Tidak Diketahui",Table2[[#This Row],[Kontraktor]])</f>
        <v>CV Sihombing</v>
      </c>
      <c r="I353" s="11">
        <f>Table245[[#This Row],[Tanggal_Selesai]]-Table245[[#This Row],[Tanggal_Mulai]]</f>
        <v>274</v>
      </c>
      <c r="J353" s="17">
        <f>Table245[[#This Row],[Anggaran]]/Table245[[#This Row],[Durasi_Proyek]]</f>
        <v>17406662.649635036</v>
      </c>
      <c r="K353" s="11">
        <f>YEAR(Table245[[#This Row],[Tanggal_Mulai]])</f>
        <v>2023</v>
      </c>
    </row>
    <row r="354" spans="1:11" ht="14.25" customHeight="1" x14ac:dyDescent="0.35">
      <c r="A354" s="8" t="s">
        <v>405</v>
      </c>
      <c r="B354" s="8" t="str">
        <f>IF(Table2[[#This Row],[Jenis_Proyek]]="", "Tidak Diketahui", Table2[[#This Row],[Jenis_Proyek]])</f>
        <v>Jembatan</v>
      </c>
      <c r="C354" s="8" t="str">
        <f>IF(Table2[[#This Row],[Lokasi]]="", "Tidak Diketahui", Table2[[#This Row],[Lokasi]])</f>
        <v>Depok</v>
      </c>
      <c r="D354" s="8" t="str">
        <f>IF(Table2[[#This Row],[Nama_Proyek]]="", "Tidak Diketahui", Table2[[#This Row],[Nama_Proyek]])</f>
        <v>Pembuatan Jembatan Depok</v>
      </c>
      <c r="E354" s="14">
        <v>45183</v>
      </c>
      <c r="F354" s="14">
        <v>45255</v>
      </c>
      <c r="G354" s="10">
        <v>1336819118</v>
      </c>
      <c r="H354" s="8" t="str">
        <f>IF(Table2[[#This Row],[Kontraktor]]="", "Tidak Diketahui",Table2[[#This Row],[Kontraktor]])</f>
        <v>CV Sihombing</v>
      </c>
      <c r="I354" s="11">
        <f>Table245[[#This Row],[Tanggal_Selesai]]-Table245[[#This Row],[Tanggal_Mulai]]</f>
        <v>72</v>
      </c>
      <c r="J354" s="17">
        <f>Table245[[#This Row],[Anggaran]]/Table245[[#This Row],[Durasi_Proyek]]</f>
        <v>18566932.194444444</v>
      </c>
      <c r="K354" s="11">
        <f>YEAR(Table245[[#This Row],[Tanggal_Mulai]])</f>
        <v>2023</v>
      </c>
    </row>
    <row r="355" spans="1:11" ht="14.25" customHeight="1" x14ac:dyDescent="0.35">
      <c r="A355" s="8" t="s">
        <v>406</v>
      </c>
      <c r="B355" s="8" t="str">
        <f>IF(Table2[[#This Row],[Jenis_Proyek]]="", "Tidak Diketahui", Table2[[#This Row],[Jenis_Proyek]])</f>
        <v>Drainase</v>
      </c>
      <c r="C355" s="8" t="str">
        <f>IF(Table2[[#This Row],[Lokasi]]="", "Tidak Diketahui", Table2[[#This Row],[Lokasi]])</f>
        <v>Depok</v>
      </c>
      <c r="D355" s="8" t="str">
        <f>IF(Table2[[#This Row],[Nama_Proyek]]="", "Tidak Diketahui", Table2[[#This Row],[Nama_Proyek]])</f>
        <v>Perbaikan Drainase Depok</v>
      </c>
      <c r="E355" s="14">
        <v>45184</v>
      </c>
      <c r="F355" s="14">
        <v>45534</v>
      </c>
      <c r="G355" s="10">
        <v>471750376</v>
      </c>
      <c r="H355" s="8" t="str">
        <f>IF(Table2[[#This Row],[Kontraktor]]="", "Tidak Diketahui",Table2[[#This Row],[Kontraktor]])</f>
        <v>PT C</v>
      </c>
      <c r="I355" s="11">
        <f>Table245[[#This Row],[Tanggal_Selesai]]-Table245[[#This Row],[Tanggal_Mulai]]</f>
        <v>350</v>
      </c>
      <c r="J355" s="17">
        <f>Table245[[#This Row],[Anggaran]]/Table245[[#This Row],[Durasi_Proyek]]</f>
        <v>1347858.2171428571</v>
      </c>
      <c r="K355" s="11">
        <f>YEAR(Table245[[#This Row],[Tanggal_Mulai]])</f>
        <v>2023</v>
      </c>
    </row>
    <row r="356" spans="1:11" ht="14.25" customHeight="1" x14ac:dyDescent="0.35">
      <c r="A356" s="8" t="s">
        <v>407</v>
      </c>
      <c r="B356" s="8" t="str">
        <f>IF(Table2[[#This Row],[Jenis_Proyek]]="", "Tidak Diketahui", Table2[[#This Row],[Jenis_Proyek]])</f>
        <v>Jalan Raya</v>
      </c>
      <c r="C356" s="8" t="str">
        <f>IF(Table2[[#This Row],[Lokasi]]="", "Tidak Diketahui", Table2[[#This Row],[Lokasi]])</f>
        <v>Bau-Bau</v>
      </c>
      <c r="D356" s="8" t="str">
        <f>IF(Table2[[#This Row],[Nama_Proyek]]="", "Tidak Diketahui", Table2[[#This Row],[Nama_Proyek]])</f>
        <v>Perbaikan Jalan Raya Bau-Bau</v>
      </c>
      <c r="E356" s="14">
        <v>45184</v>
      </c>
      <c r="F356" s="14">
        <v>45239</v>
      </c>
      <c r="G356" s="10">
        <v>628901605</v>
      </c>
      <c r="H356" s="8" t="str">
        <f>IF(Table2[[#This Row],[Kontraktor]]="", "Tidak Diketahui",Table2[[#This Row],[Kontraktor]])</f>
        <v>PT C</v>
      </c>
      <c r="I356" s="11">
        <f>Table245[[#This Row],[Tanggal_Selesai]]-Table245[[#This Row],[Tanggal_Mulai]]</f>
        <v>55</v>
      </c>
      <c r="J356" s="17">
        <f>Table245[[#This Row],[Anggaran]]/Table245[[#This Row],[Durasi_Proyek]]</f>
        <v>11434574.636363637</v>
      </c>
      <c r="K356" s="11">
        <f>YEAR(Table245[[#This Row],[Tanggal_Mulai]])</f>
        <v>2023</v>
      </c>
    </row>
    <row r="357" spans="1:11" ht="14.25" customHeight="1" x14ac:dyDescent="0.35">
      <c r="A357" s="8" t="s">
        <v>408</v>
      </c>
      <c r="B357" s="8" t="str">
        <f>IF(Table2[[#This Row],[Jenis_Proyek]]="", "Tidak Diketahui", Table2[[#This Row],[Jenis_Proyek]])</f>
        <v>Jembatan</v>
      </c>
      <c r="C357" s="8" t="str">
        <f>IF(Table2[[#This Row],[Lokasi]]="", "Tidak Diketahui", Table2[[#This Row],[Lokasi]])</f>
        <v>Medan</v>
      </c>
      <c r="D357" s="8" t="str">
        <f>IF(Table2[[#This Row],[Nama_Proyek]]="", "Tidak Diketahui", Table2[[#This Row],[Nama_Proyek]])</f>
        <v>Perbaikan Jembatan Medan</v>
      </c>
      <c r="E357" s="14">
        <v>45185</v>
      </c>
      <c r="F357" s="14">
        <v>45273</v>
      </c>
      <c r="G357" s="10">
        <v>1251866235</v>
      </c>
      <c r="H357" s="8" t="str">
        <f>IF(Table2[[#This Row],[Kontraktor]]="", "Tidak Diketahui",Table2[[#This Row],[Kontraktor]])</f>
        <v>PT A</v>
      </c>
      <c r="I357" s="11">
        <f>Table245[[#This Row],[Tanggal_Selesai]]-Table245[[#This Row],[Tanggal_Mulai]]</f>
        <v>88</v>
      </c>
      <c r="J357" s="17">
        <f>Table245[[#This Row],[Anggaran]]/Table245[[#This Row],[Durasi_Proyek]]</f>
        <v>14225752.670454545</v>
      </c>
      <c r="K357" s="11">
        <f>YEAR(Table245[[#This Row],[Tanggal_Mulai]])</f>
        <v>2023</v>
      </c>
    </row>
    <row r="358" spans="1:11" ht="14.25" customHeight="1" x14ac:dyDescent="0.35">
      <c r="A358" s="8" t="s">
        <v>409</v>
      </c>
      <c r="B358" s="8" t="str">
        <f>IF(Table2[[#This Row],[Jenis_Proyek]]="", "Tidak Diketahui", Table2[[#This Row],[Jenis_Proyek]])</f>
        <v>Jalan Raya</v>
      </c>
      <c r="C358" s="8" t="str">
        <f>IF(Table2[[#This Row],[Lokasi]]="", "Tidak Diketahui", Table2[[#This Row],[Lokasi]])</f>
        <v>Jakarta</v>
      </c>
      <c r="D358" s="8" t="str">
        <f>IF(Table2[[#This Row],[Nama_Proyek]]="", "Tidak Diketahui", Table2[[#This Row],[Nama_Proyek]])</f>
        <v>Perbaikan Jalan Raya Jakarta</v>
      </c>
      <c r="E358" s="14">
        <v>45185</v>
      </c>
      <c r="F358" s="14">
        <v>45404</v>
      </c>
      <c r="G358" s="10">
        <v>321020182</v>
      </c>
      <c r="H358" s="8" t="str">
        <f>IF(Table2[[#This Row],[Kontraktor]]="", "Tidak Diketahui",Table2[[#This Row],[Kontraktor]])</f>
        <v>PT D</v>
      </c>
      <c r="I358" s="11">
        <f>Table245[[#This Row],[Tanggal_Selesai]]-Table245[[#This Row],[Tanggal_Mulai]]</f>
        <v>219</v>
      </c>
      <c r="J358" s="17">
        <f>Table245[[#This Row],[Anggaran]]/Table245[[#This Row],[Durasi_Proyek]]</f>
        <v>1465845.5799086757</v>
      </c>
      <c r="K358" s="11">
        <f>YEAR(Table245[[#This Row],[Tanggal_Mulai]])</f>
        <v>2023</v>
      </c>
    </row>
    <row r="359" spans="1:11" ht="14.25" customHeight="1" x14ac:dyDescent="0.35">
      <c r="A359" s="8" t="s">
        <v>410</v>
      </c>
      <c r="B359" s="8" t="str">
        <f>IF(Table2[[#This Row],[Jenis_Proyek]]="", "Tidak Diketahui", Table2[[#This Row],[Jenis_Proyek]])</f>
        <v>Jembatan</v>
      </c>
      <c r="C359" s="8" t="str">
        <f>IF(Table2[[#This Row],[Lokasi]]="", "Tidak Diketahui", Table2[[#This Row],[Lokasi]])</f>
        <v>Tomohon</v>
      </c>
      <c r="D359" s="8" t="str">
        <f>IF(Table2[[#This Row],[Nama_Proyek]]="", "Tidak Diketahui", Table2[[#This Row],[Nama_Proyek]])</f>
        <v>Perbaikan Jembatan Tomohon</v>
      </c>
      <c r="E359" s="14">
        <v>45186</v>
      </c>
      <c r="F359" s="14">
        <v>45477</v>
      </c>
      <c r="G359" s="10">
        <v>4533278952</v>
      </c>
      <c r="H359" s="8" t="str">
        <f>IF(Table2[[#This Row],[Kontraktor]]="", "Tidak Diketahui",Table2[[#This Row],[Kontraktor]])</f>
        <v>PT. Yuniar Hakim Tbk</v>
      </c>
      <c r="I359" s="11">
        <f>Table245[[#This Row],[Tanggal_Selesai]]-Table245[[#This Row],[Tanggal_Mulai]]</f>
        <v>291</v>
      </c>
      <c r="J359" s="17">
        <f>Table245[[#This Row],[Anggaran]]/Table245[[#This Row],[Durasi_Proyek]]</f>
        <v>15578278.18556701</v>
      </c>
      <c r="K359" s="11">
        <f>YEAR(Table245[[#This Row],[Tanggal_Mulai]])</f>
        <v>2023</v>
      </c>
    </row>
    <row r="360" spans="1:11" ht="14.25" customHeight="1" x14ac:dyDescent="0.35">
      <c r="A360" s="8" t="s">
        <v>411</v>
      </c>
      <c r="B360" s="8" t="str">
        <f>IF(Table2[[#This Row],[Jenis_Proyek]]="", "Tidak Diketahui", Table2[[#This Row],[Jenis_Proyek]])</f>
        <v>Gedung</v>
      </c>
      <c r="C360" s="8" t="str">
        <f>IF(Table2[[#This Row],[Lokasi]]="", "Tidak Diketahui", Table2[[#This Row],[Lokasi]])</f>
        <v>Jakarta</v>
      </c>
      <c r="D360" s="8" t="str">
        <f>IF(Table2[[#This Row],[Nama_Proyek]]="", "Tidak Diketahui", Table2[[#This Row],[Nama_Proyek]])</f>
        <v>Perbaikan Gedung Pemerintah Jakarta</v>
      </c>
      <c r="E360" s="14">
        <v>45187</v>
      </c>
      <c r="F360" s="14">
        <v>45493</v>
      </c>
      <c r="G360" s="10">
        <v>4814287975</v>
      </c>
      <c r="H360" s="8" t="str">
        <f>IF(Table2[[#This Row],[Kontraktor]]="", "Tidak Diketahui",Table2[[#This Row],[Kontraktor]])</f>
        <v>PT. Yuniar Hakim Tbk</v>
      </c>
      <c r="I360" s="11">
        <f>Table245[[#This Row],[Tanggal_Selesai]]-Table245[[#This Row],[Tanggal_Mulai]]</f>
        <v>306</v>
      </c>
      <c r="J360" s="17">
        <f>Table245[[#This Row],[Anggaran]]/Table245[[#This Row],[Durasi_Proyek]]</f>
        <v>15732967.238562092</v>
      </c>
      <c r="K360" s="11">
        <f>YEAR(Table245[[#This Row],[Tanggal_Mulai]])</f>
        <v>2023</v>
      </c>
    </row>
    <row r="361" spans="1:11" ht="14.25" customHeight="1" x14ac:dyDescent="0.35">
      <c r="A361" s="8" t="s">
        <v>412</v>
      </c>
      <c r="B361" s="8" t="str">
        <f>IF(Table2[[#This Row],[Jenis_Proyek]]="", "Tidak Diketahui", Table2[[#This Row],[Jenis_Proyek]])</f>
        <v>Jembatan</v>
      </c>
      <c r="C361" s="8" t="str">
        <f>IF(Table2[[#This Row],[Lokasi]]="", "Tidak Diketahui", Table2[[#This Row],[Lokasi]])</f>
        <v>Depok</v>
      </c>
      <c r="D361" s="8" t="str">
        <f>IF(Table2[[#This Row],[Nama_Proyek]]="", "Tidak Diketahui", Table2[[#This Row],[Nama_Proyek]])</f>
        <v>Perbaikan Jembatan Depok</v>
      </c>
      <c r="E361" s="14">
        <v>45188</v>
      </c>
      <c r="F361" s="14">
        <v>45328</v>
      </c>
      <c r="G361" s="10">
        <v>5011848562</v>
      </c>
      <c r="H361" s="8" t="str">
        <f>IF(Table2[[#This Row],[Kontraktor]]="", "Tidak Diketahui",Table2[[#This Row],[Kontraktor]])</f>
        <v>PT B</v>
      </c>
      <c r="I361" s="11">
        <f>Table245[[#This Row],[Tanggal_Selesai]]-Table245[[#This Row],[Tanggal_Mulai]]</f>
        <v>140</v>
      </c>
      <c r="J361" s="17">
        <f>Table245[[#This Row],[Anggaran]]/Table245[[#This Row],[Durasi_Proyek]]</f>
        <v>35798918.299999997</v>
      </c>
      <c r="K361" s="11">
        <f>YEAR(Table245[[#This Row],[Tanggal_Mulai]])</f>
        <v>2023</v>
      </c>
    </row>
    <row r="362" spans="1:11" ht="14.25" customHeight="1" x14ac:dyDescent="0.35">
      <c r="A362" s="8" t="s">
        <v>413</v>
      </c>
      <c r="B362" s="8" t="str">
        <f>IF(Table2[[#This Row],[Jenis_Proyek]]="", "Tidak Diketahui", Table2[[#This Row],[Jenis_Proyek]])</f>
        <v>Flyover</v>
      </c>
      <c r="C362" s="8" t="str">
        <f>IF(Table2[[#This Row],[Lokasi]]="", "Tidak Diketahui", Table2[[#This Row],[Lokasi]])</f>
        <v>Bandung</v>
      </c>
      <c r="D362" s="8" t="str">
        <f>IF(Table2[[#This Row],[Nama_Proyek]]="", "Tidak Diketahui", Table2[[#This Row],[Nama_Proyek]])</f>
        <v>Pembuatan Flyover Bandung</v>
      </c>
      <c r="E362" s="14">
        <v>45188</v>
      </c>
      <c r="F362" s="14">
        <v>45364</v>
      </c>
      <c r="G362" s="10">
        <v>2187444281</v>
      </c>
      <c r="H362" s="8" t="str">
        <f>IF(Table2[[#This Row],[Kontraktor]]="", "Tidak Diketahui",Table2[[#This Row],[Kontraktor]])</f>
        <v>CV Sihombing</v>
      </c>
      <c r="I362" s="11">
        <f>Table245[[#This Row],[Tanggal_Selesai]]-Table245[[#This Row],[Tanggal_Mulai]]</f>
        <v>176</v>
      </c>
      <c r="J362" s="17">
        <f>Table245[[#This Row],[Anggaran]]/Table245[[#This Row],[Durasi_Proyek]]</f>
        <v>12428660.6875</v>
      </c>
      <c r="K362" s="11">
        <f>YEAR(Table245[[#This Row],[Tanggal_Mulai]])</f>
        <v>2023</v>
      </c>
    </row>
    <row r="363" spans="1:11" ht="14.25" customHeight="1" x14ac:dyDescent="0.35">
      <c r="A363" s="8" t="s">
        <v>414</v>
      </c>
      <c r="B363" s="8" t="str">
        <f>IF(Table2[[#This Row],[Jenis_Proyek]]="", "Tidak Diketahui", Table2[[#This Row],[Jenis_Proyek]])</f>
        <v>Jembatan</v>
      </c>
      <c r="C363" s="8" t="str">
        <f>IF(Table2[[#This Row],[Lokasi]]="", "Tidak Diketahui", Table2[[#This Row],[Lokasi]])</f>
        <v>Jakarta</v>
      </c>
      <c r="D363" s="8" t="str">
        <f>IF(Table2[[#This Row],[Nama_Proyek]]="", "Tidak Diketahui", Table2[[#This Row],[Nama_Proyek]])</f>
        <v>Perbaikan Jembatan Jakarta</v>
      </c>
      <c r="E363" s="14">
        <v>45188</v>
      </c>
      <c r="F363" s="14">
        <v>45245</v>
      </c>
      <c r="G363" s="10">
        <v>3086567364</v>
      </c>
      <c r="H363" s="8" t="str">
        <f>IF(Table2[[#This Row],[Kontraktor]]="", "Tidak Diketahui",Table2[[#This Row],[Kontraktor]])</f>
        <v>PT D</v>
      </c>
      <c r="I363" s="11">
        <f>Table245[[#This Row],[Tanggal_Selesai]]-Table245[[#This Row],[Tanggal_Mulai]]</f>
        <v>57</v>
      </c>
      <c r="J363" s="17">
        <f>Table245[[#This Row],[Anggaran]]/Table245[[#This Row],[Durasi_Proyek]]</f>
        <v>54150304.631578945</v>
      </c>
      <c r="K363" s="11">
        <f>YEAR(Table245[[#This Row],[Tanggal_Mulai]])</f>
        <v>2023</v>
      </c>
    </row>
    <row r="364" spans="1:11" ht="14.25" customHeight="1" x14ac:dyDescent="0.35">
      <c r="A364" s="8" t="s">
        <v>415</v>
      </c>
      <c r="B364" s="8" t="str">
        <f>IF(Table2[[#This Row],[Jenis_Proyek]]="", "Tidak Diketahui", Table2[[#This Row],[Jenis_Proyek]])</f>
        <v>Jembatan</v>
      </c>
      <c r="C364" s="8" t="str">
        <f>IF(Table2[[#This Row],[Lokasi]]="", "Tidak Diketahui", Table2[[#This Row],[Lokasi]])</f>
        <v>Bau-Bau</v>
      </c>
      <c r="D364" s="8" t="str">
        <f>IF(Table2[[#This Row],[Nama_Proyek]]="", "Tidak Diketahui", Table2[[#This Row],[Nama_Proyek]])</f>
        <v>Perbaikan Jembatan Bau-Bau</v>
      </c>
      <c r="E364" s="14">
        <v>45191</v>
      </c>
      <c r="F364" s="14">
        <v>45375</v>
      </c>
      <c r="G364" s="10">
        <v>3308514312</v>
      </c>
      <c r="H364" s="8" t="str">
        <f>IF(Table2[[#This Row],[Kontraktor]]="", "Tidak Diketahui",Table2[[#This Row],[Kontraktor]])</f>
        <v>PT A</v>
      </c>
      <c r="I364" s="11">
        <f>Table245[[#This Row],[Tanggal_Selesai]]-Table245[[#This Row],[Tanggal_Mulai]]</f>
        <v>184</v>
      </c>
      <c r="J364" s="17">
        <f>Table245[[#This Row],[Anggaran]]/Table245[[#This Row],[Durasi_Proyek]]</f>
        <v>17981056.043478262</v>
      </c>
      <c r="K364" s="11">
        <f>YEAR(Table245[[#This Row],[Tanggal_Mulai]])</f>
        <v>2023</v>
      </c>
    </row>
    <row r="365" spans="1:11" ht="14.25" customHeight="1" x14ac:dyDescent="0.35">
      <c r="A365" s="8" t="s">
        <v>416</v>
      </c>
      <c r="B365" s="8" t="str">
        <f>IF(Table2[[#This Row],[Jenis_Proyek]]="", "Tidak Diketahui", Table2[[#This Row],[Jenis_Proyek]])</f>
        <v>Jalan Raya</v>
      </c>
      <c r="C365" s="8" t="str">
        <f>IF(Table2[[#This Row],[Lokasi]]="", "Tidak Diketahui", Table2[[#This Row],[Lokasi]])</f>
        <v>Medan</v>
      </c>
      <c r="D365" s="8" t="str">
        <f>IF(Table2[[#This Row],[Nama_Proyek]]="", "Tidak Diketahui", Table2[[#This Row],[Nama_Proyek]])</f>
        <v>Perbaikan Jalan Raya Medan</v>
      </c>
      <c r="E365" s="14">
        <v>45192</v>
      </c>
      <c r="F365" s="14">
        <v>45532</v>
      </c>
      <c r="G365" s="10">
        <v>283571018</v>
      </c>
      <c r="H365" s="8" t="str">
        <f>IF(Table2[[#This Row],[Kontraktor]]="", "Tidak Diketahui",Table2[[#This Row],[Kontraktor]])</f>
        <v>PT. Yuniar Hakim Tbk</v>
      </c>
      <c r="I365" s="11">
        <f>Table245[[#This Row],[Tanggal_Selesai]]-Table245[[#This Row],[Tanggal_Mulai]]</f>
        <v>340</v>
      </c>
      <c r="J365" s="17">
        <f>Table245[[#This Row],[Anggaran]]/Table245[[#This Row],[Durasi_Proyek]]</f>
        <v>834032.40588235296</v>
      </c>
      <c r="K365" s="11">
        <f>YEAR(Table245[[#This Row],[Tanggal_Mulai]])</f>
        <v>2023</v>
      </c>
    </row>
    <row r="366" spans="1:11" ht="14.25" customHeight="1" x14ac:dyDescent="0.35">
      <c r="A366" s="8" t="s">
        <v>417</v>
      </c>
      <c r="B366" s="8" t="str">
        <f>IF(Table2[[#This Row],[Jenis_Proyek]]="", "Tidak Diketahui", Table2[[#This Row],[Jenis_Proyek]])</f>
        <v>Gedung</v>
      </c>
      <c r="C366" s="8" t="str">
        <f>IF(Table2[[#This Row],[Lokasi]]="", "Tidak Diketahui", Table2[[#This Row],[Lokasi]])</f>
        <v>Medan</v>
      </c>
      <c r="D366" s="8" t="str">
        <f>IF(Table2[[#This Row],[Nama_Proyek]]="", "Tidak Diketahui", Table2[[#This Row],[Nama_Proyek]])</f>
        <v>Perbaikan Gedung Pemerintah Medan</v>
      </c>
      <c r="E366" s="14">
        <v>45192</v>
      </c>
      <c r="F366" s="14">
        <v>45361</v>
      </c>
      <c r="G366" s="10">
        <v>7071217769</v>
      </c>
      <c r="H366" s="8" t="str">
        <f>IF(Table2[[#This Row],[Kontraktor]]="", "Tidak Diketahui",Table2[[#This Row],[Kontraktor]])</f>
        <v>PT C</v>
      </c>
      <c r="I366" s="11">
        <f>Table245[[#This Row],[Tanggal_Selesai]]-Table245[[#This Row],[Tanggal_Mulai]]</f>
        <v>169</v>
      </c>
      <c r="J366" s="17">
        <f>Table245[[#This Row],[Anggaran]]/Table245[[#This Row],[Durasi_Proyek]]</f>
        <v>41841525.260355033</v>
      </c>
      <c r="K366" s="11">
        <f>YEAR(Table245[[#This Row],[Tanggal_Mulai]])</f>
        <v>2023</v>
      </c>
    </row>
    <row r="367" spans="1:11" ht="14.25" customHeight="1" x14ac:dyDescent="0.35">
      <c r="A367" s="8" t="s">
        <v>418</v>
      </c>
      <c r="B367" s="8" t="str">
        <f>IF(Table2[[#This Row],[Jenis_Proyek]]="", "Tidak Diketahui", Table2[[#This Row],[Jenis_Proyek]])</f>
        <v>Jembatan</v>
      </c>
      <c r="C367" s="8" t="str">
        <f>IF(Table2[[#This Row],[Lokasi]]="", "Tidak Diketahui", Table2[[#This Row],[Lokasi]])</f>
        <v>Medan</v>
      </c>
      <c r="D367" s="8" t="str">
        <f>IF(Table2[[#This Row],[Nama_Proyek]]="", "Tidak Diketahui", Table2[[#This Row],[Nama_Proyek]])</f>
        <v>Pembuatan Jembatan Medan</v>
      </c>
      <c r="E367" s="14">
        <v>45193</v>
      </c>
      <c r="F367" s="14">
        <v>45267</v>
      </c>
      <c r="G367" s="10">
        <v>5103380941</v>
      </c>
      <c r="H367" s="8" t="str">
        <f>IF(Table2[[#This Row],[Kontraktor]]="", "Tidak Diketahui",Table2[[#This Row],[Kontraktor]])</f>
        <v>PT C</v>
      </c>
      <c r="I367" s="11">
        <f>Table245[[#This Row],[Tanggal_Selesai]]-Table245[[#This Row],[Tanggal_Mulai]]</f>
        <v>74</v>
      </c>
      <c r="J367" s="17">
        <f>Table245[[#This Row],[Anggaran]]/Table245[[#This Row],[Durasi_Proyek]]</f>
        <v>68964607.310810804</v>
      </c>
      <c r="K367" s="11">
        <f>YEAR(Table245[[#This Row],[Tanggal_Mulai]])</f>
        <v>2023</v>
      </c>
    </row>
    <row r="368" spans="1:11" ht="14.25" customHeight="1" x14ac:dyDescent="0.35">
      <c r="A368" s="8" t="s">
        <v>419</v>
      </c>
      <c r="B368" s="8" t="str">
        <f>IF(Table2[[#This Row],[Jenis_Proyek]]="", "Tidak Diketahui", Table2[[#This Row],[Jenis_Proyek]])</f>
        <v>Gedung</v>
      </c>
      <c r="C368" s="8" t="str">
        <f>IF(Table2[[#This Row],[Lokasi]]="", "Tidak Diketahui", Table2[[#This Row],[Lokasi]])</f>
        <v>Jakarta</v>
      </c>
      <c r="D368" s="8" t="str">
        <f>IF(Table2[[#This Row],[Nama_Proyek]]="", "Tidak Diketahui", Table2[[#This Row],[Nama_Proyek]])</f>
        <v>Perbaikan Gedung Pemerintah Jakarta</v>
      </c>
      <c r="E368" s="14">
        <v>45194</v>
      </c>
      <c r="F368" s="14">
        <v>45394</v>
      </c>
      <c r="G368" s="10">
        <v>4342819473</v>
      </c>
      <c r="H368" s="8" t="str">
        <f>IF(Table2[[#This Row],[Kontraktor]]="", "Tidak Diketahui",Table2[[#This Row],[Kontraktor]])</f>
        <v>PT D</v>
      </c>
      <c r="I368" s="11">
        <f>Table245[[#This Row],[Tanggal_Selesai]]-Table245[[#This Row],[Tanggal_Mulai]]</f>
        <v>200</v>
      </c>
      <c r="J368" s="17">
        <f>Table245[[#This Row],[Anggaran]]/Table245[[#This Row],[Durasi_Proyek]]</f>
        <v>21714097.364999998</v>
      </c>
      <c r="K368" s="11">
        <f>YEAR(Table245[[#This Row],[Tanggal_Mulai]])</f>
        <v>2023</v>
      </c>
    </row>
    <row r="369" spans="1:11" ht="14.25" customHeight="1" x14ac:dyDescent="0.35">
      <c r="A369" s="8" t="s">
        <v>420</v>
      </c>
      <c r="B369" s="8" t="str">
        <f>IF(Table2[[#This Row],[Jenis_Proyek]]="", "Tidak Diketahui", Table2[[#This Row],[Jenis_Proyek]])</f>
        <v>Jembatan</v>
      </c>
      <c r="C369" s="8" t="str">
        <f>IF(Table2[[#This Row],[Lokasi]]="", "Tidak Diketahui", Table2[[#This Row],[Lokasi]])</f>
        <v>Jakarta</v>
      </c>
      <c r="D369" s="8" t="str">
        <f>IF(Table2[[#This Row],[Nama_Proyek]]="", "Tidak Diketahui", Table2[[#This Row],[Nama_Proyek]])</f>
        <v>Perbaikan Jembatan Jakarta</v>
      </c>
      <c r="E369" s="14">
        <v>45194</v>
      </c>
      <c r="F369" s="14">
        <v>45231</v>
      </c>
      <c r="G369" s="10">
        <v>6977377591</v>
      </c>
      <c r="H369" s="8" t="str">
        <f>IF(Table2[[#This Row],[Kontraktor]]="", "Tidak Diketahui",Table2[[#This Row],[Kontraktor]])</f>
        <v>PT B</v>
      </c>
      <c r="I369" s="11">
        <f>Table245[[#This Row],[Tanggal_Selesai]]-Table245[[#This Row],[Tanggal_Mulai]]</f>
        <v>37</v>
      </c>
      <c r="J369" s="17">
        <f>Table245[[#This Row],[Anggaran]]/Table245[[#This Row],[Durasi_Proyek]]</f>
        <v>188577772.72972974</v>
      </c>
      <c r="K369" s="11">
        <f>YEAR(Table245[[#This Row],[Tanggal_Mulai]])</f>
        <v>2023</v>
      </c>
    </row>
    <row r="370" spans="1:11" ht="14.25" customHeight="1" x14ac:dyDescent="0.35">
      <c r="A370" s="8" t="s">
        <v>421</v>
      </c>
      <c r="B370" s="8" t="str">
        <f>IF(Table2[[#This Row],[Jenis_Proyek]]="", "Tidak Diketahui", Table2[[#This Row],[Jenis_Proyek]])</f>
        <v>Jembatan</v>
      </c>
      <c r="C370" s="8" t="str">
        <f>IF(Table2[[#This Row],[Lokasi]]="", "Tidak Diketahui", Table2[[#This Row],[Lokasi]])</f>
        <v>Tomohon</v>
      </c>
      <c r="D370" s="8" t="str">
        <f>IF(Table2[[#This Row],[Nama_Proyek]]="", "Tidak Diketahui", Table2[[#This Row],[Nama_Proyek]])</f>
        <v>Perbaikan Jembatan Tomohon</v>
      </c>
      <c r="E370" s="14">
        <v>45195</v>
      </c>
      <c r="F370" s="14">
        <v>45460</v>
      </c>
      <c r="G370" s="10">
        <v>5457855102</v>
      </c>
      <c r="H370" s="8" t="str">
        <f>IF(Table2[[#This Row],[Kontraktor]]="", "Tidak Diketahui",Table2[[#This Row],[Kontraktor]])</f>
        <v>PT A</v>
      </c>
      <c r="I370" s="11">
        <f>Table245[[#This Row],[Tanggal_Selesai]]-Table245[[#This Row],[Tanggal_Mulai]]</f>
        <v>265</v>
      </c>
      <c r="J370" s="17">
        <f>Table245[[#This Row],[Anggaran]]/Table245[[#This Row],[Durasi_Proyek]]</f>
        <v>20595679.630188677</v>
      </c>
      <c r="K370" s="11">
        <f>YEAR(Table245[[#This Row],[Tanggal_Mulai]])</f>
        <v>2023</v>
      </c>
    </row>
    <row r="371" spans="1:11" ht="14.25" customHeight="1" x14ac:dyDescent="0.35">
      <c r="A371" s="8" t="s">
        <v>422</v>
      </c>
      <c r="B371" s="8" t="str">
        <f>IF(Table2[[#This Row],[Jenis_Proyek]]="", "Tidak Diketahui", Table2[[#This Row],[Jenis_Proyek]])</f>
        <v>Gedung</v>
      </c>
      <c r="C371" s="8" t="str">
        <f>IF(Table2[[#This Row],[Lokasi]]="", "Tidak Diketahui", Table2[[#This Row],[Lokasi]])</f>
        <v>Bau-Bau</v>
      </c>
      <c r="D371" s="8" t="str">
        <f>IF(Table2[[#This Row],[Nama_Proyek]]="", "Tidak Diketahui", Table2[[#This Row],[Nama_Proyek]])</f>
        <v>Perbaikan Gedung Pemerintah Bau-Bau</v>
      </c>
      <c r="E371" s="14">
        <v>45195</v>
      </c>
      <c r="F371" s="14">
        <v>45533</v>
      </c>
      <c r="G371" s="10">
        <v>2054160295</v>
      </c>
      <c r="H371" s="8" t="str">
        <f>IF(Table2[[#This Row],[Kontraktor]]="", "Tidak Diketahui",Table2[[#This Row],[Kontraktor]])</f>
        <v>CV Sihombing</v>
      </c>
      <c r="I371" s="11">
        <f>Table245[[#This Row],[Tanggal_Selesai]]-Table245[[#This Row],[Tanggal_Mulai]]</f>
        <v>338</v>
      </c>
      <c r="J371" s="17">
        <f>Table245[[#This Row],[Anggaran]]/Table245[[#This Row],[Durasi_Proyek]]</f>
        <v>6077397.3224852066</v>
      </c>
      <c r="K371" s="11">
        <f>YEAR(Table245[[#This Row],[Tanggal_Mulai]])</f>
        <v>2023</v>
      </c>
    </row>
    <row r="372" spans="1:11" ht="14.25" customHeight="1" x14ac:dyDescent="0.35">
      <c r="A372" s="8" t="s">
        <v>423</v>
      </c>
      <c r="B372" s="8" t="str">
        <f>IF(Table2[[#This Row],[Jenis_Proyek]]="", "Tidak Diketahui", Table2[[#This Row],[Jenis_Proyek]])</f>
        <v>Gedung</v>
      </c>
      <c r="C372" s="8" t="str">
        <f>IF(Table2[[#This Row],[Lokasi]]="", "Tidak Diketahui", Table2[[#This Row],[Lokasi]])</f>
        <v>Depok</v>
      </c>
      <c r="D372" s="8" t="str">
        <f>IF(Table2[[#This Row],[Nama_Proyek]]="", "Tidak Diketahui", Table2[[#This Row],[Nama_Proyek]])</f>
        <v>Perbaikan Gedung Pemerintah Depok</v>
      </c>
      <c r="E372" s="14">
        <v>45196</v>
      </c>
      <c r="F372" s="14">
        <v>45429</v>
      </c>
      <c r="G372" s="10">
        <v>2343750073</v>
      </c>
      <c r="H372" s="8" t="str">
        <f>IF(Table2[[#This Row],[Kontraktor]]="", "Tidak Diketahui",Table2[[#This Row],[Kontraktor]])</f>
        <v>CV Sihombing</v>
      </c>
      <c r="I372" s="11">
        <f>Table245[[#This Row],[Tanggal_Selesai]]-Table245[[#This Row],[Tanggal_Mulai]]</f>
        <v>233</v>
      </c>
      <c r="J372" s="17">
        <f>Table245[[#This Row],[Anggaran]]/Table245[[#This Row],[Durasi_Proyek]]</f>
        <v>10059013.188841201</v>
      </c>
      <c r="K372" s="11">
        <f>YEAR(Table245[[#This Row],[Tanggal_Mulai]])</f>
        <v>2023</v>
      </c>
    </row>
    <row r="373" spans="1:11" ht="14.25" customHeight="1" x14ac:dyDescent="0.35">
      <c r="A373" s="8" t="s">
        <v>424</v>
      </c>
      <c r="B373" s="8" t="str">
        <f>IF(Table2[[#This Row],[Jenis_Proyek]]="", "Tidak Diketahui", Table2[[#This Row],[Jenis_Proyek]])</f>
        <v>Gedung</v>
      </c>
      <c r="C373" s="8" t="str">
        <f>IF(Table2[[#This Row],[Lokasi]]="", "Tidak Diketahui", Table2[[#This Row],[Lokasi]])</f>
        <v>Bau-Bau</v>
      </c>
      <c r="D373" s="8" t="str">
        <f>IF(Table2[[#This Row],[Nama_Proyek]]="", "Tidak Diketahui", Table2[[#This Row],[Nama_Proyek]])</f>
        <v>Perbaikan Gedung Pemerintah Bau-Bau</v>
      </c>
      <c r="E373" s="14">
        <v>45197</v>
      </c>
      <c r="F373" s="14">
        <v>45426</v>
      </c>
      <c r="G373" s="10">
        <v>1025269810</v>
      </c>
      <c r="H373" s="8" t="str">
        <f>IF(Table2[[#This Row],[Kontraktor]]="", "Tidak Diketahui",Table2[[#This Row],[Kontraktor]])</f>
        <v>PT C</v>
      </c>
      <c r="I373" s="11">
        <f>Table245[[#This Row],[Tanggal_Selesai]]-Table245[[#This Row],[Tanggal_Mulai]]</f>
        <v>229</v>
      </c>
      <c r="J373" s="17">
        <f>Table245[[#This Row],[Anggaran]]/Table245[[#This Row],[Durasi_Proyek]]</f>
        <v>4477160.7423580782</v>
      </c>
      <c r="K373" s="11">
        <f>YEAR(Table245[[#This Row],[Tanggal_Mulai]])</f>
        <v>2023</v>
      </c>
    </row>
    <row r="374" spans="1:11" ht="14.25" customHeight="1" x14ac:dyDescent="0.35">
      <c r="A374" s="8" t="s">
        <v>425</v>
      </c>
      <c r="B374" s="8" t="str">
        <f>IF(Table2[[#This Row],[Jenis_Proyek]]="", "Tidak Diketahui", Table2[[#This Row],[Jenis_Proyek]])</f>
        <v>Drainase</v>
      </c>
      <c r="C374" s="8" t="str">
        <f>IF(Table2[[#This Row],[Lokasi]]="", "Tidak Diketahui", Table2[[#This Row],[Lokasi]])</f>
        <v>Tomohon</v>
      </c>
      <c r="D374" s="8" t="str">
        <f>IF(Table2[[#This Row],[Nama_Proyek]]="", "Tidak Diketahui", Table2[[#This Row],[Nama_Proyek]])</f>
        <v>Perbaikan Drainase Tomohon</v>
      </c>
      <c r="E374" s="14">
        <v>45199</v>
      </c>
      <c r="F374" s="14">
        <v>45276</v>
      </c>
      <c r="G374" s="10">
        <v>350434222</v>
      </c>
      <c r="H374" s="8" t="str">
        <f>IF(Table2[[#This Row],[Kontraktor]]="", "Tidak Diketahui",Table2[[#This Row],[Kontraktor]])</f>
        <v>PT B</v>
      </c>
      <c r="I374" s="11">
        <f>Table245[[#This Row],[Tanggal_Selesai]]-Table245[[#This Row],[Tanggal_Mulai]]</f>
        <v>77</v>
      </c>
      <c r="J374" s="17">
        <f>Table245[[#This Row],[Anggaran]]/Table245[[#This Row],[Durasi_Proyek]]</f>
        <v>4551093.7922077924</v>
      </c>
      <c r="K374" s="11">
        <f>YEAR(Table245[[#This Row],[Tanggal_Mulai]])</f>
        <v>2023</v>
      </c>
    </row>
    <row r="375" spans="1:11" ht="14.25" customHeight="1" x14ac:dyDescent="0.35">
      <c r="A375" s="8" t="s">
        <v>426</v>
      </c>
      <c r="B375" s="8" t="str">
        <f>IF(Table2[[#This Row],[Jenis_Proyek]]="", "Tidak Diketahui", Table2[[#This Row],[Jenis_Proyek]])</f>
        <v>Jalan Raya</v>
      </c>
      <c r="C375" s="8" t="str">
        <f>IF(Table2[[#This Row],[Lokasi]]="", "Tidak Diketahui", Table2[[#This Row],[Lokasi]])</f>
        <v>Surabaya</v>
      </c>
      <c r="D375" s="8" t="str">
        <f>IF(Table2[[#This Row],[Nama_Proyek]]="", "Tidak Diketahui", Table2[[#This Row],[Nama_Proyek]])</f>
        <v>Perbaikan Jalan Raya Surabaya</v>
      </c>
      <c r="E375" s="14">
        <v>45201</v>
      </c>
      <c r="F375" s="14">
        <v>45418</v>
      </c>
      <c r="G375" s="10">
        <v>497218843</v>
      </c>
      <c r="H375" s="8" t="str">
        <f>IF(Table2[[#This Row],[Kontraktor]]="", "Tidak Diketahui",Table2[[#This Row],[Kontraktor]])</f>
        <v>PT B</v>
      </c>
      <c r="I375" s="11">
        <f>Table245[[#This Row],[Tanggal_Selesai]]-Table245[[#This Row],[Tanggal_Mulai]]</f>
        <v>217</v>
      </c>
      <c r="J375" s="17">
        <f>Table245[[#This Row],[Anggaran]]/Table245[[#This Row],[Durasi_Proyek]]</f>
        <v>2291331.0737327188</v>
      </c>
      <c r="K375" s="11">
        <f>YEAR(Table245[[#This Row],[Tanggal_Mulai]])</f>
        <v>2023</v>
      </c>
    </row>
    <row r="376" spans="1:11" ht="14.25" customHeight="1" x14ac:dyDescent="0.35">
      <c r="A376" s="8" t="s">
        <v>427</v>
      </c>
      <c r="B376" s="8" t="str">
        <f>IF(Table2[[#This Row],[Jenis_Proyek]]="", "Tidak Diketahui", Table2[[#This Row],[Jenis_Proyek]])</f>
        <v>Jalan Raya</v>
      </c>
      <c r="C376" s="8" t="str">
        <f>IF(Table2[[#This Row],[Lokasi]]="", "Tidak Diketahui", Table2[[#This Row],[Lokasi]])</f>
        <v>Medan</v>
      </c>
      <c r="D376" s="8" t="str">
        <f>IF(Table2[[#This Row],[Nama_Proyek]]="", "Tidak Diketahui", Table2[[#This Row],[Nama_Proyek]])</f>
        <v>Perbaikan Jalan Raya Medan</v>
      </c>
      <c r="E376" s="14">
        <v>45201</v>
      </c>
      <c r="F376" s="14">
        <v>45499</v>
      </c>
      <c r="G376" s="10">
        <v>872130533</v>
      </c>
      <c r="H376" s="8" t="str">
        <f>IF(Table2[[#This Row],[Kontraktor]]="", "Tidak Diketahui",Table2[[#This Row],[Kontraktor]])</f>
        <v>PT. Lailasari Hariyah (Persero) Tbk</v>
      </c>
      <c r="I376" s="11">
        <f>Table245[[#This Row],[Tanggal_Selesai]]-Table245[[#This Row],[Tanggal_Mulai]]</f>
        <v>298</v>
      </c>
      <c r="J376" s="17">
        <f>Table245[[#This Row],[Anggaran]]/Table245[[#This Row],[Durasi_Proyek]]</f>
        <v>2926612.5268456377</v>
      </c>
      <c r="K376" s="11">
        <f>YEAR(Table245[[#This Row],[Tanggal_Mulai]])</f>
        <v>2023</v>
      </c>
    </row>
    <row r="377" spans="1:11" ht="14.25" customHeight="1" x14ac:dyDescent="0.35">
      <c r="A377" s="8" t="s">
        <v>428</v>
      </c>
      <c r="B377" s="8" t="str">
        <f>IF(Table2[[#This Row],[Jenis_Proyek]]="", "Tidak Diketahui", Table2[[#This Row],[Jenis_Proyek]])</f>
        <v>Flyover</v>
      </c>
      <c r="C377" s="8" t="str">
        <f>IF(Table2[[#This Row],[Lokasi]]="", "Tidak Diketahui", Table2[[#This Row],[Lokasi]])</f>
        <v>Depok</v>
      </c>
      <c r="D377" s="8" t="str">
        <f>IF(Table2[[#This Row],[Nama_Proyek]]="", "Tidak Diketahui", Table2[[#This Row],[Nama_Proyek]])</f>
        <v>Pembuatan Flyover Depok</v>
      </c>
      <c r="E377" s="14">
        <v>45202</v>
      </c>
      <c r="F377" s="14">
        <v>45487</v>
      </c>
      <c r="G377" s="10">
        <v>4907012780</v>
      </c>
      <c r="H377" s="8" t="str">
        <f>IF(Table2[[#This Row],[Kontraktor]]="", "Tidak Diketahui",Table2[[#This Row],[Kontraktor]])</f>
        <v>CV Sihombing</v>
      </c>
      <c r="I377" s="11">
        <f>Table245[[#This Row],[Tanggal_Selesai]]-Table245[[#This Row],[Tanggal_Mulai]]</f>
        <v>285</v>
      </c>
      <c r="J377" s="17">
        <f>Table245[[#This Row],[Anggaran]]/Table245[[#This Row],[Durasi_Proyek]]</f>
        <v>17217588.701754387</v>
      </c>
      <c r="K377" s="11">
        <f>YEAR(Table245[[#This Row],[Tanggal_Mulai]])</f>
        <v>2023</v>
      </c>
    </row>
    <row r="378" spans="1:11" ht="14.25" customHeight="1" x14ac:dyDescent="0.35">
      <c r="A378" s="8" t="s">
        <v>429</v>
      </c>
      <c r="B378" s="8" t="str">
        <f>IF(Table2[[#This Row],[Jenis_Proyek]]="", "Tidak Diketahui", Table2[[#This Row],[Jenis_Proyek]])</f>
        <v>Flyover</v>
      </c>
      <c r="C378" s="8" t="str">
        <f>IF(Table2[[#This Row],[Lokasi]]="", "Tidak Diketahui", Table2[[#This Row],[Lokasi]])</f>
        <v>Medan</v>
      </c>
      <c r="D378" s="8" t="str">
        <f>IF(Table2[[#This Row],[Nama_Proyek]]="", "Tidak Diketahui", Table2[[#This Row],[Nama_Proyek]])</f>
        <v>Pembuatan Flyover Medan</v>
      </c>
      <c r="E378" s="14">
        <v>45202</v>
      </c>
      <c r="F378" s="14">
        <v>45456</v>
      </c>
      <c r="G378" s="10">
        <v>3253936748</v>
      </c>
      <c r="H378" s="8" t="str">
        <f>IF(Table2[[#This Row],[Kontraktor]]="", "Tidak Diketahui",Table2[[#This Row],[Kontraktor]])</f>
        <v>PT D</v>
      </c>
      <c r="I378" s="11">
        <f>Table245[[#This Row],[Tanggal_Selesai]]-Table245[[#This Row],[Tanggal_Mulai]]</f>
        <v>254</v>
      </c>
      <c r="J378" s="17">
        <f>Table245[[#This Row],[Anggaran]]/Table245[[#This Row],[Durasi_Proyek]]</f>
        <v>12810774.598425196</v>
      </c>
      <c r="K378" s="11">
        <f>YEAR(Table245[[#This Row],[Tanggal_Mulai]])</f>
        <v>2023</v>
      </c>
    </row>
    <row r="379" spans="1:11" ht="14.25" customHeight="1" x14ac:dyDescent="0.35">
      <c r="A379" s="8" t="s">
        <v>430</v>
      </c>
      <c r="B379" s="8" t="str">
        <f>IF(Table2[[#This Row],[Jenis_Proyek]]="", "Tidak Diketahui", Table2[[#This Row],[Jenis_Proyek]])</f>
        <v>Gedung</v>
      </c>
      <c r="C379" s="8" t="str">
        <f>IF(Table2[[#This Row],[Lokasi]]="", "Tidak Diketahui", Table2[[#This Row],[Lokasi]])</f>
        <v>Tomohon</v>
      </c>
      <c r="D379" s="8" t="str">
        <f>IF(Table2[[#This Row],[Nama_Proyek]]="", "Tidak Diketahui", Table2[[#This Row],[Nama_Proyek]])</f>
        <v>Perbaikan Gedung Pemerintah Tomohon</v>
      </c>
      <c r="E379" s="14">
        <v>45202</v>
      </c>
      <c r="F379" s="14">
        <v>45474</v>
      </c>
      <c r="G379" s="10">
        <v>1125747425</v>
      </c>
      <c r="H379" s="8" t="str">
        <f>IF(Table2[[#This Row],[Kontraktor]]="", "Tidak Diketahui",Table2[[#This Row],[Kontraktor]])</f>
        <v>Tidak Diketahui</v>
      </c>
      <c r="I379" s="11">
        <f>Table245[[#This Row],[Tanggal_Selesai]]-Table245[[#This Row],[Tanggal_Mulai]]</f>
        <v>272</v>
      </c>
      <c r="J379" s="17">
        <f>Table245[[#This Row],[Anggaran]]/Table245[[#This Row],[Durasi_Proyek]]</f>
        <v>4138777.2977941176</v>
      </c>
      <c r="K379" s="11">
        <f>YEAR(Table245[[#This Row],[Tanggal_Mulai]])</f>
        <v>2023</v>
      </c>
    </row>
    <row r="380" spans="1:11" ht="14.25" customHeight="1" x14ac:dyDescent="0.35">
      <c r="A380" s="8" t="s">
        <v>431</v>
      </c>
      <c r="B380" s="8" t="str">
        <f>IF(Table2[[#This Row],[Jenis_Proyek]]="", "Tidak Diketahui", Table2[[#This Row],[Jenis_Proyek]])</f>
        <v>Jembatan</v>
      </c>
      <c r="C380" s="8" t="str">
        <f>IF(Table2[[#This Row],[Lokasi]]="", "Tidak Diketahui", Table2[[#This Row],[Lokasi]])</f>
        <v>Medan</v>
      </c>
      <c r="D380" s="8" t="str">
        <f>IF(Table2[[#This Row],[Nama_Proyek]]="", "Tidak Diketahui", Table2[[#This Row],[Nama_Proyek]])</f>
        <v>Pembuatan Jembatan Medan</v>
      </c>
      <c r="E380" s="14">
        <v>45202</v>
      </c>
      <c r="F380" s="14">
        <v>45551</v>
      </c>
      <c r="G380" s="10">
        <v>1635038686</v>
      </c>
      <c r="H380" s="8" t="str">
        <f>IF(Table2[[#This Row],[Kontraktor]]="", "Tidak Diketahui",Table2[[#This Row],[Kontraktor]])</f>
        <v>PT B</v>
      </c>
      <c r="I380" s="11">
        <f>Table245[[#This Row],[Tanggal_Selesai]]-Table245[[#This Row],[Tanggal_Mulai]]</f>
        <v>349</v>
      </c>
      <c r="J380" s="17">
        <f>Table245[[#This Row],[Anggaran]]/Table245[[#This Row],[Durasi_Proyek]]</f>
        <v>4684924.6017191978</v>
      </c>
      <c r="K380" s="11">
        <f>YEAR(Table245[[#This Row],[Tanggal_Mulai]])</f>
        <v>2023</v>
      </c>
    </row>
    <row r="381" spans="1:11" ht="14.25" customHeight="1" x14ac:dyDescent="0.35">
      <c r="A381" s="8" t="s">
        <v>432</v>
      </c>
      <c r="B381" s="8" t="str">
        <f>IF(Table2[[#This Row],[Jenis_Proyek]]="", "Tidak Diketahui", Table2[[#This Row],[Jenis_Proyek]])</f>
        <v>Gedung</v>
      </c>
      <c r="C381" s="8" t="str">
        <f>IF(Table2[[#This Row],[Lokasi]]="", "Tidak Diketahui", Table2[[#This Row],[Lokasi]])</f>
        <v>Medan</v>
      </c>
      <c r="D381" s="8" t="str">
        <f>IF(Table2[[#This Row],[Nama_Proyek]]="", "Tidak Diketahui", Table2[[#This Row],[Nama_Proyek]])</f>
        <v>Perbaikan Gedung Pemerintah Medan</v>
      </c>
      <c r="E381" s="14">
        <v>45202</v>
      </c>
      <c r="F381" s="14">
        <v>45532</v>
      </c>
      <c r="G381" s="10">
        <v>9829087531</v>
      </c>
      <c r="H381" s="8" t="str">
        <f>IF(Table2[[#This Row],[Kontraktor]]="", "Tidak Diketahui",Table2[[#This Row],[Kontraktor]])</f>
        <v>PT A</v>
      </c>
      <c r="I381" s="11">
        <f>Table245[[#This Row],[Tanggal_Selesai]]-Table245[[#This Row],[Tanggal_Mulai]]</f>
        <v>330</v>
      </c>
      <c r="J381" s="17">
        <f>Table245[[#This Row],[Anggaran]]/Table245[[#This Row],[Durasi_Proyek]]</f>
        <v>29785113.73030303</v>
      </c>
      <c r="K381" s="11">
        <f>YEAR(Table245[[#This Row],[Tanggal_Mulai]])</f>
        <v>2023</v>
      </c>
    </row>
    <row r="382" spans="1:11" ht="14.25" customHeight="1" x14ac:dyDescent="0.35">
      <c r="A382" s="8" t="s">
        <v>433</v>
      </c>
      <c r="B382" s="8" t="str">
        <f>IF(Table2[[#This Row],[Jenis_Proyek]]="", "Tidak Diketahui", Table2[[#This Row],[Jenis_Proyek]])</f>
        <v>Gedung</v>
      </c>
      <c r="C382" s="8" t="str">
        <f>IF(Table2[[#This Row],[Lokasi]]="", "Tidak Diketahui", Table2[[#This Row],[Lokasi]])</f>
        <v>Surabaya</v>
      </c>
      <c r="D382" s="8" t="str">
        <f>IF(Table2[[#This Row],[Nama_Proyek]]="", "Tidak Diketahui", Table2[[#This Row],[Nama_Proyek]])</f>
        <v>Perbaikan Gedung Pemerintah Surabaya</v>
      </c>
      <c r="E382" s="14">
        <v>45202</v>
      </c>
      <c r="F382" s="14">
        <v>45387</v>
      </c>
      <c r="G382" s="10">
        <v>1057037862</v>
      </c>
      <c r="H382" s="8" t="str">
        <f>IF(Table2[[#This Row],[Kontraktor]]="", "Tidak Diketahui",Table2[[#This Row],[Kontraktor]])</f>
        <v>PT. Lailasari Hariyah (Persero) Tbk</v>
      </c>
      <c r="I382" s="11">
        <f>Table245[[#This Row],[Tanggal_Selesai]]-Table245[[#This Row],[Tanggal_Mulai]]</f>
        <v>185</v>
      </c>
      <c r="J382" s="17">
        <f>Table245[[#This Row],[Anggaran]]/Table245[[#This Row],[Durasi_Proyek]]</f>
        <v>5713718.1729729734</v>
      </c>
      <c r="K382" s="11">
        <f>YEAR(Table245[[#This Row],[Tanggal_Mulai]])</f>
        <v>2023</v>
      </c>
    </row>
    <row r="383" spans="1:11" ht="14.25" customHeight="1" x14ac:dyDescent="0.35">
      <c r="A383" s="8" t="s">
        <v>434</v>
      </c>
      <c r="B383" s="8" t="str">
        <f>IF(Table2[[#This Row],[Jenis_Proyek]]="", "Tidak Diketahui", Table2[[#This Row],[Jenis_Proyek]])</f>
        <v>Jembatan</v>
      </c>
      <c r="C383" s="8" t="str">
        <f>IF(Table2[[#This Row],[Lokasi]]="", "Tidak Diketahui", Table2[[#This Row],[Lokasi]])</f>
        <v>Bandung</v>
      </c>
      <c r="D383" s="8" t="str">
        <f>IF(Table2[[#This Row],[Nama_Proyek]]="", "Tidak Diketahui", Table2[[#This Row],[Nama_Proyek]])</f>
        <v>Pembuatan Jembatan Bandung</v>
      </c>
      <c r="E383" s="14">
        <v>45203</v>
      </c>
      <c r="F383" s="14">
        <v>45407</v>
      </c>
      <c r="G383" s="10">
        <v>5469982538</v>
      </c>
      <c r="H383" s="8" t="str">
        <f>IF(Table2[[#This Row],[Kontraktor]]="", "Tidak Diketahui",Table2[[#This Row],[Kontraktor]])</f>
        <v>CV Sihombing</v>
      </c>
      <c r="I383" s="11">
        <f>Table245[[#This Row],[Tanggal_Selesai]]-Table245[[#This Row],[Tanggal_Mulai]]</f>
        <v>204</v>
      </c>
      <c r="J383" s="17">
        <f>Table245[[#This Row],[Anggaran]]/Table245[[#This Row],[Durasi_Proyek]]</f>
        <v>26813639.892156862</v>
      </c>
      <c r="K383" s="11">
        <f>YEAR(Table245[[#This Row],[Tanggal_Mulai]])</f>
        <v>2023</v>
      </c>
    </row>
    <row r="384" spans="1:11" ht="14.25" customHeight="1" x14ac:dyDescent="0.35">
      <c r="A384" s="8" t="s">
        <v>435</v>
      </c>
      <c r="B384" s="8" t="str">
        <f>IF(Table2[[#This Row],[Jenis_Proyek]]="", "Tidak Diketahui", Table2[[#This Row],[Jenis_Proyek]])</f>
        <v>Jembatan</v>
      </c>
      <c r="C384" s="8" t="str">
        <f>IF(Table2[[#This Row],[Lokasi]]="", "Tidak Diketahui", Table2[[#This Row],[Lokasi]])</f>
        <v>Tomohon</v>
      </c>
      <c r="D384" s="8" t="str">
        <f>IF(Table2[[#This Row],[Nama_Proyek]]="", "Tidak Diketahui", Table2[[#This Row],[Nama_Proyek]])</f>
        <v>Perbaikan Jembatan Tomohon</v>
      </c>
      <c r="E384" s="14">
        <v>45204</v>
      </c>
      <c r="F384" s="14">
        <v>45308</v>
      </c>
      <c r="G384" s="10">
        <v>5055515290</v>
      </c>
      <c r="H384" s="8" t="str">
        <f>IF(Table2[[#This Row],[Kontraktor]]="", "Tidak Diketahui",Table2[[#This Row],[Kontraktor]])</f>
        <v>PT B</v>
      </c>
      <c r="I384" s="11">
        <f>Table245[[#This Row],[Tanggal_Selesai]]-Table245[[#This Row],[Tanggal_Mulai]]</f>
        <v>104</v>
      </c>
      <c r="J384" s="17">
        <f>Table245[[#This Row],[Anggaran]]/Table245[[#This Row],[Durasi_Proyek]]</f>
        <v>48610723.942307696</v>
      </c>
      <c r="K384" s="11">
        <f>YEAR(Table245[[#This Row],[Tanggal_Mulai]])</f>
        <v>2023</v>
      </c>
    </row>
    <row r="385" spans="1:11" ht="14.25" customHeight="1" x14ac:dyDescent="0.35">
      <c r="A385" s="8" t="s">
        <v>436</v>
      </c>
      <c r="B385" s="8" t="str">
        <f>IF(Table2[[#This Row],[Jenis_Proyek]]="", "Tidak Diketahui", Table2[[#This Row],[Jenis_Proyek]])</f>
        <v>Gedung</v>
      </c>
      <c r="C385" s="8" t="str">
        <f>IF(Table2[[#This Row],[Lokasi]]="", "Tidak Diketahui", Table2[[#This Row],[Lokasi]])</f>
        <v>Surabaya</v>
      </c>
      <c r="D385" s="8" t="str">
        <f>IF(Table2[[#This Row],[Nama_Proyek]]="", "Tidak Diketahui", Table2[[#This Row],[Nama_Proyek]])</f>
        <v>Perbaikan Gedung Pemerintah Surabaya</v>
      </c>
      <c r="E385" s="14">
        <v>45205</v>
      </c>
      <c r="F385" s="14">
        <v>45463</v>
      </c>
      <c r="G385" s="10">
        <v>2556364237</v>
      </c>
      <c r="H385" s="8" t="str">
        <f>IF(Table2[[#This Row],[Kontraktor]]="", "Tidak Diketahui",Table2[[#This Row],[Kontraktor]])</f>
        <v>Tidak Diketahui</v>
      </c>
      <c r="I385" s="11">
        <f>Table245[[#This Row],[Tanggal_Selesai]]-Table245[[#This Row],[Tanggal_Mulai]]</f>
        <v>258</v>
      </c>
      <c r="J385" s="17">
        <f>Table245[[#This Row],[Anggaran]]/Table245[[#This Row],[Durasi_Proyek]]</f>
        <v>9908388.5155038759</v>
      </c>
      <c r="K385" s="11">
        <f>YEAR(Table245[[#This Row],[Tanggal_Mulai]])</f>
        <v>2023</v>
      </c>
    </row>
    <row r="386" spans="1:11" ht="14.25" customHeight="1" x14ac:dyDescent="0.35">
      <c r="A386" s="8" t="s">
        <v>437</v>
      </c>
      <c r="B386" s="8" t="str">
        <f>IF(Table2[[#This Row],[Jenis_Proyek]]="", "Tidak Diketahui", Table2[[#This Row],[Jenis_Proyek]])</f>
        <v>Jembatan</v>
      </c>
      <c r="C386" s="8" t="str">
        <f>IF(Table2[[#This Row],[Lokasi]]="", "Tidak Diketahui", Table2[[#This Row],[Lokasi]])</f>
        <v>Bandung</v>
      </c>
      <c r="D386" s="8" t="str">
        <f>IF(Table2[[#This Row],[Nama_Proyek]]="", "Tidak Diketahui", Table2[[#This Row],[Nama_Proyek]])</f>
        <v>Perbaikan Jembatan Bandung</v>
      </c>
      <c r="E386" s="14">
        <v>45205</v>
      </c>
      <c r="F386" s="14">
        <v>45384</v>
      </c>
      <c r="G386" s="10">
        <v>6904869726</v>
      </c>
      <c r="H386" s="8" t="str">
        <f>IF(Table2[[#This Row],[Kontraktor]]="", "Tidak Diketahui",Table2[[#This Row],[Kontraktor]])</f>
        <v>PT. Lailasari Hariyah (Persero) Tbk</v>
      </c>
      <c r="I386" s="11">
        <f>Table245[[#This Row],[Tanggal_Selesai]]-Table245[[#This Row],[Tanggal_Mulai]]</f>
        <v>179</v>
      </c>
      <c r="J386" s="17">
        <f>Table245[[#This Row],[Anggaran]]/Table245[[#This Row],[Durasi_Proyek]]</f>
        <v>38574691.206703909</v>
      </c>
      <c r="K386" s="11">
        <f>YEAR(Table245[[#This Row],[Tanggal_Mulai]])</f>
        <v>2023</v>
      </c>
    </row>
    <row r="387" spans="1:11" ht="14.25" customHeight="1" x14ac:dyDescent="0.35">
      <c r="A387" s="8" t="s">
        <v>438</v>
      </c>
      <c r="B387" s="8" t="str">
        <f>IF(Table2[[#This Row],[Jenis_Proyek]]="", "Tidak Diketahui", Table2[[#This Row],[Jenis_Proyek]])</f>
        <v>Jembatan</v>
      </c>
      <c r="C387" s="8" t="str">
        <f>IF(Table2[[#This Row],[Lokasi]]="", "Tidak Diketahui", Table2[[#This Row],[Lokasi]])</f>
        <v>Jakarta</v>
      </c>
      <c r="D387" s="8" t="str">
        <f>IF(Table2[[#This Row],[Nama_Proyek]]="", "Tidak Diketahui", Table2[[#This Row],[Nama_Proyek]])</f>
        <v>Perbaikan Jembatan Jakarta</v>
      </c>
      <c r="E387" s="14">
        <v>45205</v>
      </c>
      <c r="F387" s="14">
        <v>45503</v>
      </c>
      <c r="G387" s="10">
        <v>3882607118</v>
      </c>
      <c r="H387" s="8" t="str">
        <f>IF(Table2[[#This Row],[Kontraktor]]="", "Tidak Diketahui",Table2[[#This Row],[Kontraktor]])</f>
        <v>Tidak Diketahui</v>
      </c>
      <c r="I387" s="11">
        <f>Table245[[#This Row],[Tanggal_Selesai]]-Table245[[#This Row],[Tanggal_Mulai]]</f>
        <v>298</v>
      </c>
      <c r="J387" s="17">
        <f>Table245[[#This Row],[Anggaran]]/Table245[[#This Row],[Durasi_Proyek]]</f>
        <v>13028882.946308725</v>
      </c>
      <c r="K387" s="11">
        <f>YEAR(Table245[[#This Row],[Tanggal_Mulai]])</f>
        <v>2023</v>
      </c>
    </row>
    <row r="388" spans="1:11" ht="14.25" customHeight="1" x14ac:dyDescent="0.35">
      <c r="A388" s="8" t="s">
        <v>439</v>
      </c>
      <c r="B388" s="8" t="str">
        <f>IF(Table2[[#This Row],[Jenis_Proyek]]="", "Tidak Diketahui", Table2[[#This Row],[Jenis_Proyek]])</f>
        <v>Jalan Raya</v>
      </c>
      <c r="C388" s="8" t="str">
        <f>IF(Table2[[#This Row],[Lokasi]]="", "Tidak Diketahui", Table2[[#This Row],[Lokasi]])</f>
        <v>Bandung</v>
      </c>
      <c r="D388" s="8" t="str">
        <f>IF(Table2[[#This Row],[Nama_Proyek]]="", "Tidak Diketahui", Table2[[#This Row],[Nama_Proyek]])</f>
        <v>Perbaikan Jalan Raya Bandung</v>
      </c>
      <c r="E388" s="14">
        <v>45205</v>
      </c>
      <c r="F388" s="14">
        <v>45535</v>
      </c>
      <c r="G388" s="10">
        <v>888436167</v>
      </c>
      <c r="H388" s="8" t="str">
        <f>IF(Table2[[#This Row],[Kontraktor]]="", "Tidak Diketahui",Table2[[#This Row],[Kontraktor]])</f>
        <v>PT. Lailasari Hariyah (Persero) Tbk</v>
      </c>
      <c r="I388" s="11">
        <f>Table245[[#This Row],[Tanggal_Selesai]]-Table245[[#This Row],[Tanggal_Mulai]]</f>
        <v>330</v>
      </c>
      <c r="J388" s="17">
        <f>Table245[[#This Row],[Anggaran]]/Table245[[#This Row],[Durasi_Proyek]]</f>
        <v>2692230.8090909091</v>
      </c>
      <c r="K388" s="11">
        <f>YEAR(Table245[[#This Row],[Tanggal_Mulai]])</f>
        <v>2023</v>
      </c>
    </row>
    <row r="389" spans="1:11" ht="14.25" customHeight="1" x14ac:dyDescent="0.35">
      <c r="A389" s="8" t="s">
        <v>440</v>
      </c>
      <c r="B389" s="8" t="str">
        <f>IF(Table2[[#This Row],[Jenis_Proyek]]="", "Tidak Diketahui", Table2[[#This Row],[Jenis_Proyek]])</f>
        <v>Jembatan</v>
      </c>
      <c r="C389" s="8" t="str">
        <f>IF(Table2[[#This Row],[Lokasi]]="", "Tidak Diketahui", Table2[[#This Row],[Lokasi]])</f>
        <v>Jakarta</v>
      </c>
      <c r="D389" s="8" t="str">
        <f>IF(Table2[[#This Row],[Nama_Proyek]]="", "Tidak Diketahui", Table2[[#This Row],[Nama_Proyek]])</f>
        <v>Pembuatan Jembatan Jakarta</v>
      </c>
      <c r="E389" s="14">
        <v>45205</v>
      </c>
      <c r="F389" s="14">
        <v>45283</v>
      </c>
      <c r="G389" s="10">
        <v>1354806627</v>
      </c>
      <c r="H389" s="8" t="str">
        <f>IF(Table2[[#This Row],[Kontraktor]]="", "Tidak Diketahui",Table2[[#This Row],[Kontraktor]])</f>
        <v>CV Sihombing</v>
      </c>
      <c r="I389" s="11">
        <f>Table245[[#This Row],[Tanggal_Selesai]]-Table245[[#This Row],[Tanggal_Mulai]]</f>
        <v>78</v>
      </c>
      <c r="J389" s="17">
        <f>Table245[[#This Row],[Anggaran]]/Table245[[#This Row],[Durasi_Proyek]]</f>
        <v>17369315.730769232</v>
      </c>
      <c r="K389" s="11">
        <f>YEAR(Table245[[#This Row],[Tanggal_Mulai]])</f>
        <v>2023</v>
      </c>
    </row>
    <row r="390" spans="1:11" ht="14.25" customHeight="1" x14ac:dyDescent="0.35">
      <c r="A390" s="8" t="s">
        <v>441</v>
      </c>
      <c r="B390" s="8" t="str">
        <f>IF(Table2[[#This Row],[Jenis_Proyek]]="", "Tidak Diketahui", Table2[[#This Row],[Jenis_Proyek]])</f>
        <v>Jalan Raya</v>
      </c>
      <c r="C390" s="8" t="str">
        <f>IF(Table2[[#This Row],[Lokasi]]="", "Tidak Diketahui", Table2[[#This Row],[Lokasi]])</f>
        <v>Bau-Bau</v>
      </c>
      <c r="D390" s="8" t="str">
        <f>IF(Table2[[#This Row],[Nama_Proyek]]="", "Tidak Diketahui", Table2[[#This Row],[Nama_Proyek]])</f>
        <v>Perbaikan Jalan Raya Bau-Bau</v>
      </c>
      <c r="E390" s="14">
        <v>45206</v>
      </c>
      <c r="F390" s="14">
        <v>45293</v>
      </c>
      <c r="G390" s="10">
        <v>984605716</v>
      </c>
      <c r="H390" s="8" t="str">
        <f>IF(Table2[[#This Row],[Kontraktor]]="", "Tidak Diketahui",Table2[[#This Row],[Kontraktor]])</f>
        <v>PT D</v>
      </c>
      <c r="I390" s="11">
        <f>Table245[[#This Row],[Tanggal_Selesai]]-Table245[[#This Row],[Tanggal_Mulai]]</f>
        <v>87</v>
      </c>
      <c r="J390" s="17">
        <f>Table245[[#This Row],[Anggaran]]/Table245[[#This Row],[Durasi_Proyek]]</f>
        <v>11317307.08045977</v>
      </c>
      <c r="K390" s="11">
        <f>YEAR(Table245[[#This Row],[Tanggal_Mulai]])</f>
        <v>2023</v>
      </c>
    </row>
    <row r="391" spans="1:11" ht="14.25" customHeight="1" x14ac:dyDescent="0.35">
      <c r="A391" s="8" t="s">
        <v>442</v>
      </c>
      <c r="B391" s="8" t="str">
        <f>IF(Table2[[#This Row],[Jenis_Proyek]]="", "Tidak Diketahui", Table2[[#This Row],[Jenis_Proyek]])</f>
        <v>Jalan Raya</v>
      </c>
      <c r="C391" s="8" t="str">
        <f>IF(Table2[[#This Row],[Lokasi]]="", "Tidak Diketahui", Table2[[#This Row],[Lokasi]])</f>
        <v>Bandung</v>
      </c>
      <c r="D391" s="8" t="str">
        <f>IF(Table2[[#This Row],[Nama_Proyek]]="", "Tidak Diketahui", Table2[[#This Row],[Nama_Proyek]])</f>
        <v>Perbaikan Jalan Raya Bandung</v>
      </c>
      <c r="E391" s="14">
        <v>45207</v>
      </c>
      <c r="F391" s="14">
        <v>45507</v>
      </c>
      <c r="G391" s="10">
        <v>371601786</v>
      </c>
      <c r="H391" s="8" t="str">
        <f>IF(Table2[[#This Row],[Kontraktor]]="", "Tidak Diketahui",Table2[[#This Row],[Kontraktor]])</f>
        <v>PT. Lailasari Hariyah (Persero) Tbk</v>
      </c>
      <c r="I391" s="11">
        <f>Table245[[#This Row],[Tanggal_Selesai]]-Table245[[#This Row],[Tanggal_Mulai]]</f>
        <v>300</v>
      </c>
      <c r="J391" s="17">
        <f>Table245[[#This Row],[Anggaran]]/Table245[[#This Row],[Durasi_Proyek]]</f>
        <v>1238672.6200000001</v>
      </c>
      <c r="K391" s="11">
        <f>YEAR(Table245[[#This Row],[Tanggal_Mulai]])</f>
        <v>2023</v>
      </c>
    </row>
    <row r="392" spans="1:11" ht="14.25" customHeight="1" x14ac:dyDescent="0.35">
      <c r="A392" s="8" t="s">
        <v>443</v>
      </c>
      <c r="B392" s="8" t="str">
        <f>IF(Table2[[#This Row],[Jenis_Proyek]]="", "Tidak Diketahui", Table2[[#This Row],[Jenis_Proyek]])</f>
        <v>Jalan Raya</v>
      </c>
      <c r="C392" s="8" t="str">
        <f>IF(Table2[[#This Row],[Lokasi]]="", "Tidak Diketahui", Table2[[#This Row],[Lokasi]])</f>
        <v>Depok</v>
      </c>
      <c r="D392" s="8" t="str">
        <f>IF(Table2[[#This Row],[Nama_Proyek]]="", "Tidak Diketahui", Table2[[#This Row],[Nama_Proyek]])</f>
        <v>Perbaikan Jalan Raya Depok</v>
      </c>
      <c r="E392" s="14">
        <v>45207</v>
      </c>
      <c r="F392" s="14">
        <v>45396</v>
      </c>
      <c r="G392" s="10">
        <v>516197294</v>
      </c>
      <c r="H392" s="8" t="str">
        <f>IF(Table2[[#This Row],[Kontraktor]]="", "Tidak Diketahui",Table2[[#This Row],[Kontraktor]])</f>
        <v>PT A</v>
      </c>
      <c r="I392" s="11">
        <f>Table245[[#This Row],[Tanggal_Selesai]]-Table245[[#This Row],[Tanggal_Mulai]]</f>
        <v>189</v>
      </c>
      <c r="J392" s="17">
        <f>Table245[[#This Row],[Anggaran]]/Table245[[#This Row],[Durasi_Proyek]]</f>
        <v>2731202.6137566138</v>
      </c>
      <c r="K392" s="11">
        <f>YEAR(Table245[[#This Row],[Tanggal_Mulai]])</f>
        <v>2023</v>
      </c>
    </row>
    <row r="393" spans="1:11" ht="14.25" customHeight="1" x14ac:dyDescent="0.35">
      <c r="A393" s="8" t="s">
        <v>444</v>
      </c>
      <c r="B393" s="8" t="str">
        <f>IF(Table2[[#This Row],[Jenis_Proyek]]="", "Tidak Diketahui", Table2[[#This Row],[Jenis_Proyek]])</f>
        <v>Jalan Raya</v>
      </c>
      <c r="C393" s="8" t="str">
        <f>IF(Table2[[#This Row],[Lokasi]]="", "Tidak Diketahui", Table2[[#This Row],[Lokasi]])</f>
        <v>Surabaya</v>
      </c>
      <c r="D393" s="8" t="str">
        <f>IF(Table2[[#This Row],[Nama_Proyek]]="", "Tidak Diketahui", Table2[[#This Row],[Nama_Proyek]])</f>
        <v>Perbaikan Jalan Raya Surabaya</v>
      </c>
      <c r="E393" s="14">
        <v>45207</v>
      </c>
      <c r="F393" s="14">
        <v>45572</v>
      </c>
      <c r="G393" s="10">
        <v>540697362</v>
      </c>
      <c r="H393" s="8" t="str">
        <f>IF(Table2[[#This Row],[Kontraktor]]="", "Tidak Diketahui",Table2[[#This Row],[Kontraktor]])</f>
        <v>PT B</v>
      </c>
      <c r="I393" s="11">
        <f>Table245[[#This Row],[Tanggal_Selesai]]-Table245[[#This Row],[Tanggal_Mulai]]</f>
        <v>365</v>
      </c>
      <c r="J393" s="17">
        <f>Table245[[#This Row],[Anggaran]]/Table245[[#This Row],[Durasi_Proyek]]</f>
        <v>1481362.6356164385</v>
      </c>
      <c r="K393" s="11">
        <f>YEAR(Table245[[#This Row],[Tanggal_Mulai]])</f>
        <v>2023</v>
      </c>
    </row>
    <row r="394" spans="1:11" ht="14.25" customHeight="1" x14ac:dyDescent="0.35">
      <c r="A394" s="8" t="s">
        <v>445</v>
      </c>
      <c r="B394" s="8" t="str">
        <f>IF(Table2[[#This Row],[Jenis_Proyek]]="", "Tidak Diketahui", Table2[[#This Row],[Jenis_Proyek]])</f>
        <v>Gedung</v>
      </c>
      <c r="C394" s="8" t="str">
        <f>IF(Table2[[#This Row],[Lokasi]]="", "Tidak Diketahui", Table2[[#This Row],[Lokasi]])</f>
        <v>Depok</v>
      </c>
      <c r="D394" s="8" t="str">
        <f>IF(Table2[[#This Row],[Nama_Proyek]]="", "Tidak Diketahui", Table2[[#This Row],[Nama_Proyek]])</f>
        <v>Perbaikan Gedung Pemerintah Depok</v>
      </c>
      <c r="E394" s="14">
        <v>45208</v>
      </c>
      <c r="F394" s="14">
        <v>45388</v>
      </c>
      <c r="G394" s="10">
        <v>6374609108</v>
      </c>
      <c r="H394" s="8" t="str">
        <f>IF(Table2[[#This Row],[Kontraktor]]="", "Tidak Diketahui",Table2[[#This Row],[Kontraktor]])</f>
        <v>PT A</v>
      </c>
      <c r="I394" s="11">
        <f>Table245[[#This Row],[Tanggal_Selesai]]-Table245[[#This Row],[Tanggal_Mulai]]</f>
        <v>180</v>
      </c>
      <c r="J394" s="17">
        <f>Table245[[#This Row],[Anggaran]]/Table245[[#This Row],[Durasi_Proyek]]</f>
        <v>35414495.044444442</v>
      </c>
      <c r="K394" s="11">
        <f>YEAR(Table245[[#This Row],[Tanggal_Mulai]])</f>
        <v>2023</v>
      </c>
    </row>
    <row r="395" spans="1:11" ht="14.25" customHeight="1" x14ac:dyDescent="0.35">
      <c r="A395" s="8" t="s">
        <v>446</v>
      </c>
      <c r="B395" s="8" t="str">
        <f>IF(Table2[[#This Row],[Jenis_Proyek]]="", "Tidak Diketahui", Table2[[#This Row],[Jenis_Proyek]])</f>
        <v>Jembatan</v>
      </c>
      <c r="C395" s="8" t="str">
        <f>IF(Table2[[#This Row],[Lokasi]]="", "Tidak Diketahui", Table2[[#This Row],[Lokasi]])</f>
        <v>Surabaya</v>
      </c>
      <c r="D395" s="8" t="str">
        <f>IF(Table2[[#This Row],[Nama_Proyek]]="", "Tidak Diketahui", Table2[[#This Row],[Nama_Proyek]])</f>
        <v>Perbaikan Jembatan Surabaya</v>
      </c>
      <c r="E395" s="14">
        <v>45208</v>
      </c>
      <c r="F395" s="14">
        <v>45271</v>
      </c>
      <c r="G395" s="10">
        <v>2805083829</v>
      </c>
      <c r="H395" s="8" t="str">
        <f>IF(Table2[[#This Row],[Kontraktor]]="", "Tidak Diketahui",Table2[[#This Row],[Kontraktor]])</f>
        <v>PT. Yuniar Hakim Tbk</v>
      </c>
      <c r="I395" s="11">
        <f>Table245[[#This Row],[Tanggal_Selesai]]-Table245[[#This Row],[Tanggal_Mulai]]</f>
        <v>63</v>
      </c>
      <c r="J395" s="17">
        <f>Table245[[#This Row],[Anggaran]]/Table245[[#This Row],[Durasi_Proyek]]</f>
        <v>44525140.142857142</v>
      </c>
      <c r="K395" s="11">
        <f>YEAR(Table245[[#This Row],[Tanggal_Mulai]])</f>
        <v>2023</v>
      </c>
    </row>
    <row r="396" spans="1:11" ht="14.25" customHeight="1" x14ac:dyDescent="0.35">
      <c r="A396" s="8" t="s">
        <v>447</v>
      </c>
      <c r="B396" s="8" t="str">
        <f>IF(Table2[[#This Row],[Jenis_Proyek]]="", "Tidak Diketahui", Table2[[#This Row],[Jenis_Proyek]])</f>
        <v>Gedung</v>
      </c>
      <c r="C396" s="8" t="str">
        <f>IF(Table2[[#This Row],[Lokasi]]="", "Tidak Diketahui", Table2[[#This Row],[Lokasi]])</f>
        <v>Tomohon</v>
      </c>
      <c r="D396" s="8" t="str">
        <f>IF(Table2[[#This Row],[Nama_Proyek]]="", "Tidak Diketahui", Table2[[#This Row],[Nama_Proyek]])</f>
        <v>Perbaikan Gedung Pemerintah Tomohon</v>
      </c>
      <c r="E396" s="14">
        <v>45210</v>
      </c>
      <c r="F396" s="14">
        <v>45557</v>
      </c>
      <c r="G396" s="10">
        <v>7779607484</v>
      </c>
      <c r="H396" s="8" t="str">
        <f>IF(Table2[[#This Row],[Kontraktor]]="", "Tidak Diketahui",Table2[[#This Row],[Kontraktor]])</f>
        <v>PT. Lailasari Hariyah (Persero) Tbk</v>
      </c>
      <c r="I396" s="11">
        <f>Table245[[#This Row],[Tanggal_Selesai]]-Table245[[#This Row],[Tanggal_Mulai]]</f>
        <v>347</v>
      </c>
      <c r="J396" s="17">
        <f>Table245[[#This Row],[Anggaran]]/Table245[[#This Row],[Durasi_Proyek]]</f>
        <v>22419618.109510086</v>
      </c>
      <c r="K396" s="11">
        <f>YEAR(Table245[[#This Row],[Tanggal_Mulai]])</f>
        <v>2023</v>
      </c>
    </row>
    <row r="397" spans="1:11" ht="14.25" customHeight="1" x14ac:dyDescent="0.35">
      <c r="A397" s="8" t="s">
        <v>448</v>
      </c>
      <c r="B397" s="8" t="str">
        <f>IF(Table2[[#This Row],[Jenis_Proyek]]="", "Tidak Diketahui", Table2[[#This Row],[Jenis_Proyek]])</f>
        <v>Jembatan</v>
      </c>
      <c r="C397" s="8" t="str">
        <f>IF(Table2[[#This Row],[Lokasi]]="", "Tidak Diketahui", Table2[[#This Row],[Lokasi]])</f>
        <v>Tomohon</v>
      </c>
      <c r="D397" s="8" t="str">
        <f>IF(Table2[[#This Row],[Nama_Proyek]]="", "Tidak Diketahui", Table2[[#This Row],[Nama_Proyek]])</f>
        <v>Perbaikan Jembatan Tomohon</v>
      </c>
      <c r="E397" s="14">
        <v>45211</v>
      </c>
      <c r="F397" s="14">
        <v>45297</v>
      </c>
      <c r="G397" s="10">
        <v>1204572808</v>
      </c>
      <c r="H397" s="8" t="str">
        <f>IF(Table2[[#This Row],[Kontraktor]]="", "Tidak Diketahui",Table2[[#This Row],[Kontraktor]])</f>
        <v>Tidak Diketahui</v>
      </c>
      <c r="I397" s="11">
        <f>Table245[[#This Row],[Tanggal_Selesai]]-Table245[[#This Row],[Tanggal_Mulai]]</f>
        <v>86</v>
      </c>
      <c r="J397" s="17">
        <f>Table245[[#This Row],[Anggaran]]/Table245[[#This Row],[Durasi_Proyek]]</f>
        <v>14006660.558139535</v>
      </c>
      <c r="K397" s="11">
        <f>YEAR(Table245[[#This Row],[Tanggal_Mulai]])</f>
        <v>2023</v>
      </c>
    </row>
    <row r="398" spans="1:11" ht="14.25" customHeight="1" x14ac:dyDescent="0.35">
      <c r="A398" s="8" t="s">
        <v>449</v>
      </c>
      <c r="B398" s="8" t="str">
        <f>IF(Table2[[#This Row],[Jenis_Proyek]]="", "Tidak Diketahui", Table2[[#This Row],[Jenis_Proyek]])</f>
        <v>Jalan Raya</v>
      </c>
      <c r="C398" s="8" t="str">
        <f>IF(Table2[[#This Row],[Lokasi]]="", "Tidak Diketahui", Table2[[#This Row],[Lokasi]])</f>
        <v>Depok</v>
      </c>
      <c r="D398" s="8" t="str">
        <f>IF(Table2[[#This Row],[Nama_Proyek]]="", "Tidak Diketahui", Table2[[#This Row],[Nama_Proyek]])</f>
        <v>Perbaikan Jalan Raya Depok</v>
      </c>
      <c r="E398" s="14">
        <v>45214</v>
      </c>
      <c r="F398" s="14">
        <v>45488</v>
      </c>
      <c r="G398" s="10">
        <v>909945479</v>
      </c>
      <c r="H398" s="8" t="str">
        <f>IF(Table2[[#This Row],[Kontraktor]]="", "Tidak Diketahui",Table2[[#This Row],[Kontraktor]])</f>
        <v>CV Sihombing</v>
      </c>
      <c r="I398" s="11">
        <f>Table245[[#This Row],[Tanggal_Selesai]]-Table245[[#This Row],[Tanggal_Mulai]]</f>
        <v>274</v>
      </c>
      <c r="J398" s="17">
        <f>Table245[[#This Row],[Anggaran]]/Table245[[#This Row],[Durasi_Proyek]]</f>
        <v>3320968.9014598541</v>
      </c>
      <c r="K398" s="11">
        <f>YEAR(Table245[[#This Row],[Tanggal_Mulai]])</f>
        <v>2023</v>
      </c>
    </row>
    <row r="399" spans="1:11" ht="14.25" customHeight="1" x14ac:dyDescent="0.35">
      <c r="A399" s="8" t="s">
        <v>450</v>
      </c>
      <c r="B399" s="8" t="str">
        <f>IF(Table2[[#This Row],[Jenis_Proyek]]="", "Tidak Diketahui", Table2[[#This Row],[Jenis_Proyek]])</f>
        <v>Gedung</v>
      </c>
      <c r="C399" s="8" t="str">
        <f>IF(Table2[[#This Row],[Lokasi]]="", "Tidak Diketahui", Table2[[#This Row],[Lokasi]])</f>
        <v>Jakarta</v>
      </c>
      <c r="D399" s="8" t="str">
        <f>IF(Table2[[#This Row],[Nama_Proyek]]="", "Tidak Diketahui", Table2[[#This Row],[Nama_Proyek]])</f>
        <v>Perbaikan Gedung Pemerintah Jakarta</v>
      </c>
      <c r="E399" s="14">
        <v>45214</v>
      </c>
      <c r="F399" s="14">
        <v>45410</v>
      </c>
      <c r="G399" s="10">
        <v>5167811974</v>
      </c>
      <c r="H399" s="8" t="str">
        <f>IF(Table2[[#This Row],[Kontraktor]]="", "Tidak Diketahui",Table2[[#This Row],[Kontraktor]])</f>
        <v>Tidak Diketahui</v>
      </c>
      <c r="I399" s="11">
        <f>Table245[[#This Row],[Tanggal_Selesai]]-Table245[[#This Row],[Tanggal_Mulai]]</f>
        <v>196</v>
      </c>
      <c r="J399" s="17">
        <f>Table245[[#This Row],[Anggaran]]/Table245[[#This Row],[Durasi_Proyek]]</f>
        <v>26366387.622448981</v>
      </c>
      <c r="K399" s="11">
        <f>YEAR(Table245[[#This Row],[Tanggal_Mulai]])</f>
        <v>2023</v>
      </c>
    </row>
    <row r="400" spans="1:11" ht="14.25" customHeight="1" x14ac:dyDescent="0.35">
      <c r="A400" s="8" t="s">
        <v>451</v>
      </c>
      <c r="B400" s="8" t="str">
        <f>IF(Table2[[#This Row],[Jenis_Proyek]]="", "Tidak Diketahui", Table2[[#This Row],[Jenis_Proyek]])</f>
        <v>Drainase</v>
      </c>
      <c r="C400" s="8" t="str">
        <f>IF(Table2[[#This Row],[Lokasi]]="", "Tidak Diketahui", Table2[[#This Row],[Lokasi]])</f>
        <v>Jakarta</v>
      </c>
      <c r="D400" s="8" t="str">
        <f>IF(Table2[[#This Row],[Nama_Proyek]]="", "Tidak Diketahui", Table2[[#This Row],[Nama_Proyek]])</f>
        <v>Perbaikan Drainase Jakarta</v>
      </c>
      <c r="E400" s="14">
        <v>45217</v>
      </c>
      <c r="F400" s="14">
        <v>45469</v>
      </c>
      <c r="G400" s="10">
        <v>320968841</v>
      </c>
      <c r="H400" s="8" t="str">
        <f>IF(Table2[[#This Row],[Kontraktor]]="", "Tidak Diketahui",Table2[[#This Row],[Kontraktor]])</f>
        <v>PT A</v>
      </c>
      <c r="I400" s="11">
        <f>Table245[[#This Row],[Tanggal_Selesai]]-Table245[[#This Row],[Tanggal_Mulai]]</f>
        <v>252</v>
      </c>
      <c r="J400" s="17">
        <f>Table245[[#This Row],[Anggaran]]/Table245[[#This Row],[Durasi_Proyek]]</f>
        <v>1273685.8769841271</v>
      </c>
      <c r="K400" s="11">
        <f>YEAR(Table245[[#This Row],[Tanggal_Mulai]])</f>
        <v>2023</v>
      </c>
    </row>
    <row r="401" spans="1:11" ht="14.25" customHeight="1" x14ac:dyDescent="0.35">
      <c r="A401" s="8" t="s">
        <v>452</v>
      </c>
      <c r="B401" s="8" t="str">
        <f>IF(Table2[[#This Row],[Jenis_Proyek]]="", "Tidak Diketahui", Table2[[#This Row],[Jenis_Proyek]])</f>
        <v>Flyover</v>
      </c>
      <c r="C401" s="8" t="str">
        <f>IF(Table2[[#This Row],[Lokasi]]="", "Tidak Diketahui", Table2[[#This Row],[Lokasi]])</f>
        <v>Jakarta</v>
      </c>
      <c r="D401" s="8" t="str">
        <f>IF(Table2[[#This Row],[Nama_Proyek]]="", "Tidak Diketahui", Table2[[#This Row],[Nama_Proyek]])</f>
        <v>Pembuatan Flyover Jakarta</v>
      </c>
      <c r="E401" s="14">
        <v>45217</v>
      </c>
      <c r="F401" s="14">
        <v>45524</v>
      </c>
      <c r="G401" s="10">
        <v>2879285863</v>
      </c>
      <c r="H401" s="8" t="str">
        <f>IF(Table2[[#This Row],[Kontraktor]]="", "Tidak Diketahui",Table2[[#This Row],[Kontraktor]])</f>
        <v>PT D</v>
      </c>
      <c r="I401" s="11">
        <f>Table245[[#This Row],[Tanggal_Selesai]]-Table245[[#This Row],[Tanggal_Mulai]]</f>
        <v>307</v>
      </c>
      <c r="J401" s="17">
        <f>Table245[[#This Row],[Anggaran]]/Table245[[#This Row],[Durasi_Proyek]]</f>
        <v>9378781.3127035834</v>
      </c>
      <c r="K401" s="11">
        <f>YEAR(Table245[[#This Row],[Tanggal_Mulai]])</f>
        <v>2023</v>
      </c>
    </row>
    <row r="402" spans="1:11" ht="14.25" customHeight="1" x14ac:dyDescent="0.35">
      <c r="A402" s="8" t="s">
        <v>453</v>
      </c>
      <c r="B402" s="8" t="str">
        <f>IF(Table2[[#This Row],[Jenis_Proyek]]="", "Tidak Diketahui", Table2[[#This Row],[Jenis_Proyek]])</f>
        <v>Flyover</v>
      </c>
      <c r="C402" s="8" t="str">
        <f>IF(Table2[[#This Row],[Lokasi]]="", "Tidak Diketahui", Table2[[#This Row],[Lokasi]])</f>
        <v>Tomohon</v>
      </c>
      <c r="D402" s="8" t="str">
        <f>IF(Table2[[#This Row],[Nama_Proyek]]="", "Tidak Diketahui", Table2[[#This Row],[Nama_Proyek]])</f>
        <v>Pembuatan Flyover Tomohon</v>
      </c>
      <c r="E402" s="14">
        <v>45219</v>
      </c>
      <c r="F402" s="14">
        <v>45583</v>
      </c>
      <c r="G402" s="10">
        <v>4595916165</v>
      </c>
      <c r="H402" s="8" t="str">
        <f>IF(Table2[[#This Row],[Kontraktor]]="", "Tidak Diketahui",Table2[[#This Row],[Kontraktor]])</f>
        <v>PT C</v>
      </c>
      <c r="I402" s="11">
        <f>Table245[[#This Row],[Tanggal_Selesai]]-Table245[[#This Row],[Tanggal_Mulai]]</f>
        <v>364</v>
      </c>
      <c r="J402" s="17">
        <f>Table245[[#This Row],[Anggaran]]/Table245[[#This Row],[Durasi_Proyek]]</f>
        <v>12626143.310439561</v>
      </c>
      <c r="K402" s="11">
        <f>YEAR(Table245[[#This Row],[Tanggal_Mulai]])</f>
        <v>2023</v>
      </c>
    </row>
    <row r="403" spans="1:11" ht="14.25" customHeight="1" x14ac:dyDescent="0.35">
      <c r="A403" s="8" t="s">
        <v>454</v>
      </c>
      <c r="B403" s="8" t="str">
        <f>IF(Table2[[#This Row],[Jenis_Proyek]]="", "Tidak Diketahui", Table2[[#This Row],[Jenis_Proyek]])</f>
        <v>Jembatan</v>
      </c>
      <c r="C403" s="8" t="str">
        <f>IF(Table2[[#This Row],[Lokasi]]="", "Tidak Diketahui", Table2[[#This Row],[Lokasi]])</f>
        <v>Surabaya</v>
      </c>
      <c r="D403" s="8" t="str">
        <f>IF(Table2[[#This Row],[Nama_Proyek]]="", "Tidak Diketahui", Table2[[#This Row],[Nama_Proyek]])</f>
        <v>Perbaikan Jembatan Surabaya</v>
      </c>
      <c r="E403" s="14">
        <v>45220</v>
      </c>
      <c r="F403" s="14">
        <v>45327</v>
      </c>
      <c r="G403" s="10">
        <v>1299848740</v>
      </c>
      <c r="H403" s="8" t="str">
        <f>IF(Table2[[#This Row],[Kontraktor]]="", "Tidak Diketahui",Table2[[#This Row],[Kontraktor]])</f>
        <v>PT B</v>
      </c>
      <c r="I403" s="11">
        <f>Table245[[#This Row],[Tanggal_Selesai]]-Table245[[#This Row],[Tanggal_Mulai]]</f>
        <v>107</v>
      </c>
      <c r="J403" s="17">
        <f>Table245[[#This Row],[Anggaran]]/Table245[[#This Row],[Durasi_Proyek]]</f>
        <v>12148119.065420561</v>
      </c>
      <c r="K403" s="11">
        <f>YEAR(Table245[[#This Row],[Tanggal_Mulai]])</f>
        <v>2023</v>
      </c>
    </row>
    <row r="404" spans="1:11" ht="14.25" customHeight="1" x14ac:dyDescent="0.35">
      <c r="A404" s="8" t="s">
        <v>455</v>
      </c>
      <c r="B404" s="8" t="str">
        <f>IF(Table2[[#This Row],[Jenis_Proyek]]="", "Tidak Diketahui", Table2[[#This Row],[Jenis_Proyek]])</f>
        <v>Gedung</v>
      </c>
      <c r="C404" s="8" t="str">
        <f>IF(Table2[[#This Row],[Lokasi]]="", "Tidak Diketahui", Table2[[#This Row],[Lokasi]])</f>
        <v>Surabaya</v>
      </c>
      <c r="D404" s="8" t="str">
        <f>IF(Table2[[#This Row],[Nama_Proyek]]="", "Tidak Diketahui", Table2[[#This Row],[Nama_Proyek]])</f>
        <v>Perbaikan Gedung Pemerintah Surabaya</v>
      </c>
      <c r="E404" s="14">
        <v>45221</v>
      </c>
      <c r="F404" s="14">
        <v>45307</v>
      </c>
      <c r="G404" s="10">
        <v>3206827076</v>
      </c>
      <c r="H404" s="8" t="str">
        <f>IF(Table2[[#This Row],[Kontraktor]]="", "Tidak Diketahui",Table2[[#This Row],[Kontraktor]])</f>
        <v>PT D</v>
      </c>
      <c r="I404" s="11">
        <f>Table245[[#This Row],[Tanggal_Selesai]]-Table245[[#This Row],[Tanggal_Mulai]]</f>
        <v>86</v>
      </c>
      <c r="J404" s="17">
        <f>Table245[[#This Row],[Anggaran]]/Table245[[#This Row],[Durasi_Proyek]]</f>
        <v>37288686.930232555</v>
      </c>
      <c r="K404" s="11">
        <f>YEAR(Table245[[#This Row],[Tanggal_Mulai]])</f>
        <v>2023</v>
      </c>
    </row>
    <row r="405" spans="1:11" ht="14.25" customHeight="1" x14ac:dyDescent="0.35">
      <c r="A405" s="8" t="s">
        <v>456</v>
      </c>
      <c r="B405" s="8" t="str">
        <f>IF(Table2[[#This Row],[Jenis_Proyek]]="", "Tidak Diketahui", Table2[[#This Row],[Jenis_Proyek]])</f>
        <v>Drainase</v>
      </c>
      <c r="C405" s="8" t="str">
        <f>IF(Table2[[#This Row],[Lokasi]]="", "Tidak Diketahui", Table2[[#This Row],[Lokasi]])</f>
        <v>Bau-Bau</v>
      </c>
      <c r="D405" s="8" t="str">
        <f>IF(Table2[[#This Row],[Nama_Proyek]]="", "Tidak Diketahui", Table2[[#This Row],[Nama_Proyek]])</f>
        <v>Perbaikan Drainase Bau-Bau</v>
      </c>
      <c r="E405" s="14">
        <v>45222</v>
      </c>
      <c r="F405" s="14">
        <v>45341</v>
      </c>
      <c r="G405" s="10">
        <v>559804949</v>
      </c>
      <c r="H405" s="8" t="str">
        <f>IF(Table2[[#This Row],[Kontraktor]]="", "Tidak Diketahui",Table2[[#This Row],[Kontraktor]])</f>
        <v>PT. Yuniar Hakim Tbk</v>
      </c>
      <c r="I405" s="11">
        <f>Table245[[#This Row],[Tanggal_Selesai]]-Table245[[#This Row],[Tanggal_Mulai]]</f>
        <v>119</v>
      </c>
      <c r="J405" s="17">
        <f>Table245[[#This Row],[Anggaran]]/Table245[[#This Row],[Durasi_Proyek]]</f>
        <v>4704243.2689075628</v>
      </c>
      <c r="K405" s="11">
        <f>YEAR(Table245[[#This Row],[Tanggal_Mulai]])</f>
        <v>2023</v>
      </c>
    </row>
    <row r="406" spans="1:11" ht="14.25" customHeight="1" x14ac:dyDescent="0.35">
      <c r="A406" s="8" t="s">
        <v>457</v>
      </c>
      <c r="B406" s="8" t="str">
        <f>IF(Table2[[#This Row],[Jenis_Proyek]]="", "Tidak Diketahui", Table2[[#This Row],[Jenis_Proyek]])</f>
        <v>Drainase</v>
      </c>
      <c r="C406" s="8" t="str">
        <f>IF(Table2[[#This Row],[Lokasi]]="", "Tidak Diketahui", Table2[[#This Row],[Lokasi]])</f>
        <v>Makassar</v>
      </c>
      <c r="D406" s="8" t="str">
        <f>IF(Table2[[#This Row],[Nama_Proyek]]="", "Tidak Diketahui", Table2[[#This Row],[Nama_Proyek]])</f>
        <v>Perbaikan Drainase Makassar</v>
      </c>
      <c r="E406" s="14">
        <v>45223</v>
      </c>
      <c r="F406" s="14">
        <v>45586</v>
      </c>
      <c r="G406" s="10">
        <v>582067969</v>
      </c>
      <c r="H406" s="8" t="str">
        <f>IF(Table2[[#This Row],[Kontraktor]]="", "Tidak Diketahui",Table2[[#This Row],[Kontraktor]])</f>
        <v>Tidak Diketahui</v>
      </c>
      <c r="I406" s="11">
        <f>Table245[[#This Row],[Tanggal_Selesai]]-Table245[[#This Row],[Tanggal_Mulai]]</f>
        <v>363</v>
      </c>
      <c r="J406" s="17">
        <f>Table245[[#This Row],[Anggaran]]/Table245[[#This Row],[Durasi_Proyek]]</f>
        <v>1603493.0275482093</v>
      </c>
      <c r="K406" s="11">
        <f>YEAR(Table245[[#This Row],[Tanggal_Mulai]])</f>
        <v>2023</v>
      </c>
    </row>
    <row r="407" spans="1:11" ht="14.25" customHeight="1" x14ac:dyDescent="0.35">
      <c r="A407" s="8" t="s">
        <v>458</v>
      </c>
      <c r="B407" s="8" t="str">
        <f>IF(Table2[[#This Row],[Jenis_Proyek]]="", "Tidak Diketahui", Table2[[#This Row],[Jenis_Proyek]])</f>
        <v>Jalan Raya</v>
      </c>
      <c r="C407" s="8" t="str">
        <f>IF(Table2[[#This Row],[Lokasi]]="", "Tidak Diketahui", Table2[[#This Row],[Lokasi]])</f>
        <v>Tomohon</v>
      </c>
      <c r="D407" s="8" t="str">
        <f>IF(Table2[[#This Row],[Nama_Proyek]]="", "Tidak Diketahui", Table2[[#This Row],[Nama_Proyek]])</f>
        <v>Perbaikan Jalan Raya Tomohon</v>
      </c>
      <c r="E407" s="14">
        <v>45223</v>
      </c>
      <c r="F407" s="14">
        <v>45484</v>
      </c>
      <c r="G407" s="10">
        <v>685929486</v>
      </c>
      <c r="H407" s="8" t="str">
        <f>IF(Table2[[#This Row],[Kontraktor]]="", "Tidak Diketahui",Table2[[#This Row],[Kontraktor]])</f>
        <v>PT A</v>
      </c>
      <c r="I407" s="11">
        <f>Table245[[#This Row],[Tanggal_Selesai]]-Table245[[#This Row],[Tanggal_Mulai]]</f>
        <v>261</v>
      </c>
      <c r="J407" s="17">
        <f>Table245[[#This Row],[Anggaran]]/Table245[[#This Row],[Durasi_Proyek]]</f>
        <v>2628082.3218390807</v>
      </c>
      <c r="K407" s="11">
        <f>YEAR(Table245[[#This Row],[Tanggal_Mulai]])</f>
        <v>2023</v>
      </c>
    </row>
    <row r="408" spans="1:11" ht="14.25" customHeight="1" x14ac:dyDescent="0.35">
      <c r="A408" s="8" t="s">
        <v>459</v>
      </c>
      <c r="B408" s="8" t="str">
        <f>IF(Table2[[#This Row],[Jenis_Proyek]]="", "Tidak Diketahui", Table2[[#This Row],[Jenis_Proyek]])</f>
        <v>Gedung</v>
      </c>
      <c r="C408" s="8" t="str">
        <f>IF(Table2[[#This Row],[Lokasi]]="", "Tidak Diketahui", Table2[[#This Row],[Lokasi]])</f>
        <v>Jakarta</v>
      </c>
      <c r="D408" s="8" t="str">
        <f>IF(Table2[[#This Row],[Nama_Proyek]]="", "Tidak Diketahui", Table2[[#This Row],[Nama_Proyek]])</f>
        <v>Perbaikan Gedung Pemerintah Jakarta</v>
      </c>
      <c r="E408" s="14">
        <v>45225</v>
      </c>
      <c r="F408" s="14">
        <v>45551</v>
      </c>
      <c r="G408" s="10">
        <v>2626084542</v>
      </c>
      <c r="H408" s="8" t="str">
        <f>IF(Table2[[#This Row],[Kontraktor]]="", "Tidak Diketahui",Table2[[#This Row],[Kontraktor]])</f>
        <v>PT. Yuniar Hakim Tbk</v>
      </c>
      <c r="I408" s="11">
        <f>Table245[[#This Row],[Tanggal_Selesai]]-Table245[[#This Row],[Tanggal_Mulai]]</f>
        <v>326</v>
      </c>
      <c r="J408" s="17">
        <f>Table245[[#This Row],[Anggaran]]/Table245[[#This Row],[Durasi_Proyek]]</f>
        <v>8055474.0552147236</v>
      </c>
      <c r="K408" s="11">
        <f>YEAR(Table245[[#This Row],[Tanggal_Mulai]])</f>
        <v>2023</v>
      </c>
    </row>
    <row r="409" spans="1:11" ht="14.25" customHeight="1" x14ac:dyDescent="0.35">
      <c r="A409" s="8" t="s">
        <v>460</v>
      </c>
      <c r="B409" s="8" t="str">
        <f>IF(Table2[[#This Row],[Jenis_Proyek]]="", "Tidak Diketahui", Table2[[#This Row],[Jenis_Proyek]])</f>
        <v>Jalan Raya</v>
      </c>
      <c r="C409" s="8" t="str">
        <f>IF(Table2[[#This Row],[Lokasi]]="", "Tidak Diketahui", Table2[[#This Row],[Lokasi]])</f>
        <v>Depok</v>
      </c>
      <c r="D409" s="8" t="str">
        <f>IF(Table2[[#This Row],[Nama_Proyek]]="", "Tidak Diketahui", Table2[[#This Row],[Nama_Proyek]])</f>
        <v>Perbaikan Jalan Raya Depok</v>
      </c>
      <c r="E409" s="14">
        <v>45226</v>
      </c>
      <c r="F409" s="14">
        <v>45403</v>
      </c>
      <c r="G409" s="10">
        <v>893411259</v>
      </c>
      <c r="H409" s="8" t="str">
        <f>IF(Table2[[#This Row],[Kontraktor]]="", "Tidak Diketahui",Table2[[#This Row],[Kontraktor]])</f>
        <v>PT A</v>
      </c>
      <c r="I409" s="11">
        <f>Table245[[#This Row],[Tanggal_Selesai]]-Table245[[#This Row],[Tanggal_Mulai]]</f>
        <v>177</v>
      </c>
      <c r="J409" s="17">
        <f>Table245[[#This Row],[Anggaran]]/Table245[[#This Row],[Durasi_Proyek]]</f>
        <v>5047521.237288136</v>
      </c>
      <c r="K409" s="11">
        <f>YEAR(Table245[[#This Row],[Tanggal_Mulai]])</f>
        <v>2023</v>
      </c>
    </row>
    <row r="410" spans="1:11" ht="14.25" customHeight="1" x14ac:dyDescent="0.35">
      <c r="A410" s="8" t="s">
        <v>461</v>
      </c>
      <c r="B410" s="8" t="str">
        <f>IF(Table2[[#This Row],[Jenis_Proyek]]="", "Tidak Diketahui", Table2[[#This Row],[Jenis_Proyek]])</f>
        <v>Drainase</v>
      </c>
      <c r="C410" s="8" t="str">
        <f>IF(Table2[[#This Row],[Lokasi]]="", "Tidak Diketahui", Table2[[#This Row],[Lokasi]])</f>
        <v>Medan</v>
      </c>
      <c r="D410" s="8" t="str">
        <f>IF(Table2[[#This Row],[Nama_Proyek]]="", "Tidak Diketahui", Table2[[#This Row],[Nama_Proyek]])</f>
        <v>Perbaikan Drainase Medan</v>
      </c>
      <c r="E410" s="14">
        <v>45226</v>
      </c>
      <c r="F410" s="14">
        <v>45467</v>
      </c>
      <c r="G410" s="10">
        <v>264833844</v>
      </c>
      <c r="H410" s="8" t="str">
        <f>IF(Table2[[#This Row],[Kontraktor]]="", "Tidak Diketahui",Table2[[#This Row],[Kontraktor]])</f>
        <v>PT A</v>
      </c>
      <c r="I410" s="11">
        <f>Table245[[#This Row],[Tanggal_Selesai]]-Table245[[#This Row],[Tanggal_Mulai]]</f>
        <v>241</v>
      </c>
      <c r="J410" s="17">
        <f>Table245[[#This Row],[Anggaran]]/Table245[[#This Row],[Durasi_Proyek]]</f>
        <v>1098895.6182572613</v>
      </c>
      <c r="K410" s="11">
        <f>YEAR(Table245[[#This Row],[Tanggal_Mulai]])</f>
        <v>2023</v>
      </c>
    </row>
    <row r="411" spans="1:11" ht="14.25" customHeight="1" x14ac:dyDescent="0.35">
      <c r="A411" s="8" t="s">
        <v>462</v>
      </c>
      <c r="B411" s="8" t="str">
        <f>IF(Table2[[#This Row],[Jenis_Proyek]]="", "Tidak Diketahui", Table2[[#This Row],[Jenis_Proyek]])</f>
        <v>Drainase</v>
      </c>
      <c r="C411" s="8" t="str">
        <f>IF(Table2[[#This Row],[Lokasi]]="", "Tidak Diketahui", Table2[[#This Row],[Lokasi]])</f>
        <v>Jakarta</v>
      </c>
      <c r="D411" s="8" t="str">
        <f>IF(Table2[[#This Row],[Nama_Proyek]]="", "Tidak Diketahui", Table2[[#This Row],[Nama_Proyek]])</f>
        <v>Perbaikan Drainase Jakarta</v>
      </c>
      <c r="E411" s="14">
        <v>45226</v>
      </c>
      <c r="F411" s="14">
        <v>45426</v>
      </c>
      <c r="G411" s="10">
        <v>588269229</v>
      </c>
      <c r="H411" s="8" t="str">
        <f>IF(Table2[[#This Row],[Kontraktor]]="", "Tidak Diketahui",Table2[[#This Row],[Kontraktor]])</f>
        <v>PT D</v>
      </c>
      <c r="I411" s="11">
        <f>Table245[[#This Row],[Tanggal_Selesai]]-Table245[[#This Row],[Tanggal_Mulai]]</f>
        <v>200</v>
      </c>
      <c r="J411" s="17">
        <f>Table245[[#This Row],[Anggaran]]/Table245[[#This Row],[Durasi_Proyek]]</f>
        <v>2941346.145</v>
      </c>
      <c r="K411" s="11">
        <f>YEAR(Table245[[#This Row],[Tanggal_Mulai]])</f>
        <v>2023</v>
      </c>
    </row>
    <row r="412" spans="1:11" ht="14.25" customHeight="1" x14ac:dyDescent="0.35">
      <c r="A412" s="8" t="s">
        <v>463</v>
      </c>
      <c r="B412" s="8" t="str">
        <f>IF(Table2[[#This Row],[Jenis_Proyek]]="", "Tidak Diketahui", Table2[[#This Row],[Jenis_Proyek]])</f>
        <v>Drainase</v>
      </c>
      <c r="C412" s="8" t="str">
        <f>IF(Table2[[#This Row],[Lokasi]]="", "Tidak Diketahui", Table2[[#This Row],[Lokasi]])</f>
        <v>Bau-Bau</v>
      </c>
      <c r="D412" s="8" t="str">
        <f>IF(Table2[[#This Row],[Nama_Proyek]]="", "Tidak Diketahui", Table2[[#This Row],[Nama_Proyek]])</f>
        <v>Perbaikan Drainase Bau-Bau</v>
      </c>
      <c r="E412" s="14">
        <v>45227</v>
      </c>
      <c r="F412" s="14">
        <v>45478</v>
      </c>
      <c r="G412" s="10">
        <v>691409314</v>
      </c>
      <c r="H412" s="8" t="str">
        <f>IF(Table2[[#This Row],[Kontraktor]]="", "Tidak Diketahui",Table2[[#This Row],[Kontraktor]])</f>
        <v>PT C</v>
      </c>
      <c r="I412" s="11">
        <f>Table245[[#This Row],[Tanggal_Selesai]]-Table245[[#This Row],[Tanggal_Mulai]]</f>
        <v>251</v>
      </c>
      <c r="J412" s="17">
        <f>Table245[[#This Row],[Anggaran]]/Table245[[#This Row],[Durasi_Proyek]]</f>
        <v>2754618.780876494</v>
      </c>
      <c r="K412" s="11">
        <f>YEAR(Table245[[#This Row],[Tanggal_Mulai]])</f>
        <v>2023</v>
      </c>
    </row>
    <row r="413" spans="1:11" ht="14.25" customHeight="1" x14ac:dyDescent="0.35">
      <c r="A413" s="8" t="s">
        <v>464</v>
      </c>
      <c r="B413" s="8" t="str">
        <f>IF(Table2[[#This Row],[Jenis_Proyek]]="", "Tidak Diketahui", Table2[[#This Row],[Jenis_Proyek]])</f>
        <v>Jalan Raya</v>
      </c>
      <c r="C413" s="8" t="str">
        <f>IF(Table2[[#This Row],[Lokasi]]="", "Tidak Diketahui", Table2[[#This Row],[Lokasi]])</f>
        <v>Medan</v>
      </c>
      <c r="D413" s="8" t="str">
        <f>IF(Table2[[#This Row],[Nama_Proyek]]="", "Tidak Diketahui", Table2[[#This Row],[Nama_Proyek]])</f>
        <v>Perbaikan Jalan Raya Medan</v>
      </c>
      <c r="E413" s="14">
        <v>45228</v>
      </c>
      <c r="F413" s="14">
        <v>45583</v>
      </c>
      <c r="G413" s="10">
        <v>242272002</v>
      </c>
      <c r="H413" s="8" t="str">
        <f>IF(Table2[[#This Row],[Kontraktor]]="", "Tidak Diketahui",Table2[[#This Row],[Kontraktor]])</f>
        <v>Tidak Diketahui</v>
      </c>
      <c r="I413" s="11">
        <f>Table245[[#This Row],[Tanggal_Selesai]]-Table245[[#This Row],[Tanggal_Mulai]]</f>
        <v>355</v>
      </c>
      <c r="J413" s="17">
        <f>Table245[[#This Row],[Anggaran]]/Table245[[#This Row],[Durasi_Proyek]]</f>
        <v>682456.34366197186</v>
      </c>
      <c r="K413" s="11">
        <f>YEAR(Table245[[#This Row],[Tanggal_Mulai]])</f>
        <v>2023</v>
      </c>
    </row>
    <row r="414" spans="1:11" ht="14.25" customHeight="1" x14ac:dyDescent="0.35">
      <c r="A414" s="8" t="s">
        <v>465</v>
      </c>
      <c r="B414" s="8" t="str">
        <f>IF(Table2[[#This Row],[Jenis_Proyek]]="", "Tidak Diketahui", Table2[[#This Row],[Jenis_Proyek]])</f>
        <v>Jembatan</v>
      </c>
      <c r="C414" s="8" t="str">
        <f>IF(Table2[[#This Row],[Lokasi]]="", "Tidak Diketahui", Table2[[#This Row],[Lokasi]])</f>
        <v>Surabaya</v>
      </c>
      <c r="D414" s="8" t="str">
        <f>IF(Table2[[#This Row],[Nama_Proyek]]="", "Tidak Diketahui", Table2[[#This Row],[Nama_Proyek]])</f>
        <v>Pembuatan Jembatan Surabaya</v>
      </c>
      <c r="E414" s="14">
        <v>45228</v>
      </c>
      <c r="F414" s="14">
        <v>45515</v>
      </c>
      <c r="G414" s="10">
        <v>1906777116</v>
      </c>
      <c r="H414" s="8" t="str">
        <f>IF(Table2[[#This Row],[Kontraktor]]="", "Tidak Diketahui",Table2[[#This Row],[Kontraktor]])</f>
        <v>CV Sihombing</v>
      </c>
      <c r="I414" s="11">
        <f>Table245[[#This Row],[Tanggal_Selesai]]-Table245[[#This Row],[Tanggal_Mulai]]</f>
        <v>287</v>
      </c>
      <c r="J414" s="17">
        <f>Table245[[#This Row],[Anggaran]]/Table245[[#This Row],[Durasi_Proyek]]</f>
        <v>6643822.703832753</v>
      </c>
      <c r="K414" s="11">
        <f>YEAR(Table245[[#This Row],[Tanggal_Mulai]])</f>
        <v>2023</v>
      </c>
    </row>
    <row r="415" spans="1:11" ht="14.25" customHeight="1" x14ac:dyDescent="0.35">
      <c r="A415" s="8" t="s">
        <v>466</v>
      </c>
      <c r="B415" s="8" t="str">
        <f>IF(Table2[[#This Row],[Jenis_Proyek]]="", "Tidak Diketahui", Table2[[#This Row],[Jenis_Proyek]])</f>
        <v>Drainase</v>
      </c>
      <c r="C415" s="8" t="str">
        <f>IF(Table2[[#This Row],[Lokasi]]="", "Tidak Diketahui", Table2[[#This Row],[Lokasi]])</f>
        <v>Depok</v>
      </c>
      <c r="D415" s="8" t="str">
        <f>IF(Table2[[#This Row],[Nama_Proyek]]="", "Tidak Diketahui", Table2[[#This Row],[Nama_Proyek]])</f>
        <v>Perbaikan Drainase Depok</v>
      </c>
      <c r="E415" s="14">
        <v>45229</v>
      </c>
      <c r="F415" s="14">
        <v>45334</v>
      </c>
      <c r="G415" s="10">
        <v>325400177</v>
      </c>
      <c r="H415" s="8" t="str">
        <f>IF(Table2[[#This Row],[Kontraktor]]="", "Tidak Diketahui",Table2[[#This Row],[Kontraktor]])</f>
        <v>Tidak Diketahui</v>
      </c>
      <c r="I415" s="11">
        <f>Table245[[#This Row],[Tanggal_Selesai]]-Table245[[#This Row],[Tanggal_Mulai]]</f>
        <v>105</v>
      </c>
      <c r="J415" s="17">
        <f>Table245[[#This Row],[Anggaran]]/Table245[[#This Row],[Durasi_Proyek]]</f>
        <v>3099049.3047619048</v>
      </c>
      <c r="K415" s="11">
        <f>YEAR(Table245[[#This Row],[Tanggal_Mulai]])</f>
        <v>2023</v>
      </c>
    </row>
    <row r="416" spans="1:11" ht="14.25" customHeight="1" x14ac:dyDescent="0.35">
      <c r="A416" s="8" t="s">
        <v>467</v>
      </c>
      <c r="B416" s="8" t="str">
        <f>IF(Table2[[#This Row],[Jenis_Proyek]]="", "Tidak Diketahui", Table2[[#This Row],[Jenis_Proyek]])</f>
        <v>Jalan Raya</v>
      </c>
      <c r="C416" s="8" t="str">
        <f>IF(Table2[[#This Row],[Lokasi]]="", "Tidak Diketahui", Table2[[#This Row],[Lokasi]])</f>
        <v>Medan</v>
      </c>
      <c r="D416" s="8" t="str">
        <f>IF(Table2[[#This Row],[Nama_Proyek]]="", "Tidak Diketahui", Table2[[#This Row],[Nama_Proyek]])</f>
        <v>Perbaikan Jalan Raya Medan</v>
      </c>
      <c r="E416" s="14">
        <v>45230</v>
      </c>
      <c r="F416" s="14">
        <v>45529</v>
      </c>
      <c r="G416" s="10">
        <v>131415829</v>
      </c>
      <c r="H416" s="8" t="str">
        <f>IF(Table2[[#This Row],[Kontraktor]]="", "Tidak Diketahui",Table2[[#This Row],[Kontraktor]])</f>
        <v>PT D</v>
      </c>
      <c r="I416" s="11">
        <f>Table245[[#This Row],[Tanggal_Selesai]]-Table245[[#This Row],[Tanggal_Mulai]]</f>
        <v>299</v>
      </c>
      <c r="J416" s="17">
        <f>Table245[[#This Row],[Anggaran]]/Table245[[#This Row],[Durasi_Proyek]]</f>
        <v>439517.82274247491</v>
      </c>
      <c r="K416" s="11">
        <f>YEAR(Table245[[#This Row],[Tanggal_Mulai]])</f>
        <v>2023</v>
      </c>
    </row>
    <row r="417" spans="1:11" ht="14.25" customHeight="1" x14ac:dyDescent="0.35">
      <c r="A417" s="8" t="s">
        <v>468</v>
      </c>
      <c r="B417" s="8" t="str">
        <f>IF(Table2[[#This Row],[Jenis_Proyek]]="", "Tidak Diketahui", Table2[[#This Row],[Jenis_Proyek]])</f>
        <v>Drainase</v>
      </c>
      <c r="C417" s="8" t="str">
        <f>IF(Table2[[#This Row],[Lokasi]]="", "Tidak Diketahui", Table2[[#This Row],[Lokasi]])</f>
        <v>Makassar</v>
      </c>
      <c r="D417" s="8" t="str">
        <f>IF(Table2[[#This Row],[Nama_Proyek]]="", "Tidak Diketahui", Table2[[#This Row],[Nama_Proyek]])</f>
        <v>Perbaikan Drainase Makassar</v>
      </c>
      <c r="E417" s="14">
        <v>45230</v>
      </c>
      <c r="F417" s="14">
        <v>45310</v>
      </c>
      <c r="G417" s="10">
        <v>435534089</v>
      </c>
      <c r="H417" s="8" t="str">
        <f>IF(Table2[[#This Row],[Kontraktor]]="", "Tidak Diketahui",Table2[[#This Row],[Kontraktor]])</f>
        <v>PT B</v>
      </c>
      <c r="I417" s="11">
        <f>Table245[[#This Row],[Tanggal_Selesai]]-Table245[[#This Row],[Tanggal_Mulai]]</f>
        <v>80</v>
      </c>
      <c r="J417" s="17">
        <f>Table245[[#This Row],[Anggaran]]/Table245[[#This Row],[Durasi_Proyek]]</f>
        <v>5444176.1124999998</v>
      </c>
      <c r="K417" s="11">
        <f>YEAR(Table245[[#This Row],[Tanggal_Mulai]])</f>
        <v>2023</v>
      </c>
    </row>
    <row r="418" spans="1:11" ht="14.25" customHeight="1" x14ac:dyDescent="0.35">
      <c r="A418" s="8" t="s">
        <v>469</v>
      </c>
      <c r="B418" s="8" t="str">
        <f>IF(Table2[[#This Row],[Jenis_Proyek]]="", "Tidak Diketahui", Table2[[#This Row],[Jenis_Proyek]])</f>
        <v>Gedung</v>
      </c>
      <c r="C418" s="8" t="str">
        <f>IF(Table2[[#This Row],[Lokasi]]="", "Tidak Diketahui", Table2[[#This Row],[Lokasi]])</f>
        <v>Jakarta</v>
      </c>
      <c r="D418" s="8" t="str">
        <f>IF(Table2[[#This Row],[Nama_Proyek]]="", "Tidak Diketahui", Table2[[#This Row],[Nama_Proyek]])</f>
        <v>Perbaikan Gedung Pemerintah Jakarta</v>
      </c>
      <c r="E418" s="14">
        <v>45231</v>
      </c>
      <c r="F418" s="14">
        <v>45268</v>
      </c>
      <c r="G418" s="10">
        <v>1107624052</v>
      </c>
      <c r="H418" s="8" t="str">
        <f>IF(Table2[[#This Row],[Kontraktor]]="", "Tidak Diketahui",Table2[[#This Row],[Kontraktor]])</f>
        <v>CV Sihombing</v>
      </c>
      <c r="I418" s="11">
        <f>Table245[[#This Row],[Tanggal_Selesai]]-Table245[[#This Row],[Tanggal_Mulai]]</f>
        <v>37</v>
      </c>
      <c r="J418" s="17">
        <f>Table245[[#This Row],[Anggaran]]/Table245[[#This Row],[Durasi_Proyek]]</f>
        <v>29935785.189189188</v>
      </c>
      <c r="K418" s="11">
        <f>YEAR(Table245[[#This Row],[Tanggal_Mulai]])</f>
        <v>2023</v>
      </c>
    </row>
    <row r="419" spans="1:11" ht="14.25" customHeight="1" x14ac:dyDescent="0.35">
      <c r="A419" s="8" t="s">
        <v>470</v>
      </c>
      <c r="B419" s="8" t="str">
        <f>IF(Table2[[#This Row],[Jenis_Proyek]]="", "Tidak Diketahui", Table2[[#This Row],[Jenis_Proyek]])</f>
        <v>Jembatan</v>
      </c>
      <c r="C419" s="8" t="str">
        <f>IF(Table2[[#This Row],[Lokasi]]="", "Tidak Diketahui", Table2[[#This Row],[Lokasi]])</f>
        <v>Makassar</v>
      </c>
      <c r="D419" s="8" t="str">
        <f>IF(Table2[[#This Row],[Nama_Proyek]]="", "Tidak Diketahui", Table2[[#This Row],[Nama_Proyek]])</f>
        <v>Perbaikan Jembatan Makassar</v>
      </c>
      <c r="E419" s="14">
        <v>45231</v>
      </c>
      <c r="F419" s="14">
        <v>45434</v>
      </c>
      <c r="G419" s="10">
        <v>4913634320</v>
      </c>
      <c r="H419" s="8" t="str">
        <f>IF(Table2[[#This Row],[Kontraktor]]="", "Tidak Diketahui",Table2[[#This Row],[Kontraktor]])</f>
        <v>Tidak Diketahui</v>
      </c>
      <c r="I419" s="11">
        <f>Table245[[#This Row],[Tanggal_Selesai]]-Table245[[#This Row],[Tanggal_Mulai]]</f>
        <v>203</v>
      </c>
      <c r="J419" s="17">
        <f>Table245[[#This Row],[Anggaran]]/Table245[[#This Row],[Durasi_Proyek]]</f>
        <v>24205095.172413792</v>
      </c>
      <c r="K419" s="11">
        <f>YEAR(Table245[[#This Row],[Tanggal_Mulai]])</f>
        <v>2023</v>
      </c>
    </row>
    <row r="420" spans="1:11" ht="14.25" customHeight="1" x14ac:dyDescent="0.35">
      <c r="A420" s="8" t="s">
        <v>471</v>
      </c>
      <c r="B420" s="8" t="str">
        <f>IF(Table2[[#This Row],[Jenis_Proyek]]="", "Tidak Diketahui", Table2[[#This Row],[Jenis_Proyek]])</f>
        <v>Gedung</v>
      </c>
      <c r="C420" s="8" t="str">
        <f>IF(Table2[[#This Row],[Lokasi]]="", "Tidak Diketahui", Table2[[#This Row],[Lokasi]])</f>
        <v>Tomohon</v>
      </c>
      <c r="D420" s="8" t="str">
        <f>IF(Table2[[#This Row],[Nama_Proyek]]="", "Tidak Diketahui", Table2[[#This Row],[Nama_Proyek]])</f>
        <v>Perbaikan Gedung Pemerintah Tomohon</v>
      </c>
      <c r="E420" s="14">
        <v>45231</v>
      </c>
      <c r="F420" s="14">
        <v>45567</v>
      </c>
      <c r="G420" s="10">
        <v>2100848894</v>
      </c>
      <c r="H420" s="8" t="str">
        <f>IF(Table2[[#This Row],[Kontraktor]]="", "Tidak Diketahui",Table2[[#This Row],[Kontraktor]])</f>
        <v>PT. Lailasari Hariyah (Persero) Tbk</v>
      </c>
      <c r="I420" s="11">
        <f>Table245[[#This Row],[Tanggal_Selesai]]-Table245[[#This Row],[Tanggal_Mulai]]</f>
        <v>336</v>
      </c>
      <c r="J420" s="17">
        <f>Table245[[#This Row],[Anggaran]]/Table245[[#This Row],[Durasi_Proyek]]</f>
        <v>6252526.4702380951</v>
      </c>
      <c r="K420" s="11">
        <f>YEAR(Table245[[#This Row],[Tanggal_Mulai]])</f>
        <v>2023</v>
      </c>
    </row>
    <row r="421" spans="1:11" ht="14.25" customHeight="1" x14ac:dyDescent="0.35">
      <c r="A421" s="8" t="s">
        <v>472</v>
      </c>
      <c r="B421" s="8" t="str">
        <f>IF(Table2[[#This Row],[Jenis_Proyek]]="", "Tidak Diketahui", Table2[[#This Row],[Jenis_Proyek]])</f>
        <v>Jalan Raya</v>
      </c>
      <c r="C421" s="8" t="str">
        <f>IF(Table2[[#This Row],[Lokasi]]="", "Tidak Diketahui", Table2[[#This Row],[Lokasi]])</f>
        <v>Bandung</v>
      </c>
      <c r="D421" s="8" t="str">
        <f>IF(Table2[[#This Row],[Nama_Proyek]]="", "Tidak Diketahui", Table2[[#This Row],[Nama_Proyek]])</f>
        <v>Perbaikan Jalan Raya Bandung</v>
      </c>
      <c r="E421" s="14">
        <v>45234</v>
      </c>
      <c r="F421" s="14">
        <v>45348</v>
      </c>
      <c r="G421" s="10">
        <v>505388172</v>
      </c>
      <c r="H421" s="8" t="str">
        <f>IF(Table2[[#This Row],[Kontraktor]]="", "Tidak Diketahui",Table2[[#This Row],[Kontraktor]])</f>
        <v>CV Sihombing</v>
      </c>
      <c r="I421" s="11">
        <f>Table245[[#This Row],[Tanggal_Selesai]]-Table245[[#This Row],[Tanggal_Mulai]]</f>
        <v>114</v>
      </c>
      <c r="J421" s="17">
        <f>Table245[[#This Row],[Anggaran]]/Table245[[#This Row],[Durasi_Proyek]]</f>
        <v>4433229.5789473681</v>
      </c>
      <c r="K421" s="11">
        <f>YEAR(Table245[[#This Row],[Tanggal_Mulai]])</f>
        <v>2023</v>
      </c>
    </row>
    <row r="422" spans="1:11" ht="14.25" customHeight="1" x14ac:dyDescent="0.35">
      <c r="A422" s="8" t="s">
        <v>473</v>
      </c>
      <c r="B422" s="8" t="str">
        <f>IF(Table2[[#This Row],[Jenis_Proyek]]="", "Tidak Diketahui", Table2[[#This Row],[Jenis_Proyek]])</f>
        <v>Jalan Raya</v>
      </c>
      <c r="C422" s="8" t="str">
        <f>IF(Table2[[#This Row],[Lokasi]]="", "Tidak Diketahui", Table2[[#This Row],[Lokasi]])</f>
        <v>Bau-Bau</v>
      </c>
      <c r="D422" s="8" t="str">
        <f>IF(Table2[[#This Row],[Nama_Proyek]]="", "Tidak Diketahui", Table2[[#This Row],[Nama_Proyek]])</f>
        <v>Perbaikan Jalan Raya Bau-Bau</v>
      </c>
      <c r="E422" s="14">
        <v>45234</v>
      </c>
      <c r="F422" s="14">
        <v>45426</v>
      </c>
      <c r="G422" s="10">
        <v>574563455</v>
      </c>
      <c r="H422" s="8" t="str">
        <f>IF(Table2[[#This Row],[Kontraktor]]="", "Tidak Diketahui",Table2[[#This Row],[Kontraktor]])</f>
        <v>PT. Lailasari Hariyah (Persero) Tbk</v>
      </c>
      <c r="I422" s="11">
        <f>Table245[[#This Row],[Tanggal_Selesai]]-Table245[[#This Row],[Tanggal_Mulai]]</f>
        <v>192</v>
      </c>
      <c r="J422" s="17">
        <f>Table245[[#This Row],[Anggaran]]/Table245[[#This Row],[Durasi_Proyek]]</f>
        <v>2992517.9947916665</v>
      </c>
      <c r="K422" s="11">
        <f>YEAR(Table245[[#This Row],[Tanggal_Mulai]])</f>
        <v>2023</v>
      </c>
    </row>
    <row r="423" spans="1:11" ht="14.25" customHeight="1" x14ac:dyDescent="0.35">
      <c r="A423" s="8" t="s">
        <v>474</v>
      </c>
      <c r="B423" s="8" t="str">
        <f>IF(Table2[[#This Row],[Jenis_Proyek]]="", "Tidak Diketahui", Table2[[#This Row],[Jenis_Proyek]])</f>
        <v>Jalan Raya</v>
      </c>
      <c r="C423" s="8" t="str">
        <f>IF(Table2[[#This Row],[Lokasi]]="", "Tidak Diketahui", Table2[[#This Row],[Lokasi]])</f>
        <v>Depok</v>
      </c>
      <c r="D423" s="8" t="str">
        <f>IF(Table2[[#This Row],[Nama_Proyek]]="", "Tidak Diketahui", Table2[[#This Row],[Nama_Proyek]])</f>
        <v>Perbaikan Jalan Raya Depok</v>
      </c>
      <c r="E423" s="14">
        <v>45234</v>
      </c>
      <c r="F423" s="14">
        <v>45264</v>
      </c>
      <c r="G423" s="10">
        <v>445199395</v>
      </c>
      <c r="H423" s="8" t="str">
        <f>IF(Table2[[#This Row],[Kontraktor]]="", "Tidak Diketahui",Table2[[#This Row],[Kontraktor]])</f>
        <v>CV Sihombing</v>
      </c>
      <c r="I423" s="11">
        <f>Table245[[#This Row],[Tanggal_Selesai]]-Table245[[#This Row],[Tanggal_Mulai]]</f>
        <v>30</v>
      </c>
      <c r="J423" s="17">
        <f>Table245[[#This Row],[Anggaran]]/Table245[[#This Row],[Durasi_Proyek]]</f>
        <v>14839979.833333334</v>
      </c>
      <c r="K423" s="11">
        <f>YEAR(Table245[[#This Row],[Tanggal_Mulai]])</f>
        <v>2023</v>
      </c>
    </row>
    <row r="424" spans="1:11" ht="14.25" customHeight="1" x14ac:dyDescent="0.35">
      <c r="A424" s="8" t="s">
        <v>475</v>
      </c>
      <c r="B424" s="8" t="str">
        <f>IF(Table2[[#This Row],[Jenis_Proyek]]="", "Tidak Diketahui", Table2[[#This Row],[Jenis_Proyek]])</f>
        <v>Jalan Raya</v>
      </c>
      <c r="C424" s="8" t="str">
        <f>IF(Table2[[#This Row],[Lokasi]]="", "Tidak Diketahui", Table2[[#This Row],[Lokasi]])</f>
        <v>Jakarta</v>
      </c>
      <c r="D424" s="8" t="str">
        <f>IF(Table2[[#This Row],[Nama_Proyek]]="", "Tidak Diketahui", Table2[[#This Row],[Nama_Proyek]])</f>
        <v>Perbaikan Jalan Raya Jakarta</v>
      </c>
      <c r="E424" s="14">
        <v>45235</v>
      </c>
      <c r="F424" s="14">
        <v>45313</v>
      </c>
      <c r="G424" s="10">
        <v>849005913</v>
      </c>
      <c r="H424" s="8" t="str">
        <f>IF(Table2[[#This Row],[Kontraktor]]="", "Tidak Diketahui",Table2[[#This Row],[Kontraktor]])</f>
        <v>CV Sihombing</v>
      </c>
      <c r="I424" s="11">
        <f>Table245[[#This Row],[Tanggal_Selesai]]-Table245[[#This Row],[Tanggal_Mulai]]</f>
        <v>78</v>
      </c>
      <c r="J424" s="17">
        <f>Table245[[#This Row],[Anggaran]]/Table245[[#This Row],[Durasi_Proyek]]</f>
        <v>10884691.192307692</v>
      </c>
      <c r="K424" s="11">
        <f>YEAR(Table245[[#This Row],[Tanggal_Mulai]])</f>
        <v>2023</v>
      </c>
    </row>
    <row r="425" spans="1:11" ht="14.25" customHeight="1" x14ac:dyDescent="0.35">
      <c r="A425" s="8" t="s">
        <v>476</v>
      </c>
      <c r="B425" s="8" t="str">
        <f>IF(Table2[[#This Row],[Jenis_Proyek]]="", "Tidak Diketahui", Table2[[#This Row],[Jenis_Proyek]])</f>
        <v>Jembatan</v>
      </c>
      <c r="C425" s="8" t="str">
        <f>IF(Table2[[#This Row],[Lokasi]]="", "Tidak Diketahui", Table2[[#This Row],[Lokasi]])</f>
        <v>Medan</v>
      </c>
      <c r="D425" s="8" t="str">
        <f>IF(Table2[[#This Row],[Nama_Proyek]]="", "Tidak Diketahui", Table2[[#This Row],[Nama_Proyek]])</f>
        <v>Pembuatan Jembatan Medan</v>
      </c>
      <c r="E425" s="14">
        <v>45236</v>
      </c>
      <c r="F425" s="14">
        <v>45266</v>
      </c>
      <c r="G425" s="10">
        <v>3098364960</v>
      </c>
      <c r="H425" s="8" t="str">
        <f>IF(Table2[[#This Row],[Kontraktor]]="", "Tidak Diketahui",Table2[[#This Row],[Kontraktor]])</f>
        <v>PT. Yuniar Hakim Tbk</v>
      </c>
      <c r="I425" s="11">
        <f>Table245[[#This Row],[Tanggal_Selesai]]-Table245[[#This Row],[Tanggal_Mulai]]</f>
        <v>30</v>
      </c>
      <c r="J425" s="17">
        <f>Table245[[#This Row],[Anggaran]]/Table245[[#This Row],[Durasi_Proyek]]</f>
        <v>103278832</v>
      </c>
      <c r="K425" s="11">
        <f>YEAR(Table245[[#This Row],[Tanggal_Mulai]])</f>
        <v>2023</v>
      </c>
    </row>
    <row r="426" spans="1:11" ht="14.25" customHeight="1" x14ac:dyDescent="0.35">
      <c r="A426" s="8" t="s">
        <v>477</v>
      </c>
      <c r="B426" s="8" t="str">
        <f>IF(Table2[[#This Row],[Jenis_Proyek]]="", "Tidak Diketahui", Table2[[#This Row],[Jenis_Proyek]])</f>
        <v>Flyover</v>
      </c>
      <c r="C426" s="8" t="str">
        <f>IF(Table2[[#This Row],[Lokasi]]="", "Tidak Diketahui", Table2[[#This Row],[Lokasi]])</f>
        <v>Medan</v>
      </c>
      <c r="D426" s="8" t="str">
        <f>IF(Table2[[#This Row],[Nama_Proyek]]="", "Tidak Diketahui", Table2[[#This Row],[Nama_Proyek]])</f>
        <v>Perbaikan Flyover Medan</v>
      </c>
      <c r="E426" s="14">
        <v>45237</v>
      </c>
      <c r="F426" s="14">
        <v>45413</v>
      </c>
      <c r="G426" s="10">
        <v>1607071599</v>
      </c>
      <c r="H426" s="8" t="str">
        <f>IF(Table2[[#This Row],[Kontraktor]]="", "Tidak Diketahui",Table2[[#This Row],[Kontraktor]])</f>
        <v>PT. Lailasari Hariyah (Persero) Tbk</v>
      </c>
      <c r="I426" s="11">
        <f>Table245[[#This Row],[Tanggal_Selesai]]-Table245[[#This Row],[Tanggal_Mulai]]</f>
        <v>176</v>
      </c>
      <c r="J426" s="17">
        <f>Table245[[#This Row],[Anggaran]]/Table245[[#This Row],[Durasi_Proyek]]</f>
        <v>9131088.6306818184</v>
      </c>
      <c r="K426" s="11">
        <f>YEAR(Table245[[#This Row],[Tanggal_Mulai]])</f>
        <v>2023</v>
      </c>
    </row>
    <row r="427" spans="1:11" ht="14.25" customHeight="1" x14ac:dyDescent="0.35">
      <c r="A427" s="8" t="s">
        <v>478</v>
      </c>
      <c r="B427" s="8" t="str">
        <f>IF(Table2[[#This Row],[Jenis_Proyek]]="", "Tidak Diketahui", Table2[[#This Row],[Jenis_Proyek]])</f>
        <v>Jembatan</v>
      </c>
      <c r="C427" s="8" t="str">
        <f>IF(Table2[[#This Row],[Lokasi]]="", "Tidak Diketahui", Table2[[#This Row],[Lokasi]])</f>
        <v>Bandung</v>
      </c>
      <c r="D427" s="8" t="str">
        <f>IF(Table2[[#This Row],[Nama_Proyek]]="", "Tidak Diketahui", Table2[[#This Row],[Nama_Proyek]])</f>
        <v>Pembuatan Jembatan Bandung</v>
      </c>
      <c r="E427" s="14">
        <v>45240</v>
      </c>
      <c r="F427" s="14">
        <v>45361</v>
      </c>
      <c r="G427" s="10">
        <v>2771182474</v>
      </c>
      <c r="H427" s="8" t="str">
        <f>IF(Table2[[#This Row],[Kontraktor]]="", "Tidak Diketahui",Table2[[#This Row],[Kontraktor]])</f>
        <v>PT D</v>
      </c>
      <c r="I427" s="11">
        <f>Table245[[#This Row],[Tanggal_Selesai]]-Table245[[#This Row],[Tanggal_Mulai]]</f>
        <v>121</v>
      </c>
      <c r="J427" s="17">
        <f>Table245[[#This Row],[Anggaran]]/Table245[[#This Row],[Durasi_Proyek]]</f>
        <v>22902334.49586777</v>
      </c>
      <c r="K427" s="11">
        <f>YEAR(Table245[[#This Row],[Tanggal_Mulai]])</f>
        <v>2023</v>
      </c>
    </row>
    <row r="428" spans="1:11" ht="14.25" customHeight="1" x14ac:dyDescent="0.35">
      <c r="A428" s="8" t="s">
        <v>479</v>
      </c>
      <c r="B428" s="8" t="str">
        <f>IF(Table2[[#This Row],[Jenis_Proyek]]="", "Tidak Diketahui", Table2[[#This Row],[Jenis_Proyek]])</f>
        <v>Jalan Raya</v>
      </c>
      <c r="C428" s="8" t="str">
        <f>IF(Table2[[#This Row],[Lokasi]]="", "Tidak Diketahui", Table2[[#This Row],[Lokasi]])</f>
        <v>Surabaya</v>
      </c>
      <c r="D428" s="8" t="str">
        <f>IF(Table2[[#This Row],[Nama_Proyek]]="", "Tidak Diketahui", Table2[[#This Row],[Nama_Proyek]])</f>
        <v>Perbaikan Jalan Raya Surabaya</v>
      </c>
      <c r="E428" s="14">
        <v>45240</v>
      </c>
      <c r="F428" s="14">
        <v>45532</v>
      </c>
      <c r="G428" s="10">
        <v>153884086</v>
      </c>
      <c r="H428" s="8" t="str">
        <f>IF(Table2[[#This Row],[Kontraktor]]="", "Tidak Diketahui",Table2[[#This Row],[Kontraktor]])</f>
        <v>PT D</v>
      </c>
      <c r="I428" s="11">
        <f>Table245[[#This Row],[Tanggal_Selesai]]-Table245[[#This Row],[Tanggal_Mulai]]</f>
        <v>292</v>
      </c>
      <c r="J428" s="17">
        <f>Table245[[#This Row],[Anggaran]]/Table245[[#This Row],[Durasi_Proyek]]</f>
        <v>527000.29452054796</v>
      </c>
      <c r="K428" s="11">
        <f>YEAR(Table245[[#This Row],[Tanggal_Mulai]])</f>
        <v>2023</v>
      </c>
    </row>
    <row r="429" spans="1:11" ht="14.25" customHeight="1" x14ac:dyDescent="0.35">
      <c r="A429" s="8" t="s">
        <v>480</v>
      </c>
      <c r="B429" s="8" t="str">
        <f>IF(Table2[[#This Row],[Jenis_Proyek]]="", "Tidak Diketahui", Table2[[#This Row],[Jenis_Proyek]])</f>
        <v>Jalan Raya</v>
      </c>
      <c r="C429" s="8" t="str">
        <f>IF(Table2[[#This Row],[Lokasi]]="", "Tidak Diketahui", Table2[[#This Row],[Lokasi]])</f>
        <v>Depok</v>
      </c>
      <c r="D429" s="8" t="str">
        <f>IF(Table2[[#This Row],[Nama_Proyek]]="", "Tidak Diketahui", Table2[[#This Row],[Nama_Proyek]])</f>
        <v>Perbaikan Jalan Raya Depok</v>
      </c>
      <c r="E429" s="14">
        <v>45240</v>
      </c>
      <c r="F429" s="14">
        <v>45434</v>
      </c>
      <c r="G429" s="10">
        <v>545725479</v>
      </c>
      <c r="H429" s="8" t="str">
        <f>IF(Table2[[#This Row],[Kontraktor]]="", "Tidak Diketahui",Table2[[#This Row],[Kontraktor]])</f>
        <v>Tidak Diketahui</v>
      </c>
      <c r="I429" s="11">
        <f>Table245[[#This Row],[Tanggal_Selesai]]-Table245[[#This Row],[Tanggal_Mulai]]</f>
        <v>194</v>
      </c>
      <c r="J429" s="17">
        <f>Table245[[#This Row],[Anggaran]]/Table245[[#This Row],[Durasi_Proyek]]</f>
        <v>2813017.9329896909</v>
      </c>
      <c r="K429" s="11">
        <f>YEAR(Table245[[#This Row],[Tanggal_Mulai]])</f>
        <v>2023</v>
      </c>
    </row>
    <row r="430" spans="1:11" ht="14.25" customHeight="1" x14ac:dyDescent="0.35">
      <c r="A430" s="8" t="s">
        <v>481</v>
      </c>
      <c r="B430" s="8" t="str">
        <f>IF(Table2[[#This Row],[Jenis_Proyek]]="", "Tidak Diketahui", Table2[[#This Row],[Jenis_Proyek]])</f>
        <v>Flyover</v>
      </c>
      <c r="C430" s="8" t="str">
        <f>IF(Table2[[#This Row],[Lokasi]]="", "Tidak Diketahui", Table2[[#This Row],[Lokasi]])</f>
        <v>Jakarta</v>
      </c>
      <c r="D430" s="8" t="str">
        <f>IF(Table2[[#This Row],[Nama_Proyek]]="", "Tidak Diketahui", Table2[[#This Row],[Nama_Proyek]])</f>
        <v>Pembuatan Flyover Jakarta</v>
      </c>
      <c r="E430" s="14">
        <v>45240</v>
      </c>
      <c r="F430" s="14">
        <v>45440</v>
      </c>
      <c r="G430" s="10">
        <v>4659030076</v>
      </c>
      <c r="H430" s="8" t="str">
        <f>IF(Table2[[#This Row],[Kontraktor]]="", "Tidak Diketahui",Table2[[#This Row],[Kontraktor]])</f>
        <v>Tidak Diketahui</v>
      </c>
      <c r="I430" s="11">
        <f>Table245[[#This Row],[Tanggal_Selesai]]-Table245[[#This Row],[Tanggal_Mulai]]</f>
        <v>200</v>
      </c>
      <c r="J430" s="17">
        <f>Table245[[#This Row],[Anggaran]]/Table245[[#This Row],[Durasi_Proyek]]</f>
        <v>23295150.379999999</v>
      </c>
      <c r="K430" s="11">
        <f>YEAR(Table245[[#This Row],[Tanggal_Mulai]])</f>
        <v>2023</v>
      </c>
    </row>
    <row r="431" spans="1:11" ht="14.25" customHeight="1" x14ac:dyDescent="0.35">
      <c r="A431" s="8" t="s">
        <v>482</v>
      </c>
      <c r="B431" s="8" t="str">
        <f>IF(Table2[[#This Row],[Jenis_Proyek]]="", "Tidak Diketahui", Table2[[#This Row],[Jenis_Proyek]])</f>
        <v>Jembatan</v>
      </c>
      <c r="C431" s="8" t="str">
        <f>IF(Table2[[#This Row],[Lokasi]]="", "Tidak Diketahui", Table2[[#This Row],[Lokasi]])</f>
        <v>Depok</v>
      </c>
      <c r="D431" s="8" t="str">
        <f>IF(Table2[[#This Row],[Nama_Proyek]]="", "Tidak Diketahui", Table2[[#This Row],[Nama_Proyek]])</f>
        <v>Perbaikan Jembatan Depok</v>
      </c>
      <c r="E431" s="14">
        <v>45240</v>
      </c>
      <c r="F431" s="14">
        <v>45466</v>
      </c>
      <c r="G431" s="10">
        <v>2661560994</v>
      </c>
      <c r="H431" s="8" t="str">
        <f>IF(Table2[[#This Row],[Kontraktor]]="", "Tidak Diketahui",Table2[[#This Row],[Kontraktor]])</f>
        <v>Tidak Diketahui</v>
      </c>
      <c r="I431" s="11">
        <f>Table245[[#This Row],[Tanggal_Selesai]]-Table245[[#This Row],[Tanggal_Mulai]]</f>
        <v>226</v>
      </c>
      <c r="J431" s="17">
        <f>Table245[[#This Row],[Anggaran]]/Table245[[#This Row],[Durasi_Proyek]]</f>
        <v>11776818.557522124</v>
      </c>
      <c r="K431" s="11">
        <f>YEAR(Table245[[#This Row],[Tanggal_Mulai]])</f>
        <v>2023</v>
      </c>
    </row>
    <row r="432" spans="1:11" ht="14.25" customHeight="1" x14ac:dyDescent="0.35">
      <c r="A432" s="8" t="s">
        <v>483</v>
      </c>
      <c r="B432" s="8" t="str">
        <f>IF(Table2[[#This Row],[Jenis_Proyek]]="", "Tidak Diketahui", Table2[[#This Row],[Jenis_Proyek]])</f>
        <v>Gedung</v>
      </c>
      <c r="C432" s="8" t="str">
        <f>IF(Table2[[#This Row],[Lokasi]]="", "Tidak Diketahui", Table2[[#This Row],[Lokasi]])</f>
        <v>Depok</v>
      </c>
      <c r="D432" s="8" t="str">
        <f>IF(Table2[[#This Row],[Nama_Proyek]]="", "Tidak Diketahui", Table2[[#This Row],[Nama_Proyek]])</f>
        <v>Perbaikan Gedung Pemerintah Depok</v>
      </c>
      <c r="E432" s="14">
        <v>45240</v>
      </c>
      <c r="F432" s="14">
        <v>45346</v>
      </c>
      <c r="G432" s="10">
        <v>1652872648</v>
      </c>
      <c r="H432" s="8" t="str">
        <f>IF(Table2[[#This Row],[Kontraktor]]="", "Tidak Diketahui",Table2[[#This Row],[Kontraktor]])</f>
        <v>PT D</v>
      </c>
      <c r="I432" s="11">
        <f>Table245[[#This Row],[Tanggal_Selesai]]-Table245[[#This Row],[Tanggal_Mulai]]</f>
        <v>106</v>
      </c>
      <c r="J432" s="17">
        <f>Table245[[#This Row],[Anggaran]]/Table245[[#This Row],[Durasi_Proyek]]</f>
        <v>15593138.188679244</v>
      </c>
      <c r="K432" s="11">
        <f>YEAR(Table245[[#This Row],[Tanggal_Mulai]])</f>
        <v>2023</v>
      </c>
    </row>
    <row r="433" spans="1:11" ht="14.25" customHeight="1" x14ac:dyDescent="0.35">
      <c r="A433" s="8" t="s">
        <v>484</v>
      </c>
      <c r="B433" s="8" t="str">
        <f>IF(Table2[[#This Row],[Jenis_Proyek]]="", "Tidak Diketahui", Table2[[#This Row],[Jenis_Proyek]])</f>
        <v>Jembatan</v>
      </c>
      <c r="C433" s="8" t="str">
        <f>IF(Table2[[#This Row],[Lokasi]]="", "Tidak Diketahui", Table2[[#This Row],[Lokasi]])</f>
        <v>Depok</v>
      </c>
      <c r="D433" s="8" t="str">
        <f>IF(Table2[[#This Row],[Nama_Proyek]]="", "Tidak Diketahui", Table2[[#This Row],[Nama_Proyek]])</f>
        <v>Perbaikan Jembatan Depok</v>
      </c>
      <c r="E433" s="14">
        <v>45241</v>
      </c>
      <c r="F433" s="14">
        <v>45505</v>
      </c>
      <c r="G433" s="10">
        <v>7444707554</v>
      </c>
      <c r="H433" s="8" t="str">
        <f>IF(Table2[[#This Row],[Kontraktor]]="", "Tidak Diketahui",Table2[[#This Row],[Kontraktor]])</f>
        <v>PT. Yuniar Hakim Tbk</v>
      </c>
      <c r="I433" s="11">
        <f>Table245[[#This Row],[Tanggal_Selesai]]-Table245[[#This Row],[Tanggal_Mulai]]</f>
        <v>264</v>
      </c>
      <c r="J433" s="17">
        <f>Table245[[#This Row],[Anggaran]]/Table245[[#This Row],[Durasi_Proyek]]</f>
        <v>28199649.825757574</v>
      </c>
      <c r="K433" s="11">
        <f>YEAR(Table245[[#This Row],[Tanggal_Mulai]])</f>
        <v>2023</v>
      </c>
    </row>
    <row r="434" spans="1:11" ht="14.25" customHeight="1" x14ac:dyDescent="0.35">
      <c r="A434" s="8" t="s">
        <v>485</v>
      </c>
      <c r="B434" s="8" t="str">
        <f>IF(Table2[[#This Row],[Jenis_Proyek]]="", "Tidak Diketahui", Table2[[#This Row],[Jenis_Proyek]])</f>
        <v>Drainase</v>
      </c>
      <c r="C434" s="8" t="str">
        <f>IF(Table2[[#This Row],[Lokasi]]="", "Tidak Diketahui", Table2[[#This Row],[Lokasi]])</f>
        <v>Surabaya</v>
      </c>
      <c r="D434" s="8" t="str">
        <f>IF(Table2[[#This Row],[Nama_Proyek]]="", "Tidak Diketahui", Table2[[#This Row],[Nama_Proyek]])</f>
        <v>Perbaikan Drainase Surabaya</v>
      </c>
      <c r="E434" s="14">
        <v>45241</v>
      </c>
      <c r="F434" s="14">
        <v>45311</v>
      </c>
      <c r="G434" s="10">
        <v>308009410</v>
      </c>
      <c r="H434" s="8" t="str">
        <f>IF(Table2[[#This Row],[Kontraktor]]="", "Tidak Diketahui",Table2[[#This Row],[Kontraktor]])</f>
        <v>PT A</v>
      </c>
      <c r="I434" s="11">
        <f>Table245[[#This Row],[Tanggal_Selesai]]-Table245[[#This Row],[Tanggal_Mulai]]</f>
        <v>70</v>
      </c>
      <c r="J434" s="17">
        <f>Table245[[#This Row],[Anggaran]]/Table245[[#This Row],[Durasi_Proyek]]</f>
        <v>4400134.4285714282</v>
      </c>
      <c r="K434" s="11">
        <f>YEAR(Table245[[#This Row],[Tanggal_Mulai]])</f>
        <v>2023</v>
      </c>
    </row>
    <row r="435" spans="1:11" ht="14.25" customHeight="1" x14ac:dyDescent="0.35">
      <c r="A435" s="8" t="s">
        <v>486</v>
      </c>
      <c r="B435" s="8" t="str">
        <f>IF(Table2[[#This Row],[Jenis_Proyek]]="", "Tidak Diketahui", Table2[[#This Row],[Jenis_Proyek]])</f>
        <v>Jembatan</v>
      </c>
      <c r="C435" s="8" t="str">
        <f>IF(Table2[[#This Row],[Lokasi]]="", "Tidak Diketahui", Table2[[#This Row],[Lokasi]])</f>
        <v>Surabaya</v>
      </c>
      <c r="D435" s="8" t="str">
        <f>IF(Table2[[#This Row],[Nama_Proyek]]="", "Tidak Diketahui", Table2[[#This Row],[Nama_Proyek]])</f>
        <v>Pembuatan Jembatan Surabaya</v>
      </c>
      <c r="E435" s="14">
        <v>45242</v>
      </c>
      <c r="F435" s="14">
        <v>45439</v>
      </c>
      <c r="G435" s="10">
        <v>2851933896</v>
      </c>
      <c r="H435" s="8" t="str">
        <f>IF(Table2[[#This Row],[Kontraktor]]="", "Tidak Diketahui",Table2[[#This Row],[Kontraktor]])</f>
        <v>PT D</v>
      </c>
      <c r="I435" s="11">
        <f>Table245[[#This Row],[Tanggal_Selesai]]-Table245[[#This Row],[Tanggal_Mulai]]</f>
        <v>197</v>
      </c>
      <c r="J435" s="17">
        <f>Table245[[#This Row],[Anggaran]]/Table245[[#This Row],[Durasi_Proyek]]</f>
        <v>14476821.807106599</v>
      </c>
      <c r="K435" s="11">
        <f>YEAR(Table245[[#This Row],[Tanggal_Mulai]])</f>
        <v>2023</v>
      </c>
    </row>
    <row r="436" spans="1:11" ht="14.25" customHeight="1" x14ac:dyDescent="0.35">
      <c r="A436" s="8" t="s">
        <v>487</v>
      </c>
      <c r="B436" s="8" t="str">
        <f>IF(Table2[[#This Row],[Jenis_Proyek]]="", "Tidak Diketahui", Table2[[#This Row],[Jenis_Proyek]])</f>
        <v>Jembatan</v>
      </c>
      <c r="C436" s="8" t="str">
        <f>IF(Table2[[#This Row],[Lokasi]]="", "Tidak Diketahui", Table2[[#This Row],[Lokasi]])</f>
        <v>Medan</v>
      </c>
      <c r="D436" s="8" t="str">
        <f>IF(Table2[[#This Row],[Nama_Proyek]]="", "Tidak Diketahui", Table2[[#This Row],[Nama_Proyek]])</f>
        <v>Pembuatan Jembatan Medan</v>
      </c>
      <c r="E436" s="14">
        <v>45242</v>
      </c>
      <c r="F436" s="14">
        <v>45464</v>
      </c>
      <c r="G436" s="10">
        <v>5932217911</v>
      </c>
      <c r="H436" s="8" t="str">
        <f>IF(Table2[[#This Row],[Kontraktor]]="", "Tidak Diketahui",Table2[[#This Row],[Kontraktor]])</f>
        <v>CV Sihombing</v>
      </c>
      <c r="I436" s="11">
        <f>Table245[[#This Row],[Tanggal_Selesai]]-Table245[[#This Row],[Tanggal_Mulai]]</f>
        <v>222</v>
      </c>
      <c r="J436" s="17">
        <f>Table245[[#This Row],[Anggaran]]/Table245[[#This Row],[Durasi_Proyek]]</f>
        <v>26721702.301801801</v>
      </c>
      <c r="K436" s="11">
        <f>YEAR(Table245[[#This Row],[Tanggal_Mulai]])</f>
        <v>2023</v>
      </c>
    </row>
    <row r="437" spans="1:11" ht="14.25" customHeight="1" x14ac:dyDescent="0.35">
      <c r="A437" s="8" t="s">
        <v>488</v>
      </c>
      <c r="B437" s="8" t="str">
        <f>IF(Table2[[#This Row],[Jenis_Proyek]]="", "Tidak Diketahui", Table2[[#This Row],[Jenis_Proyek]])</f>
        <v>Jalan Raya</v>
      </c>
      <c r="C437" s="8" t="str">
        <f>IF(Table2[[#This Row],[Lokasi]]="", "Tidak Diketahui", Table2[[#This Row],[Lokasi]])</f>
        <v>Surabaya</v>
      </c>
      <c r="D437" s="8" t="str">
        <f>IF(Table2[[#This Row],[Nama_Proyek]]="", "Tidak Diketahui", Table2[[#This Row],[Nama_Proyek]])</f>
        <v>Perbaikan Jalan Raya Surabaya</v>
      </c>
      <c r="E437" s="14">
        <v>45242</v>
      </c>
      <c r="F437" s="14">
        <v>45345</v>
      </c>
      <c r="G437" s="10">
        <v>394459258</v>
      </c>
      <c r="H437" s="8" t="str">
        <f>IF(Table2[[#This Row],[Kontraktor]]="", "Tidak Diketahui",Table2[[#This Row],[Kontraktor]])</f>
        <v>PT. Yuniar Hakim Tbk</v>
      </c>
      <c r="I437" s="11">
        <f>Table245[[#This Row],[Tanggal_Selesai]]-Table245[[#This Row],[Tanggal_Mulai]]</f>
        <v>103</v>
      </c>
      <c r="J437" s="17">
        <f>Table245[[#This Row],[Anggaran]]/Table245[[#This Row],[Durasi_Proyek]]</f>
        <v>3829701.5339805824</v>
      </c>
      <c r="K437" s="11">
        <f>YEAR(Table245[[#This Row],[Tanggal_Mulai]])</f>
        <v>2023</v>
      </c>
    </row>
    <row r="438" spans="1:11" ht="14.25" customHeight="1" x14ac:dyDescent="0.35">
      <c r="A438" s="8" t="s">
        <v>489</v>
      </c>
      <c r="B438" s="8" t="str">
        <f>IF(Table2[[#This Row],[Jenis_Proyek]]="", "Tidak Diketahui", Table2[[#This Row],[Jenis_Proyek]])</f>
        <v>Flyover</v>
      </c>
      <c r="C438" s="8" t="str">
        <f>IF(Table2[[#This Row],[Lokasi]]="", "Tidak Diketahui", Table2[[#This Row],[Lokasi]])</f>
        <v>Jakarta</v>
      </c>
      <c r="D438" s="8" t="str">
        <f>IF(Table2[[#This Row],[Nama_Proyek]]="", "Tidak Diketahui", Table2[[#This Row],[Nama_Proyek]])</f>
        <v>Perbaikan Flyover Jakarta</v>
      </c>
      <c r="E438" s="14">
        <v>45242</v>
      </c>
      <c r="F438" s="14">
        <v>45305</v>
      </c>
      <c r="G438" s="10">
        <v>3343026784</v>
      </c>
      <c r="H438" s="8" t="str">
        <f>IF(Table2[[#This Row],[Kontraktor]]="", "Tidak Diketahui",Table2[[#This Row],[Kontraktor]])</f>
        <v>PT. Lailasari Hariyah (Persero) Tbk</v>
      </c>
      <c r="I438" s="11">
        <f>Table245[[#This Row],[Tanggal_Selesai]]-Table245[[#This Row],[Tanggal_Mulai]]</f>
        <v>63</v>
      </c>
      <c r="J438" s="17">
        <f>Table245[[#This Row],[Anggaran]]/Table245[[#This Row],[Durasi_Proyek]]</f>
        <v>53063917.206349209</v>
      </c>
      <c r="K438" s="11">
        <f>YEAR(Table245[[#This Row],[Tanggal_Mulai]])</f>
        <v>2023</v>
      </c>
    </row>
    <row r="439" spans="1:11" ht="14.25" customHeight="1" x14ac:dyDescent="0.35">
      <c r="A439" s="8" t="s">
        <v>490</v>
      </c>
      <c r="B439" s="8" t="str">
        <f>IF(Table2[[#This Row],[Jenis_Proyek]]="", "Tidak Diketahui", Table2[[#This Row],[Jenis_Proyek]])</f>
        <v>Flyover</v>
      </c>
      <c r="C439" s="8" t="str">
        <f>IF(Table2[[#This Row],[Lokasi]]="", "Tidak Diketahui", Table2[[#This Row],[Lokasi]])</f>
        <v>Bau-Bau</v>
      </c>
      <c r="D439" s="8" t="str">
        <f>IF(Table2[[#This Row],[Nama_Proyek]]="", "Tidak Diketahui", Table2[[#This Row],[Nama_Proyek]])</f>
        <v>Pembuatan Flyover Bau-Bau</v>
      </c>
      <c r="E439" s="14">
        <v>45243</v>
      </c>
      <c r="F439" s="14">
        <v>45535</v>
      </c>
      <c r="G439" s="10">
        <v>4651361592</v>
      </c>
      <c r="H439" s="8" t="str">
        <f>IF(Table2[[#This Row],[Kontraktor]]="", "Tidak Diketahui",Table2[[#This Row],[Kontraktor]])</f>
        <v>PT C</v>
      </c>
      <c r="I439" s="11">
        <f>Table245[[#This Row],[Tanggal_Selesai]]-Table245[[#This Row],[Tanggal_Mulai]]</f>
        <v>292</v>
      </c>
      <c r="J439" s="17">
        <f>Table245[[#This Row],[Anggaran]]/Table245[[#This Row],[Durasi_Proyek]]</f>
        <v>15929320.520547945</v>
      </c>
      <c r="K439" s="11">
        <f>YEAR(Table245[[#This Row],[Tanggal_Mulai]])</f>
        <v>2023</v>
      </c>
    </row>
    <row r="440" spans="1:11" ht="14.25" customHeight="1" x14ac:dyDescent="0.35">
      <c r="A440" s="8" t="s">
        <v>491</v>
      </c>
      <c r="B440" s="8" t="str">
        <f>IF(Table2[[#This Row],[Jenis_Proyek]]="", "Tidak Diketahui", Table2[[#This Row],[Jenis_Proyek]])</f>
        <v>Drainase</v>
      </c>
      <c r="C440" s="8" t="str">
        <f>IF(Table2[[#This Row],[Lokasi]]="", "Tidak Diketahui", Table2[[#This Row],[Lokasi]])</f>
        <v>Depok</v>
      </c>
      <c r="D440" s="8" t="str">
        <f>IF(Table2[[#This Row],[Nama_Proyek]]="", "Tidak Diketahui", Table2[[#This Row],[Nama_Proyek]])</f>
        <v>Perbaikan Drainase Depok</v>
      </c>
      <c r="E440" s="14">
        <v>45245</v>
      </c>
      <c r="F440" s="14">
        <v>45585</v>
      </c>
      <c r="G440" s="10">
        <v>287244799</v>
      </c>
      <c r="H440" s="8" t="str">
        <f>IF(Table2[[#This Row],[Kontraktor]]="", "Tidak Diketahui",Table2[[#This Row],[Kontraktor]])</f>
        <v>PT C</v>
      </c>
      <c r="I440" s="11">
        <f>Table245[[#This Row],[Tanggal_Selesai]]-Table245[[#This Row],[Tanggal_Mulai]]</f>
        <v>340</v>
      </c>
      <c r="J440" s="17">
        <f>Table245[[#This Row],[Anggaran]]/Table245[[#This Row],[Durasi_Proyek]]</f>
        <v>844837.64411764708</v>
      </c>
      <c r="K440" s="11">
        <f>YEAR(Table245[[#This Row],[Tanggal_Mulai]])</f>
        <v>2023</v>
      </c>
    </row>
    <row r="441" spans="1:11" ht="14.25" customHeight="1" x14ac:dyDescent="0.35">
      <c r="A441" s="8" t="s">
        <v>492</v>
      </c>
      <c r="B441" s="8" t="str">
        <f>IF(Table2[[#This Row],[Jenis_Proyek]]="", "Tidak Diketahui", Table2[[#This Row],[Jenis_Proyek]])</f>
        <v>Jembatan</v>
      </c>
      <c r="C441" s="8" t="str">
        <f>IF(Table2[[#This Row],[Lokasi]]="", "Tidak Diketahui", Table2[[#This Row],[Lokasi]])</f>
        <v>Bau-Bau</v>
      </c>
      <c r="D441" s="8" t="str">
        <f>IF(Table2[[#This Row],[Nama_Proyek]]="", "Tidak Diketahui", Table2[[#This Row],[Nama_Proyek]])</f>
        <v>Perbaikan Jembatan Bau-Bau</v>
      </c>
      <c r="E441" s="14">
        <v>45245</v>
      </c>
      <c r="F441" s="14">
        <v>45532</v>
      </c>
      <c r="G441" s="10">
        <v>1941923313</v>
      </c>
      <c r="H441" s="8" t="str">
        <f>IF(Table2[[#This Row],[Kontraktor]]="", "Tidak Diketahui",Table2[[#This Row],[Kontraktor]])</f>
        <v>Tidak Diketahui</v>
      </c>
      <c r="I441" s="11">
        <f>Table245[[#This Row],[Tanggal_Selesai]]-Table245[[#This Row],[Tanggal_Mulai]]</f>
        <v>287</v>
      </c>
      <c r="J441" s="17">
        <f>Table245[[#This Row],[Anggaran]]/Table245[[#This Row],[Durasi_Proyek]]</f>
        <v>6766283.3205574909</v>
      </c>
      <c r="K441" s="11">
        <f>YEAR(Table245[[#This Row],[Tanggal_Mulai]])</f>
        <v>2023</v>
      </c>
    </row>
    <row r="442" spans="1:11" ht="14.25" customHeight="1" x14ac:dyDescent="0.35">
      <c r="A442" s="8" t="s">
        <v>493</v>
      </c>
      <c r="B442" s="8" t="str">
        <f>IF(Table2[[#This Row],[Jenis_Proyek]]="", "Tidak Diketahui", Table2[[#This Row],[Jenis_Proyek]])</f>
        <v>Jembatan</v>
      </c>
      <c r="C442" s="8" t="str">
        <f>IF(Table2[[#This Row],[Lokasi]]="", "Tidak Diketahui", Table2[[#This Row],[Lokasi]])</f>
        <v>Surabaya</v>
      </c>
      <c r="D442" s="8" t="str">
        <f>IF(Table2[[#This Row],[Nama_Proyek]]="", "Tidak Diketahui", Table2[[#This Row],[Nama_Proyek]])</f>
        <v>Pembuatan Jembatan Surabaya</v>
      </c>
      <c r="E442" s="14">
        <v>45245</v>
      </c>
      <c r="F442" s="14">
        <v>45333</v>
      </c>
      <c r="G442" s="10">
        <v>1897092669</v>
      </c>
      <c r="H442" s="8" t="str">
        <f>IF(Table2[[#This Row],[Kontraktor]]="", "Tidak Diketahui",Table2[[#This Row],[Kontraktor]])</f>
        <v>Tidak Diketahui</v>
      </c>
      <c r="I442" s="11">
        <f>Table245[[#This Row],[Tanggal_Selesai]]-Table245[[#This Row],[Tanggal_Mulai]]</f>
        <v>88</v>
      </c>
      <c r="J442" s="17">
        <f>Table245[[#This Row],[Anggaran]]/Table245[[#This Row],[Durasi_Proyek]]</f>
        <v>21557871.238636363</v>
      </c>
      <c r="K442" s="11">
        <f>YEAR(Table245[[#This Row],[Tanggal_Mulai]])</f>
        <v>2023</v>
      </c>
    </row>
    <row r="443" spans="1:11" ht="14.25" customHeight="1" x14ac:dyDescent="0.35">
      <c r="A443" s="8" t="s">
        <v>494</v>
      </c>
      <c r="B443" s="8" t="str">
        <f>IF(Table2[[#This Row],[Jenis_Proyek]]="", "Tidak Diketahui", Table2[[#This Row],[Jenis_Proyek]])</f>
        <v>Flyover</v>
      </c>
      <c r="C443" s="8" t="str">
        <f>IF(Table2[[#This Row],[Lokasi]]="", "Tidak Diketahui", Table2[[#This Row],[Lokasi]])</f>
        <v>Jakarta</v>
      </c>
      <c r="D443" s="8" t="str">
        <f>IF(Table2[[#This Row],[Nama_Proyek]]="", "Tidak Diketahui", Table2[[#This Row],[Nama_Proyek]])</f>
        <v>Pembuatan Flyover Jakarta</v>
      </c>
      <c r="E443" s="14">
        <v>45245</v>
      </c>
      <c r="F443" s="14">
        <v>45348</v>
      </c>
      <c r="G443" s="10">
        <v>2304818789</v>
      </c>
      <c r="H443" s="8" t="str">
        <f>IF(Table2[[#This Row],[Kontraktor]]="", "Tidak Diketahui",Table2[[#This Row],[Kontraktor]])</f>
        <v>Tidak Diketahui</v>
      </c>
      <c r="I443" s="11">
        <f>Table245[[#This Row],[Tanggal_Selesai]]-Table245[[#This Row],[Tanggal_Mulai]]</f>
        <v>103</v>
      </c>
      <c r="J443" s="17">
        <f>Table245[[#This Row],[Anggaran]]/Table245[[#This Row],[Durasi_Proyek]]</f>
        <v>22376881.446601942</v>
      </c>
      <c r="K443" s="11">
        <f>YEAR(Table245[[#This Row],[Tanggal_Mulai]])</f>
        <v>2023</v>
      </c>
    </row>
    <row r="444" spans="1:11" ht="14.25" customHeight="1" x14ac:dyDescent="0.35">
      <c r="A444" s="8" t="s">
        <v>495</v>
      </c>
      <c r="B444" s="8" t="str">
        <f>IF(Table2[[#This Row],[Jenis_Proyek]]="", "Tidak Diketahui", Table2[[#This Row],[Jenis_Proyek]])</f>
        <v>Jalan Raya</v>
      </c>
      <c r="C444" s="8" t="str">
        <f>IF(Table2[[#This Row],[Lokasi]]="", "Tidak Diketahui", Table2[[#This Row],[Lokasi]])</f>
        <v>Surabaya</v>
      </c>
      <c r="D444" s="8" t="str">
        <f>IF(Table2[[#This Row],[Nama_Proyek]]="", "Tidak Diketahui", Table2[[#This Row],[Nama_Proyek]])</f>
        <v>Perbaikan Jalan Raya Surabaya</v>
      </c>
      <c r="E444" s="14">
        <v>45246</v>
      </c>
      <c r="F444" s="14">
        <v>45389</v>
      </c>
      <c r="G444" s="10">
        <v>642644763</v>
      </c>
      <c r="H444" s="8" t="str">
        <f>IF(Table2[[#This Row],[Kontraktor]]="", "Tidak Diketahui",Table2[[#This Row],[Kontraktor]])</f>
        <v>PT D</v>
      </c>
      <c r="I444" s="11">
        <f>Table245[[#This Row],[Tanggal_Selesai]]-Table245[[#This Row],[Tanggal_Mulai]]</f>
        <v>143</v>
      </c>
      <c r="J444" s="17">
        <f>Table245[[#This Row],[Anggaran]]/Table245[[#This Row],[Durasi_Proyek]]</f>
        <v>4494019.3216783218</v>
      </c>
      <c r="K444" s="11">
        <f>YEAR(Table245[[#This Row],[Tanggal_Mulai]])</f>
        <v>2023</v>
      </c>
    </row>
    <row r="445" spans="1:11" ht="14.25" customHeight="1" x14ac:dyDescent="0.35">
      <c r="A445" s="8" t="s">
        <v>496</v>
      </c>
      <c r="B445" s="8" t="str">
        <f>IF(Table2[[#This Row],[Jenis_Proyek]]="", "Tidak Diketahui", Table2[[#This Row],[Jenis_Proyek]])</f>
        <v>Jembatan</v>
      </c>
      <c r="C445" s="8" t="str">
        <f>IF(Table2[[#This Row],[Lokasi]]="", "Tidak Diketahui", Table2[[#This Row],[Lokasi]])</f>
        <v>Makassar</v>
      </c>
      <c r="D445" s="8" t="str">
        <f>IF(Table2[[#This Row],[Nama_Proyek]]="", "Tidak Diketahui", Table2[[#This Row],[Nama_Proyek]])</f>
        <v>Perbaikan Jembatan Makassar</v>
      </c>
      <c r="E445" s="14">
        <v>45246</v>
      </c>
      <c r="F445" s="14">
        <v>45343</v>
      </c>
      <c r="G445" s="10">
        <v>5716503787</v>
      </c>
      <c r="H445" s="8" t="str">
        <f>IF(Table2[[#This Row],[Kontraktor]]="", "Tidak Diketahui",Table2[[#This Row],[Kontraktor]])</f>
        <v>PT B</v>
      </c>
      <c r="I445" s="11">
        <f>Table245[[#This Row],[Tanggal_Selesai]]-Table245[[#This Row],[Tanggal_Mulai]]</f>
        <v>97</v>
      </c>
      <c r="J445" s="17">
        <f>Table245[[#This Row],[Anggaran]]/Table245[[#This Row],[Durasi_Proyek]]</f>
        <v>58933028.731958762</v>
      </c>
      <c r="K445" s="11">
        <f>YEAR(Table245[[#This Row],[Tanggal_Mulai]])</f>
        <v>2023</v>
      </c>
    </row>
    <row r="446" spans="1:11" ht="14.25" customHeight="1" x14ac:dyDescent="0.35">
      <c r="A446" s="8" t="s">
        <v>497</v>
      </c>
      <c r="B446" s="8" t="str">
        <f>IF(Table2[[#This Row],[Jenis_Proyek]]="", "Tidak Diketahui", Table2[[#This Row],[Jenis_Proyek]])</f>
        <v>Drainase</v>
      </c>
      <c r="C446" s="8" t="str">
        <f>IF(Table2[[#This Row],[Lokasi]]="", "Tidak Diketahui", Table2[[#This Row],[Lokasi]])</f>
        <v>Surabaya</v>
      </c>
      <c r="D446" s="8" t="str">
        <f>IF(Table2[[#This Row],[Nama_Proyek]]="", "Tidak Diketahui", Table2[[#This Row],[Nama_Proyek]])</f>
        <v>Perbaikan Drainase Surabaya</v>
      </c>
      <c r="E446" s="14">
        <v>45247</v>
      </c>
      <c r="F446" s="14">
        <v>45328</v>
      </c>
      <c r="G446" s="10">
        <v>537845909</v>
      </c>
      <c r="H446" s="8" t="str">
        <f>IF(Table2[[#This Row],[Kontraktor]]="", "Tidak Diketahui",Table2[[#This Row],[Kontraktor]])</f>
        <v>PT D</v>
      </c>
      <c r="I446" s="11">
        <f>Table245[[#This Row],[Tanggal_Selesai]]-Table245[[#This Row],[Tanggal_Mulai]]</f>
        <v>81</v>
      </c>
      <c r="J446" s="17">
        <f>Table245[[#This Row],[Anggaran]]/Table245[[#This Row],[Durasi_Proyek]]</f>
        <v>6640072.9506172836</v>
      </c>
      <c r="K446" s="11">
        <f>YEAR(Table245[[#This Row],[Tanggal_Mulai]])</f>
        <v>2023</v>
      </c>
    </row>
    <row r="447" spans="1:11" ht="14.25" customHeight="1" x14ac:dyDescent="0.35">
      <c r="A447" s="8" t="s">
        <v>498</v>
      </c>
      <c r="B447" s="8" t="str">
        <f>IF(Table2[[#This Row],[Jenis_Proyek]]="", "Tidak Diketahui", Table2[[#This Row],[Jenis_Proyek]])</f>
        <v>Jalan Raya</v>
      </c>
      <c r="C447" s="8" t="str">
        <f>IF(Table2[[#This Row],[Lokasi]]="", "Tidak Diketahui", Table2[[#This Row],[Lokasi]])</f>
        <v>Depok</v>
      </c>
      <c r="D447" s="8" t="str">
        <f>IF(Table2[[#This Row],[Nama_Proyek]]="", "Tidak Diketahui", Table2[[#This Row],[Nama_Proyek]])</f>
        <v>Perbaikan Jalan Raya Depok</v>
      </c>
      <c r="E447" s="14">
        <v>45247</v>
      </c>
      <c r="F447" s="14">
        <v>45499</v>
      </c>
      <c r="G447" s="10">
        <v>800732653</v>
      </c>
      <c r="H447" s="8" t="str">
        <f>IF(Table2[[#This Row],[Kontraktor]]="", "Tidak Diketahui",Table2[[#This Row],[Kontraktor]])</f>
        <v>PT C</v>
      </c>
      <c r="I447" s="11">
        <f>Table245[[#This Row],[Tanggal_Selesai]]-Table245[[#This Row],[Tanggal_Mulai]]</f>
        <v>252</v>
      </c>
      <c r="J447" s="17">
        <f>Table245[[#This Row],[Anggaran]]/Table245[[#This Row],[Durasi_Proyek]]</f>
        <v>3177510.527777778</v>
      </c>
      <c r="K447" s="11">
        <f>YEAR(Table245[[#This Row],[Tanggal_Mulai]])</f>
        <v>2023</v>
      </c>
    </row>
    <row r="448" spans="1:11" ht="14.25" customHeight="1" x14ac:dyDescent="0.35">
      <c r="A448" s="8" t="s">
        <v>499</v>
      </c>
      <c r="B448" s="8" t="str">
        <f>IF(Table2[[#This Row],[Jenis_Proyek]]="", "Tidak Diketahui", Table2[[#This Row],[Jenis_Proyek]])</f>
        <v>Jembatan</v>
      </c>
      <c r="C448" s="8" t="str">
        <f>IF(Table2[[#This Row],[Lokasi]]="", "Tidak Diketahui", Table2[[#This Row],[Lokasi]])</f>
        <v>Surabaya</v>
      </c>
      <c r="D448" s="8" t="str">
        <f>IF(Table2[[#This Row],[Nama_Proyek]]="", "Tidak Diketahui", Table2[[#This Row],[Nama_Proyek]])</f>
        <v>Pembuatan Jembatan Surabaya</v>
      </c>
      <c r="E448" s="14">
        <v>45248</v>
      </c>
      <c r="F448" s="14">
        <v>45605</v>
      </c>
      <c r="G448" s="10">
        <v>676299944</v>
      </c>
      <c r="H448" s="8" t="str">
        <f>IF(Table2[[#This Row],[Kontraktor]]="", "Tidak Diketahui",Table2[[#This Row],[Kontraktor]])</f>
        <v>PT D</v>
      </c>
      <c r="I448" s="11">
        <f>Table245[[#This Row],[Tanggal_Selesai]]-Table245[[#This Row],[Tanggal_Mulai]]</f>
        <v>357</v>
      </c>
      <c r="J448" s="17">
        <f>Table245[[#This Row],[Anggaran]]/Table245[[#This Row],[Durasi_Proyek]]</f>
        <v>1894397.6022408963</v>
      </c>
      <c r="K448" s="11">
        <f>YEAR(Table245[[#This Row],[Tanggal_Mulai]])</f>
        <v>2023</v>
      </c>
    </row>
    <row r="449" spans="1:11" ht="14.25" customHeight="1" x14ac:dyDescent="0.35">
      <c r="A449" s="8" t="s">
        <v>500</v>
      </c>
      <c r="B449" s="8" t="str">
        <f>IF(Table2[[#This Row],[Jenis_Proyek]]="", "Tidak Diketahui", Table2[[#This Row],[Jenis_Proyek]])</f>
        <v>Jembatan</v>
      </c>
      <c r="C449" s="8" t="str">
        <f>IF(Table2[[#This Row],[Lokasi]]="", "Tidak Diketahui", Table2[[#This Row],[Lokasi]])</f>
        <v>Jakarta</v>
      </c>
      <c r="D449" s="8" t="str">
        <f>IF(Table2[[#This Row],[Nama_Proyek]]="", "Tidak Diketahui", Table2[[#This Row],[Nama_Proyek]])</f>
        <v>Pembuatan Jembatan Jakarta</v>
      </c>
      <c r="E449" s="14">
        <v>45248</v>
      </c>
      <c r="F449" s="14">
        <v>45481</v>
      </c>
      <c r="G449" s="10">
        <v>5621717823</v>
      </c>
      <c r="H449" s="8" t="str">
        <f>IF(Table2[[#This Row],[Kontraktor]]="", "Tidak Diketahui",Table2[[#This Row],[Kontraktor]])</f>
        <v>PT. Lailasari Hariyah (Persero) Tbk</v>
      </c>
      <c r="I449" s="11">
        <f>Table245[[#This Row],[Tanggal_Selesai]]-Table245[[#This Row],[Tanggal_Mulai]]</f>
        <v>233</v>
      </c>
      <c r="J449" s="17">
        <f>Table245[[#This Row],[Anggaran]]/Table245[[#This Row],[Durasi_Proyek]]</f>
        <v>24127544.304721031</v>
      </c>
      <c r="K449" s="11">
        <f>YEAR(Table245[[#This Row],[Tanggal_Mulai]])</f>
        <v>2023</v>
      </c>
    </row>
    <row r="450" spans="1:11" ht="14.25" customHeight="1" x14ac:dyDescent="0.35">
      <c r="A450" s="8" t="s">
        <v>501</v>
      </c>
      <c r="B450" s="8" t="str">
        <f>IF(Table2[[#This Row],[Jenis_Proyek]]="", "Tidak Diketahui", Table2[[#This Row],[Jenis_Proyek]])</f>
        <v>Gedung</v>
      </c>
      <c r="C450" s="8" t="str">
        <f>IF(Table2[[#This Row],[Lokasi]]="", "Tidak Diketahui", Table2[[#This Row],[Lokasi]])</f>
        <v>Surabaya</v>
      </c>
      <c r="D450" s="8" t="str">
        <f>IF(Table2[[#This Row],[Nama_Proyek]]="", "Tidak Diketahui", Table2[[#This Row],[Nama_Proyek]])</f>
        <v>Perbaikan Gedung Pemerintah Surabaya</v>
      </c>
      <c r="E450" s="14">
        <v>45248</v>
      </c>
      <c r="F450" s="14">
        <v>45412</v>
      </c>
      <c r="G450" s="10">
        <v>1652704535</v>
      </c>
      <c r="H450" s="8" t="str">
        <f>IF(Table2[[#This Row],[Kontraktor]]="", "Tidak Diketahui",Table2[[#This Row],[Kontraktor]])</f>
        <v>CV Sihombing</v>
      </c>
      <c r="I450" s="11">
        <f>Table245[[#This Row],[Tanggal_Selesai]]-Table245[[#This Row],[Tanggal_Mulai]]</f>
        <v>164</v>
      </c>
      <c r="J450" s="17">
        <f>Table245[[#This Row],[Anggaran]]/Table245[[#This Row],[Durasi_Proyek]]</f>
        <v>10077466.676829269</v>
      </c>
      <c r="K450" s="11">
        <f>YEAR(Table245[[#This Row],[Tanggal_Mulai]])</f>
        <v>2023</v>
      </c>
    </row>
    <row r="451" spans="1:11" ht="14.25" customHeight="1" x14ac:dyDescent="0.35">
      <c r="A451" s="8" t="s">
        <v>502</v>
      </c>
      <c r="B451" s="8" t="str">
        <f>IF(Table2[[#This Row],[Jenis_Proyek]]="", "Tidak Diketahui", Table2[[#This Row],[Jenis_Proyek]])</f>
        <v>Jembatan</v>
      </c>
      <c r="C451" s="8" t="str">
        <f>IF(Table2[[#This Row],[Lokasi]]="", "Tidak Diketahui", Table2[[#This Row],[Lokasi]])</f>
        <v>Tomohon</v>
      </c>
      <c r="D451" s="8" t="str">
        <f>IF(Table2[[#This Row],[Nama_Proyek]]="", "Tidak Diketahui", Table2[[#This Row],[Nama_Proyek]])</f>
        <v>Perbaikan Jembatan Tomohon</v>
      </c>
      <c r="E451" s="14">
        <v>45249</v>
      </c>
      <c r="F451" s="14">
        <v>45590</v>
      </c>
      <c r="G451" s="10">
        <v>2696276120</v>
      </c>
      <c r="H451" s="8" t="str">
        <f>IF(Table2[[#This Row],[Kontraktor]]="", "Tidak Diketahui",Table2[[#This Row],[Kontraktor]])</f>
        <v>PT A</v>
      </c>
      <c r="I451" s="11">
        <f>Table245[[#This Row],[Tanggal_Selesai]]-Table245[[#This Row],[Tanggal_Mulai]]</f>
        <v>341</v>
      </c>
      <c r="J451" s="17">
        <f>Table245[[#This Row],[Anggaran]]/Table245[[#This Row],[Durasi_Proyek]]</f>
        <v>7906968.0938416421</v>
      </c>
      <c r="K451" s="11">
        <f>YEAR(Table245[[#This Row],[Tanggal_Mulai]])</f>
        <v>2023</v>
      </c>
    </row>
    <row r="452" spans="1:11" ht="14.25" customHeight="1" x14ac:dyDescent="0.35">
      <c r="A452" s="8" t="s">
        <v>503</v>
      </c>
      <c r="B452" s="8" t="str">
        <f>IF(Table2[[#This Row],[Jenis_Proyek]]="", "Tidak Diketahui", Table2[[#This Row],[Jenis_Proyek]])</f>
        <v>Drainase</v>
      </c>
      <c r="C452" s="8" t="str">
        <f>IF(Table2[[#This Row],[Lokasi]]="", "Tidak Diketahui", Table2[[#This Row],[Lokasi]])</f>
        <v>Surabaya</v>
      </c>
      <c r="D452" s="8" t="str">
        <f>IF(Table2[[#This Row],[Nama_Proyek]]="", "Tidak Diketahui", Table2[[#This Row],[Nama_Proyek]])</f>
        <v>Perbaikan Drainase Surabaya</v>
      </c>
      <c r="E452" s="14">
        <v>45249</v>
      </c>
      <c r="F452" s="14">
        <v>45512</v>
      </c>
      <c r="G452" s="10">
        <v>344399927</v>
      </c>
      <c r="H452" s="8" t="str">
        <f>IF(Table2[[#This Row],[Kontraktor]]="", "Tidak Diketahui",Table2[[#This Row],[Kontraktor]])</f>
        <v>PT. Lailasari Hariyah (Persero) Tbk</v>
      </c>
      <c r="I452" s="11">
        <f>Table245[[#This Row],[Tanggal_Selesai]]-Table245[[#This Row],[Tanggal_Mulai]]</f>
        <v>263</v>
      </c>
      <c r="J452" s="17">
        <f>Table245[[#This Row],[Anggaran]]/Table245[[#This Row],[Durasi_Proyek]]</f>
        <v>1309505.4258555132</v>
      </c>
      <c r="K452" s="11">
        <f>YEAR(Table245[[#This Row],[Tanggal_Mulai]])</f>
        <v>2023</v>
      </c>
    </row>
    <row r="453" spans="1:11" ht="14.25" customHeight="1" x14ac:dyDescent="0.35">
      <c r="A453" s="8" t="s">
        <v>504</v>
      </c>
      <c r="B453" s="8" t="str">
        <f>IF(Table2[[#This Row],[Jenis_Proyek]]="", "Tidak Diketahui", Table2[[#This Row],[Jenis_Proyek]])</f>
        <v>Drainase</v>
      </c>
      <c r="C453" s="8" t="str">
        <f>IF(Table2[[#This Row],[Lokasi]]="", "Tidak Diketahui", Table2[[#This Row],[Lokasi]])</f>
        <v>Depok</v>
      </c>
      <c r="D453" s="8" t="str">
        <f>IF(Table2[[#This Row],[Nama_Proyek]]="", "Tidak Diketahui", Table2[[#This Row],[Nama_Proyek]])</f>
        <v>Perbaikan Drainase Depok</v>
      </c>
      <c r="E453" s="14">
        <v>45249</v>
      </c>
      <c r="F453" s="14">
        <v>45478</v>
      </c>
      <c r="G453" s="10">
        <v>624334418</v>
      </c>
      <c r="H453" s="8" t="str">
        <f>IF(Table2[[#This Row],[Kontraktor]]="", "Tidak Diketahui",Table2[[#This Row],[Kontraktor]])</f>
        <v>PT D</v>
      </c>
      <c r="I453" s="11">
        <f>Table245[[#This Row],[Tanggal_Selesai]]-Table245[[#This Row],[Tanggal_Mulai]]</f>
        <v>229</v>
      </c>
      <c r="J453" s="17">
        <f>Table245[[#This Row],[Anggaran]]/Table245[[#This Row],[Durasi_Proyek]]</f>
        <v>2726351.1703056768</v>
      </c>
      <c r="K453" s="11">
        <f>YEAR(Table245[[#This Row],[Tanggal_Mulai]])</f>
        <v>2023</v>
      </c>
    </row>
    <row r="454" spans="1:11" ht="14.25" customHeight="1" x14ac:dyDescent="0.35">
      <c r="A454" s="8" t="s">
        <v>505</v>
      </c>
      <c r="B454" s="8" t="str">
        <f>IF(Table2[[#This Row],[Jenis_Proyek]]="", "Tidak Diketahui", Table2[[#This Row],[Jenis_Proyek]])</f>
        <v>Jembatan</v>
      </c>
      <c r="C454" s="8" t="str">
        <f>IF(Table2[[#This Row],[Lokasi]]="", "Tidak Diketahui", Table2[[#This Row],[Lokasi]])</f>
        <v>Bandung</v>
      </c>
      <c r="D454" s="8" t="str">
        <f>IF(Table2[[#This Row],[Nama_Proyek]]="", "Tidak Diketahui", Table2[[#This Row],[Nama_Proyek]])</f>
        <v>Perbaikan Jembatan Bandung</v>
      </c>
      <c r="E454" s="14">
        <v>45252</v>
      </c>
      <c r="F454" s="14">
        <v>45467</v>
      </c>
      <c r="G454" s="10">
        <v>7036506058</v>
      </c>
      <c r="H454" s="8" t="str">
        <f>IF(Table2[[#This Row],[Kontraktor]]="", "Tidak Diketahui",Table2[[#This Row],[Kontraktor]])</f>
        <v>PT D</v>
      </c>
      <c r="I454" s="11">
        <f>Table245[[#This Row],[Tanggal_Selesai]]-Table245[[#This Row],[Tanggal_Mulai]]</f>
        <v>215</v>
      </c>
      <c r="J454" s="17">
        <f>Table245[[#This Row],[Anggaran]]/Table245[[#This Row],[Durasi_Proyek]]</f>
        <v>32727935.153488372</v>
      </c>
      <c r="K454" s="11">
        <f>YEAR(Table245[[#This Row],[Tanggal_Mulai]])</f>
        <v>2023</v>
      </c>
    </row>
    <row r="455" spans="1:11" ht="14.25" customHeight="1" x14ac:dyDescent="0.35">
      <c r="A455" s="8" t="s">
        <v>506</v>
      </c>
      <c r="B455" s="8" t="str">
        <f>IF(Table2[[#This Row],[Jenis_Proyek]]="", "Tidak Diketahui", Table2[[#This Row],[Jenis_Proyek]])</f>
        <v>Gedung</v>
      </c>
      <c r="C455" s="8" t="str">
        <f>IF(Table2[[#This Row],[Lokasi]]="", "Tidak Diketahui", Table2[[#This Row],[Lokasi]])</f>
        <v>Surabaya</v>
      </c>
      <c r="D455" s="8" t="str">
        <f>IF(Table2[[#This Row],[Nama_Proyek]]="", "Tidak Diketahui", Table2[[#This Row],[Nama_Proyek]])</f>
        <v>Perbaikan Gedung Pemerintah Surabaya</v>
      </c>
      <c r="E455" s="14">
        <v>45253</v>
      </c>
      <c r="F455" s="14">
        <v>45512</v>
      </c>
      <c r="G455" s="10">
        <v>4458001292</v>
      </c>
      <c r="H455" s="8" t="str">
        <f>IF(Table2[[#This Row],[Kontraktor]]="", "Tidak Diketahui",Table2[[#This Row],[Kontraktor]])</f>
        <v>Tidak Diketahui</v>
      </c>
      <c r="I455" s="11">
        <f>Table245[[#This Row],[Tanggal_Selesai]]-Table245[[#This Row],[Tanggal_Mulai]]</f>
        <v>259</v>
      </c>
      <c r="J455" s="17">
        <f>Table245[[#This Row],[Anggaran]]/Table245[[#This Row],[Durasi_Proyek]]</f>
        <v>17212360.2007722</v>
      </c>
      <c r="K455" s="11">
        <f>YEAR(Table245[[#This Row],[Tanggal_Mulai]])</f>
        <v>2023</v>
      </c>
    </row>
    <row r="456" spans="1:11" ht="14.25" customHeight="1" x14ac:dyDescent="0.35">
      <c r="A456" s="8" t="s">
        <v>507</v>
      </c>
      <c r="B456" s="8" t="str">
        <f>IF(Table2[[#This Row],[Jenis_Proyek]]="", "Tidak Diketahui", Table2[[#This Row],[Jenis_Proyek]])</f>
        <v>Jembatan</v>
      </c>
      <c r="C456" s="8" t="str">
        <f>IF(Table2[[#This Row],[Lokasi]]="", "Tidak Diketahui", Table2[[#This Row],[Lokasi]])</f>
        <v>Makassar</v>
      </c>
      <c r="D456" s="8" t="str">
        <f>IF(Table2[[#This Row],[Nama_Proyek]]="", "Tidak Diketahui", Table2[[#This Row],[Nama_Proyek]])</f>
        <v>Perbaikan Jembatan Makassar</v>
      </c>
      <c r="E456" s="14">
        <v>45254</v>
      </c>
      <c r="F456" s="14">
        <v>45331</v>
      </c>
      <c r="G456" s="10">
        <v>6553637483</v>
      </c>
      <c r="H456" s="8" t="str">
        <f>IF(Table2[[#This Row],[Kontraktor]]="", "Tidak Diketahui",Table2[[#This Row],[Kontraktor]])</f>
        <v>Tidak Diketahui</v>
      </c>
      <c r="I456" s="11">
        <f>Table245[[#This Row],[Tanggal_Selesai]]-Table245[[#This Row],[Tanggal_Mulai]]</f>
        <v>77</v>
      </c>
      <c r="J456" s="17">
        <f>Table245[[#This Row],[Anggaran]]/Table245[[#This Row],[Durasi_Proyek]]</f>
        <v>85112175.103896111</v>
      </c>
      <c r="K456" s="11">
        <f>YEAR(Table245[[#This Row],[Tanggal_Mulai]])</f>
        <v>2023</v>
      </c>
    </row>
    <row r="457" spans="1:11" ht="14.25" customHeight="1" x14ac:dyDescent="0.35">
      <c r="A457" s="8" t="s">
        <v>508</v>
      </c>
      <c r="B457" s="8" t="str">
        <f>IF(Table2[[#This Row],[Jenis_Proyek]]="", "Tidak Diketahui", Table2[[#This Row],[Jenis_Proyek]])</f>
        <v>Jembatan</v>
      </c>
      <c r="C457" s="8" t="str">
        <f>IF(Table2[[#This Row],[Lokasi]]="", "Tidak Diketahui", Table2[[#This Row],[Lokasi]])</f>
        <v>Depok</v>
      </c>
      <c r="D457" s="8" t="str">
        <f>IF(Table2[[#This Row],[Nama_Proyek]]="", "Tidak Diketahui", Table2[[#This Row],[Nama_Proyek]])</f>
        <v>Perbaikan Jembatan Depok</v>
      </c>
      <c r="E457" s="14">
        <v>45254</v>
      </c>
      <c r="F457" s="14">
        <v>45547</v>
      </c>
      <c r="G457" s="10">
        <v>5694242987</v>
      </c>
      <c r="H457" s="8" t="str">
        <f>IF(Table2[[#This Row],[Kontraktor]]="", "Tidak Diketahui",Table2[[#This Row],[Kontraktor]])</f>
        <v>PT. Yuniar Hakim Tbk</v>
      </c>
      <c r="I457" s="11">
        <f>Table245[[#This Row],[Tanggal_Selesai]]-Table245[[#This Row],[Tanggal_Mulai]]</f>
        <v>293</v>
      </c>
      <c r="J457" s="17">
        <f>Table245[[#This Row],[Anggaran]]/Table245[[#This Row],[Durasi_Proyek]]</f>
        <v>19434276.406143345</v>
      </c>
      <c r="K457" s="11">
        <f>YEAR(Table245[[#This Row],[Tanggal_Mulai]])</f>
        <v>2023</v>
      </c>
    </row>
    <row r="458" spans="1:11" ht="14.25" customHeight="1" x14ac:dyDescent="0.35">
      <c r="A458" s="8" t="s">
        <v>509</v>
      </c>
      <c r="B458" s="8" t="str">
        <f>IF(Table2[[#This Row],[Jenis_Proyek]]="", "Tidak Diketahui", Table2[[#This Row],[Jenis_Proyek]])</f>
        <v>Jembatan</v>
      </c>
      <c r="C458" s="8" t="str">
        <f>IF(Table2[[#This Row],[Lokasi]]="", "Tidak Diketahui", Table2[[#This Row],[Lokasi]])</f>
        <v>Makassar</v>
      </c>
      <c r="D458" s="8" t="str">
        <f>IF(Table2[[#This Row],[Nama_Proyek]]="", "Tidak Diketahui", Table2[[#This Row],[Nama_Proyek]])</f>
        <v>Perbaikan Jembatan Makassar</v>
      </c>
      <c r="E458" s="14">
        <v>45255</v>
      </c>
      <c r="F458" s="14">
        <v>45461</v>
      </c>
      <c r="G458" s="10">
        <v>2266697296</v>
      </c>
      <c r="H458" s="8" t="str">
        <f>IF(Table2[[#This Row],[Kontraktor]]="", "Tidak Diketahui",Table2[[#This Row],[Kontraktor]])</f>
        <v>Tidak Diketahui</v>
      </c>
      <c r="I458" s="11">
        <f>Table245[[#This Row],[Tanggal_Selesai]]-Table245[[#This Row],[Tanggal_Mulai]]</f>
        <v>206</v>
      </c>
      <c r="J458" s="17">
        <f>Table245[[#This Row],[Anggaran]]/Table245[[#This Row],[Durasi_Proyek]]</f>
        <v>11003384.932038834</v>
      </c>
      <c r="K458" s="11">
        <f>YEAR(Table245[[#This Row],[Tanggal_Mulai]])</f>
        <v>2023</v>
      </c>
    </row>
    <row r="459" spans="1:11" ht="14.25" customHeight="1" x14ac:dyDescent="0.35">
      <c r="A459" s="8" t="s">
        <v>510</v>
      </c>
      <c r="B459" s="8" t="str">
        <f>IF(Table2[[#This Row],[Jenis_Proyek]]="", "Tidak Diketahui", Table2[[#This Row],[Jenis_Proyek]])</f>
        <v>Drainase</v>
      </c>
      <c r="C459" s="8" t="str">
        <f>IF(Table2[[#This Row],[Lokasi]]="", "Tidak Diketahui", Table2[[#This Row],[Lokasi]])</f>
        <v>Tomohon</v>
      </c>
      <c r="D459" s="8" t="str">
        <f>IF(Table2[[#This Row],[Nama_Proyek]]="", "Tidak Diketahui", Table2[[#This Row],[Nama_Proyek]])</f>
        <v>Perbaikan Drainase Tomohon</v>
      </c>
      <c r="E459" s="14">
        <v>45258</v>
      </c>
      <c r="F459" s="14">
        <v>45497</v>
      </c>
      <c r="G459" s="10">
        <v>449824902</v>
      </c>
      <c r="H459" s="8" t="str">
        <f>IF(Table2[[#This Row],[Kontraktor]]="", "Tidak Diketahui",Table2[[#This Row],[Kontraktor]])</f>
        <v>PT D</v>
      </c>
      <c r="I459" s="11">
        <f>Table245[[#This Row],[Tanggal_Selesai]]-Table245[[#This Row],[Tanggal_Mulai]]</f>
        <v>239</v>
      </c>
      <c r="J459" s="17">
        <f>Table245[[#This Row],[Anggaran]]/Table245[[#This Row],[Durasi_Proyek]]</f>
        <v>1882112.5606694561</v>
      </c>
      <c r="K459" s="11">
        <f>YEAR(Table245[[#This Row],[Tanggal_Mulai]])</f>
        <v>2023</v>
      </c>
    </row>
    <row r="460" spans="1:11" ht="14.25" customHeight="1" x14ac:dyDescent="0.35">
      <c r="A460" s="8" t="s">
        <v>511</v>
      </c>
      <c r="B460" s="8" t="str">
        <f>IF(Table2[[#This Row],[Jenis_Proyek]]="", "Tidak Diketahui", Table2[[#This Row],[Jenis_Proyek]])</f>
        <v>Jalan Raya</v>
      </c>
      <c r="C460" s="8" t="str">
        <f>IF(Table2[[#This Row],[Lokasi]]="", "Tidak Diketahui", Table2[[#This Row],[Lokasi]])</f>
        <v>Bandung</v>
      </c>
      <c r="D460" s="8" t="str">
        <f>IF(Table2[[#This Row],[Nama_Proyek]]="", "Tidak Diketahui", Table2[[#This Row],[Nama_Proyek]])</f>
        <v>Perbaikan Jalan Raya Bandung</v>
      </c>
      <c r="E460" s="14">
        <v>45259</v>
      </c>
      <c r="F460" s="14">
        <v>45579</v>
      </c>
      <c r="G460" s="10">
        <v>687256096</v>
      </c>
      <c r="H460" s="8" t="str">
        <f>IF(Table2[[#This Row],[Kontraktor]]="", "Tidak Diketahui",Table2[[#This Row],[Kontraktor]])</f>
        <v>PT A</v>
      </c>
      <c r="I460" s="11">
        <f>Table245[[#This Row],[Tanggal_Selesai]]-Table245[[#This Row],[Tanggal_Mulai]]</f>
        <v>320</v>
      </c>
      <c r="J460" s="17">
        <f>Table245[[#This Row],[Anggaran]]/Table245[[#This Row],[Durasi_Proyek]]</f>
        <v>2147675.2999999998</v>
      </c>
      <c r="K460" s="11">
        <f>YEAR(Table245[[#This Row],[Tanggal_Mulai]])</f>
        <v>2023</v>
      </c>
    </row>
    <row r="461" spans="1:11" ht="14.25" customHeight="1" x14ac:dyDescent="0.35">
      <c r="A461" s="8" t="s">
        <v>512</v>
      </c>
      <c r="B461" s="8" t="str">
        <f>IF(Table2[[#This Row],[Jenis_Proyek]]="", "Tidak Diketahui", Table2[[#This Row],[Jenis_Proyek]])</f>
        <v>Jalan Raya</v>
      </c>
      <c r="C461" s="8" t="str">
        <f>IF(Table2[[#This Row],[Lokasi]]="", "Tidak Diketahui", Table2[[#This Row],[Lokasi]])</f>
        <v>Depok</v>
      </c>
      <c r="D461" s="8" t="str">
        <f>IF(Table2[[#This Row],[Nama_Proyek]]="", "Tidak Diketahui", Table2[[#This Row],[Nama_Proyek]])</f>
        <v>Perbaikan Jalan Raya Depok</v>
      </c>
      <c r="E461" s="14">
        <v>45259</v>
      </c>
      <c r="F461" s="14">
        <v>45542</v>
      </c>
      <c r="G461" s="10">
        <v>529398283</v>
      </c>
      <c r="H461" s="8" t="str">
        <f>IF(Table2[[#This Row],[Kontraktor]]="", "Tidak Diketahui",Table2[[#This Row],[Kontraktor]])</f>
        <v>PT B</v>
      </c>
      <c r="I461" s="11">
        <f>Table245[[#This Row],[Tanggal_Selesai]]-Table245[[#This Row],[Tanggal_Mulai]]</f>
        <v>283</v>
      </c>
      <c r="J461" s="17">
        <f>Table245[[#This Row],[Anggaran]]/Table245[[#This Row],[Durasi_Proyek]]</f>
        <v>1870665.3109540637</v>
      </c>
      <c r="K461" s="11">
        <f>YEAR(Table245[[#This Row],[Tanggal_Mulai]])</f>
        <v>2023</v>
      </c>
    </row>
    <row r="462" spans="1:11" ht="14.25" customHeight="1" x14ac:dyDescent="0.35">
      <c r="A462" s="8" t="s">
        <v>513</v>
      </c>
      <c r="B462" s="8" t="str">
        <f>IF(Table2[[#This Row],[Jenis_Proyek]]="", "Tidak Diketahui", Table2[[#This Row],[Jenis_Proyek]])</f>
        <v>Gedung</v>
      </c>
      <c r="C462" s="8" t="str">
        <f>IF(Table2[[#This Row],[Lokasi]]="", "Tidak Diketahui", Table2[[#This Row],[Lokasi]])</f>
        <v>Surabaya</v>
      </c>
      <c r="D462" s="8" t="str">
        <f>IF(Table2[[#This Row],[Nama_Proyek]]="", "Tidak Diketahui", Table2[[#This Row],[Nama_Proyek]])</f>
        <v>Perbaikan Gedung Pemerintah Surabaya</v>
      </c>
      <c r="E462" s="14">
        <v>45259</v>
      </c>
      <c r="F462" s="14">
        <v>45457</v>
      </c>
      <c r="G462" s="10">
        <v>4710182773</v>
      </c>
      <c r="H462" s="8" t="str">
        <f>IF(Table2[[#This Row],[Kontraktor]]="", "Tidak Diketahui",Table2[[#This Row],[Kontraktor]])</f>
        <v>PT. Yuniar Hakim Tbk</v>
      </c>
      <c r="I462" s="11">
        <f>Table245[[#This Row],[Tanggal_Selesai]]-Table245[[#This Row],[Tanggal_Mulai]]</f>
        <v>198</v>
      </c>
      <c r="J462" s="17">
        <f>Table245[[#This Row],[Anggaran]]/Table245[[#This Row],[Durasi_Proyek]]</f>
        <v>23788801.883838385</v>
      </c>
      <c r="K462" s="11">
        <f>YEAR(Table245[[#This Row],[Tanggal_Mulai]])</f>
        <v>2023</v>
      </c>
    </row>
    <row r="463" spans="1:11" ht="14.25" customHeight="1" x14ac:dyDescent="0.35">
      <c r="A463" s="8" t="s">
        <v>514</v>
      </c>
      <c r="B463" s="8" t="str">
        <f>IF(Table2[[#This Row],[Jenis_Proyek]]="", "Tidak Diketahui", Table2[[#This Row],[Jenis_Proyek]])</f>
        <v>Jalan Raya</v>
      </c>
      <c r="C463" s="8" t="str">
        <f>IF(Table2[[#This Row],[Lokasi]]="", "Tidak Diketahui", Table2[[#This Row],[Lokasi]])</f>
        <v>Medan</v>
      </c>
      <c r="D463" s="8" t="str">
        <f>IF(Table2[[#This Row],[Nama_Proyek]]="", "Tidak Diketahui", Table2[[#This Row],[Nama_Proyek]])</f>
        <v>Perbaikan Jalan Raya Medan</v>
      </c>
      <c r="E463" s="14">
        <v>45260</v>
      </c>
      <c r="F463" s="14">
        <v>45376</v>
      </c>
      <c r="G463" s="10">
        <v>744960204</v>
      </c>
      <c r="H463" s="8" t="str">
        <f>IF(Table2[[#This Row],[Kontraktor]]="", "Tidak Diketahui",Table2[[#This Row],[Kontraktor]])</f>
        <v>CV Sihombing</v>
      </c>
      <c r="I463" s="11">
        <f>Table245[[#This Row],[Tanggal_Selesai]]-Table245[[#This Row],[Tanggal_Mulai]]</f>
        <v>116</v>
      </c>
      <c r="J463" s="17">
        <f>Table245[[#This Row],[Anggaran]]/Table245[[#This Row],[Durasi_Proyek]]</f>
        <v>6422070.7241379311</v>
      </c>
      <c r="K463" s="11">
        <f>YEAR(Table245[[#This Row],[Tanggal_Mulai]])</f>
        <v>2023</v>
      </c>
    </row>
    <row r="464" spans="1:11" ht="14.25" customHeight="1" x14ac:dyDescent="0.35">
      <c r="A464" s="8" t="s">
        <v>515</v>
      </c>
      <c r="B464" s="8" t="str">
        <f>IF(Table2[[#This Row],[Jenis_Proyek]]="", "Tidak Diketahui", Table2[[#This Row],[Jenis_Proyek]])</f>
        <v>Gedung</v>
      </c>
      <c r="C464" s="8" t="str">
        <f>IF(Table2[[#This Row],[Lokasi]]="", "Tidak Diketahui", Table2[[#This Row],[Lokasi]])</f>
        <v>Surabaya</v>
      </c>
      <c r="D464" s="8" t="str">
        <f>IF(Table2[[#This Row],[Nama_Proyek]]="", "Tidak Diketahui", Table2[[#This Row],[Nama_Proyek]])</f>
        <v>Perbaikan Gedung Pemerintah Surabaya</v>
      </c>
      <c r="E464" s="14">
        <v>45260</v>
      </c>
      <c r="F464" s="14">
        <v>45384</v>
      </c>
      <c r="G464" s="10">
        <v>3580995628</v>
      </c>
      <c r="H464" s="8" t="str">
        <f>IF(Table2[[#This Row],[Kontraktor]]="", "Tidak Diketahui",Table2[[#This Row],[Kontraktor]])</f>
        <v>Tidak Diketahui</v>
      </c>
      <c r="I464" s="11">
        <f>Table245[[#This Row],[Tanggal_Selesai]]-Table245[[#This Row],[Tanggal_Mulai]]</f>
        <v>124</v>
      </c>
      <c r="J464" s="17">
        <f>Table245[[#This Row],[Anggaran]]/Table245[[#This Row],[Durasi_Proyek]]</f>
        <v>28878997</v>
      </c>
      <c r="K464" s="11">
        <f>YEAR(Table245[[#This Row],[Tanggal_Mulai]])</f>
        <v>2023</v>
      </c>
    </row>
    <row r="465" spans="1:11" ht="14.25" customHeight="1" x14ac:dyDescent="0.35">
      <c r="A465" s="8" t="s">
        <v>516</v>
      </c>
      <c r="B465" s="8" t="str">
        <f>IF(Table2[[#This Row],[Jenis_Proyek]]="", "Tidak Diketahui", Table2[[#This Row],[Jenis_Proyek]])</f>
        <v>Flyover</v>
      </c>
      <c r="C465" s="8" t="str">
        <f>IF(Table2[[#This Row],[Lokasi]]="", "Tidak Diketahui", Table2[[#This Row],[Lokasi]])</f>
        <v>Jakarta</v>
      </c>
      <c r="D465" s="8" t="str">
        <f>IF(Table2[[#This Row],[Nama_Proyek]]="", "Tidak Diketahui", Table2[[#This Row],[Nama_Proyek]])</f>
        <v>Pembuatan Flyover Jakarta</v>
      </c>
      <c r="E465" s="14">
        <v>45261</v>
      </c>
      <c r="F465" s="14">
        <v>45492</v>
      </c>
      <c r="G465" s="10">
        <v>3574507730</v>
      </c>
      <c r="H465" s="8" t="str">
        <f>IF(Table2[[#This Row],[Kontraktor]]="", "Tidak Diketahui",Table2[[#This Row],[Kontraktor]])</f>
        <v>PT B</v>
      </c>
      <c r="I465" s="11">
        <f>Table245[[#This Row],[Tanggal_Selesai]]-Table245[[#This Row],[Tanggal_Mulai]]</f>
        <v>231</v>
      </c>
      <c r="J465" s="17">
        <f>Table245[[#This Row],[Anggaran]]/Table245[[#This Row],[Durasi_Proyek]]</f>
        <v>15474059.437229438</v>
      </c>
      <c r="K465" s="11">
        <f>YEAR(Table245[[#This Row],[Tanggal_Mulai]])</f>
        <v>2023</v>
      </c>
    </row>
    <row r="466" spans="1:11" ht="14.25" customHeight="1" x14ac:dyDescent="0.35">
      <c r="A466" s="8" t="s">
        <v>517</v>
      </c>
      <c r="B466" s="8" t="str">
        <f>IF(Table2[[#This Row],[Jenis_Proyek]]="", "Tidak Diketahui", Table2[[#This Row],[Jenis_Proyek]])</f>
        <v>Flyover</v>
      </c>
      <c r="C466" s="8" t="str">
        <f>IF(Table2[[#This Row],[Lokasi]]="", "Tidak Diketahui", Table2[[#This Row],[Lokasi]])</f>
        <v>Depok</v>
      </c>
      <c r="D466" s="8" t="str">
        <f>IF(Table2[[#This Row],[Nama_Proyek]]="", "Tidak Diketahui", Table2[[#This Row],[Nama_Proyek]])</f>
        <v>Pembuatan Flyover Depok</v>
      </c>
      <c r="E466" s="14">
        <v>45261</v>
      </c>
      <c r="F466" s="14">
        <v>45525</v>
      </c>
      <c r="G466" s="10">
        <v>2640159197</v>
      </c>
      <c r="H466" s="8" t="str">
        <f>IF(Table2[[#This Row],[Kontraktor]]="", "Tidak Diketahui",Table2[[#This Row],[Kontraktor]])</f>
        <v>PT D</v>
      </c>
      <c r="I466" s="11">
        <f>Table245[[#This Row],[Tanggal_Selesai]]-Table245[[#This Row],[Tanggal_Mulai]]</f>
        <v>264</v>
      </c>
      <c r="J466" s="17">
        <f>Table245[[#This Row],[Anggaran]]/Table245[[#This Row],[Durasi_Proyek]]</f>
        <v>10000603.018939395</v>
      </c>
      <c r="K466" s="11">
        <f>YEAR(Table245[[#This Row],[Tanggal_Mulai]])</f>
        <v>2023</v>
      </c>
    </row>
    <row r="467" spans="1:11" ht="14.25" customHeight="1" x14ac:dyDescent="0.35">
      <c r="A467" s="8" t="s">
        <v>518</v>
      </c>
      <c r="B467" s="8" t="str">
        <f>IF(Table2[[#This Row],[Jenis_Proyek]]="", "Tidak Diketahui", Table2[[#This Row],[Jenis_Proyek]])</f>
        <v>Jembatan</v>
      </c>
      <c r="C467" s="8" t="str">
        <f>IF(Table2[[#This Row],[Lokasi]]="", "Tidak Diketahui", Table2[[#This Row],[Lokasi]])</f>
        <v>Jakarta</v>
      </c>
      <c r="D467" s="8" t="str">
        <f>IF(Table2[[#This Row],[Nama_Proyek]]="", "Tidak Diketahui", Table2[[#This Row],[Nama_Proyek]])</f>
        <v>Perbaikan Jembatan Jakarta</v>
      </c>
      <c r="E467" s="14">
        <v>45262</v>
      </c>
      <c r="F467" s="14">
        <v>45476</v>
      </c>
      <c r="G467" s="10">
        <v>857010798</v>
      </c>
      <c r="H467" s="8" t="str">
        <f>IF(Table2[[#This Row],[Kontraktor]]="", "Tidak Diketahui",Table2[[#This Row],[Kontraktor]])</f>
        <v>PT. Yuniar Hakim Tbk</v>
      </c>
      <c r="I467" s="11">
        <f>Table245[[#This Row],[Tanggal_Selesai]]-Table245[[#This Row],[Tanggal_Mulai]]</f>
        <v>214</v>
      </c>
      <c r="J467" s="17">
        <f>Table245[[#This Row],[Anggaran]]/Table245[[#This Row],[Durasi_Proyek]]</f>
        <v>4004723.3551401868</v>
      </c>
      <c r="K467" s="11">
        <f>YEAR(Table245[[#This Row],[Tanggal_Mulai]])</f>
        <v>2023</v>
      </c>
    </row>
    <row r="468" spans="1:11" ht="14.25" customHeight="1" x14ac:dyDescent="0.35">
      <c r="A468" s="8" t="s">
        <v>519</v>
      </c>
      <c r="B468" s="8" t="str">
        <f>IF(Table2[[#This Row],[Jenis_Proyek]]="", "Tidak Diketahui", Table2[[#This Row],[Jenis_Proyek]])</f>
        <v>Flyover</v>
      </c>
      <c r="C468" s="8" t="str">
        <f>IF(Table2[[#This Row],[Lokasi]]="", "Tidak Diketahui", Table2[[#This Row],[Lokasi]])</f>
        <v>Makassar</v>
      </c>
      <c r="D468" s="8" t="str">
        <f>IF(Table2[[#This Row],[Nama_Proyek]]="", "Tidak Diketahui", Table2[[#This Row],[Nama_Proyek]])</f>
        <v>Pembuatan Flyover Makassar</v>
      </c>
      <c r="E468" s="14">
        <v>45262</v>
      </c>
      <c r="F468" s="14">
        <v>45620</v>
      </c>
      <c r="G468" s="10">
        <v>3902836313</v>
      </c>
      <c r="H468" s="8" t="str">
        <f>IF(Table2[[#This Row],[Kontraktor]]="", "Tidak Diketahui",Table2[[#This Row],[Kontraktor]])</f>
        <v>PT. Yuniar Hakim Tbk</v>
      </c>
      <c r="I468" s="11">
        <f>Table245[[#This Row],[Tanggal_Selesai]]-Table245[[#This Row],[Tanggal_Mulai]]</f>
        <v>358</v>
      </c>
      <c r="J468" s="17">
        <f>Table245[[#This Row],[Anggaran]]/Table245[[#This Row],[Durasi_Proyek]]</f>
        <v>10901777.410614526</v>
      </c>
      <c r="K468" s="11">
        <f>YEAR(Table245[[#This Row],[Tanggal_Mulai]])</f>
        <v>2023</v>
      </c>
    </row>
    <row r="469" spans="1:11" ht="14.25" customHeight="1" x14ac:dyDescent="0.35">
      <c r="A469" s="8" t="s">
        <v>520</v>
      </c>
      <c r="B469" s="8" t="str">
        <f>IF(Table2[[#This Row],[Jenis_Proyek]]="", "Tidak Diketahui", Table2[[#This Row],[Jenis_Proyek]])</f>
        <v>Jalan Raya</v>
      </c>
      <c r="C469" s="8" t="str">
        <f>IF(Table2[[#This Row],[Lokasi]]="", "Tidak Diketahui", Table2[[#This Row],[Lokasi]])</f>
        <v>Makassar</v>
      </c>
      <c r="D469" s="8" t="str">
        <f>IF(Table2[[#This Row],[Nama_Proyek]]="", "Tidak Diketahui", Table2[[#This Row],[Nama_Proyek]])</f>
        <v>Perbaikan Jalan Raya Makassar</v>
      </c>
      <c r="E469" s="14">
        <v>45263</v>
      </c>
      <c r="F469" s="14">
        <v>45413</v>
      </c>
      <c r="G469" s="10">
        <v>313061138</v>
      </c>
      <c r="H469" s="8" t="str">
        <f>IF(Table2[[#This Row],[Kontraktor]]="", "Tidak Diketahui",Table2[[#This Row],[Kontraktor]])</f>
        <v>PT A</v>
      </c>
      <c r="I469" s="11">
        <f>Table245[[#This Row],[Tanggal_Selesai]]-Table245[[#This Row],[Tanggal_Mulai]]</f>
        <v>150</v>
      </c>
      <c r="J469" s="17">
        <f>Table245[[#This Row],[Anggaran]]/Table245[[#This Row],[Durasi_Proyek]]</f>
        <v>2087074.2533333334</v>
      </c>
      <c r="K469" s="11">
        <f>YEAR(Table245[[#This Row],[Tanggal_Mulai]])</f>
        <v>2023</v>
      </c>
    </row>
    <row r="470" spans="1:11" ht="14.25" customHeight="1" x14ac:dyDescent="0.35">
      <c r="A470" s="8" t="s">
        <v>521</v>
      </c>
      <c r="B470" s="8" t="str">
        <f>IF(Table2[[#This Row],[Jenis_Proyek]]="", "Tidak Diketahui", Table2[[#This Row],[Jenis_Proyek]])</f>
        <v>Flyover</v>
      </c>
      <c r="C470" s="8" t="str">
        <f>IF(Table2[[#This Row],[Lokasi]]="", "Tidak Diketahui", Table2[[#This Row],[Lokasi]])</f>
        <v>Jakarta</v>
      </c>
      <c r="D470" s="8" t="str">
        <f>IF(Table2[[#This Row],[Nama_Proyek]]="", "Tidak Diketahui", Table2[[#This Row],[Nama_Proyek]])</f>
        <v>Pembuatan Flyover Jakarta</v>
      </c>
      <c r="E470" s="14">
        <v>45263</v>
      </c>
      <c r="F470" s="14">
        <v>45473</v>
      </c>
      <c r="G470" s="10">
        <v>3704994376</v>
      </c>
      <c r="H470" s="8" t="str">
        <f>IF(Table2[[#This Row],[Kontraktor]]="", "Tidak Diketahui",Table2[[#This Row],[Kontraktor]])</f>
        <v>PT D</v>
      </c>
      <c r="I470" s="11">
        <f>Table245[[#This Row],[Tanggal_Selesai]]-Table245[[#This Row],[Tanggal_Mulai]]</f>
        <v>210</v>
      </c>
      <c r="J470" s="17">
        <f>Table245[[#This Row],[Anggaran]]/Table245[[#This Row],[Durasi_Proyek]]</f>
        <v>17642830.361904763</v>
      </c>
      <c r="K470" s="11">
        <f>YEAR(Table245[[#This Row],[Tanggal_Mulai]])</f>
        <v>2023</v>
      </c>
    </row>
    <row r="471" spans="1:11" ht="14.25" customHeight="1" x14ac:dyDescent="0.35">
      <c r="A471" s="8" t="s">
        <v>522</v>
      </c>
      <c r="B471" s="8" t="str">
        <f>IF(Table2[[#This Row],[Jenis_Proyek]]="", "Tidak Diketahui", Table2[[#This Row],[Jenis_Proyek]])</f>
        <v>Jembatan</v>
      </c>
      <c r="C471" s="8" t="str">
        <f>IF(Table2[[#This Row],[Lokasi]]="", "Tidak Diketahui", Table2[[#This Row],[Lokasi]])</f>
        <v>Bandung</v>
      </c>
      <c r="D471" s="8" t="str">
        <f>IF(Table2[[#This Row],[Nama_Proyek]]="", "Tidak Diketahui", Table2[[#This Row],[Nama_Proyek]])</f>
        <v>Pembuatan Jembatan Bandung</v>
      </c>
      <c r="E471" s="14">
        <v>45263</v>
      </c>
      <c r="F471" s="14">
        <v>45306</v>
      </c>
      <c r="G471" s="10">
        <v>6935528254</v>
      </c>
      <c r="H471" s="8" t="str">
        <f>IF(Table2[[#This Row],[Kontraktor]]="", "Tidak Diketahui",Table2[[#This Row],[Kontraktor]])</f>
        <v>CV Sihombing</v>
      </c>
      <c r="I471" s="11">
        <f>Table245[[#This Row],[Tanggal_Selesai]]-Table245[[#This Row],[Tanggal_Mulai]]</f>
        <v>43</v>
      </c>
      <c r="J471" s="17">
        <f>Table245[[#This Row],[Anggaran]]/Table245[[#This Row],[Durasi_Proyek]]</f>
        <v>161291354.74418604</v>
      </c>
      <c r="K471" s="11">
        <f>YEAR(Table245[[#This Row],[Tanggal_Mulai]])</f>
        <v>2023</v>
      </c>
    </row>
    <row r="472" spans="1:11" ht="14.25" customHeight="1" x14ac:dyDescent="0.35">
      <c r="A472" s="8" t="s">
        <v>523</v>
      </c>
      <c r="B472" s="8" t="str">
        <f>IF(Table2[[#This Row],[Jenis_Proyek]]="", "Tidak Diketahui", Table2[[#This Row],[Jenis_Proyek]])</f>
        <v>Gedung</v>
      </c>
      <c r="C472" s="8" t="str">
        <f>IF(Table2[[#This Row],[Lokasi]]="", "Tidak Diketahui", Table2[[#This Row],[Lokasi]])</f>
        <v>Makassar</v>
      </c>
      <c r="D472" s="8" t="str">
        <f>IF(Table2[[#This Row],[Nama_Proyek]]="", "Tidak Diketahui", Table2[[#This Row],[Nama_Proyek]])</f>
        <v>Perbaikan Gedung Pemerintah Makassar</v>
      </c>
      <c r="E472" s="14">
        <v>45265</v>
      </c>
      <c r="F472" s="14">
        <v>45562</v>
      </c>
      <c r="G472" s="10">
        <v>1827330534</v>
      </c>
      <c r="H472" s="8" t="str">
        <f>IF(Table2[[#This Row],[Kontraktor]]="", "Tidak Diketahui",Table2[[#This Row],[Kontraktor]])</f>
        <v>PT C</v>
      </c>
      <c r="I472" s="11">
        <f>Table245[[#This Row],[Tanggal_Selesai]]-Table245[[#This Row],[Tanggal_Mulai]]</f>
        <v>297</v>
      </c>
      <c r="J472" s="17">
        <f>Table245[[#This Row],[Anggaran]]/Table245[[#This Row],[Durasi_Proyek]]</f>
        <v>6152628.0606060605</v>
      </c>
      <c r="K472" s="11">
        <f>YEAR(Table245[[#This Row],[Tanggal_Mulai]])</f>
        <v>2023</v>
      </c>
    </row>
    <row r="473" spans="1:11" ht="14.25" customHeight="1" x14ac:dyDescent="0.35">
      <c r="A473" s="8" t="s">
        <v>524</v>
      </c>
      <c r="B473" s="8" t="str">
        <f>IF(Table2[[#This Row],[Jenis_Proyek]]="", "Tidak Diketahui", Table2[[#This Row],[Jenis_Proyek]])</f>
        <v>Jalan Raya</v>
      </c>
      <c r="C473" s="8" t="str">
        <f>IF(Table2[[#This Row],[Lokasi]]="", "Tidak Diketahui", Table2[[#This Row],[Lokasi]])</f>
        <v>Surabaya</v>
      </c>
      <c r="D473" s="8" t="str">
        <f>IF(Table2[[#This Row],[Nama_Proyek]]="", "Tidak Diketahui", Table2[[#This Row],[Nama_Proyek]])</f>
        <v>Perbaikan Jalan Raya Surabaya</v>
      </c>
      <c r="E473" s="14">
        <v>45266</v>
      </c>
      <c r="F473" s="14">
        <v>45425</v>
      </c>
      <c r="G473" s="10">
        <v>643095755</v>
      </c>
      <c r="H473" s="8" t="str">
        <f>IF(Table2[[#This Row],[Kontraktor]]="", "Tidak Diketahui",Table2[[#This Row],[Kontraktor]])</f>
        <v>PT B</v>
      </c>
      <c r="I473" s="11">
        <f>Table245[[#This Row],[Tanggal_Selesai]]-Table245[[#This Row],[Tanggal_Mulai]]</f>
        <v>159</v>
      </c>
      <c r="J473" s="17">
        <f>Table245[[#This Row],[Anggaran]]/Table245[[#This Row],[Durasi_Proyek]]</f>
        <v>4044627.389937107</v>
      </c>
      <c r="K473" s="11">
        <f>YEAR(Table245[[#This Row],[Tanggal_Mulai]])</f>
        <v>2023</v>
      </c>
    </row>
    <row r="474" spans="1:11" ht="14.25" customHeight="1" x14ac:dyDescent="0.35">
      <c r="A474" s="8" t="s">
        <v>525</v>
      </c>
      <c r="B474" s="8" t="str">
        <f>IF(Table2[[#This Row],[Jenis_Proyek]]="", "Tidak Diketahui", Table2[[#This Row],[Jenis_Proyek]])</f>
        <v>Jalan Raya</v>
      </c>
      <c r="C474" s="8" t="str">
        <f>IF(Table2[[#This Row],[Lokasi]]="", "Tidak Diketahui", Table2[[#This Row],[Lokasi]])</f>
        <v>Makassar</v>
      </c>
      <c r="D474" s="8" t="str">
        <f>IF(Table2[[#This Row],[Nama_Proyek]]="", "Tidak Diketahui", Table2[[#This Row],[Nama_Proyek]])</f>
        <v>Perbaikan Jalan Raya Makassar</v>
      </c>
      <c r="E474" s="14">
        <v>45268</v>
      </c>
      <c r="F474" s="14">
        <v>45476</v>
      </c>
      <c r="G474" s="10">
        <v>195287277</v>
      </c>
      <c r="H474" s="8" t="str">
        <f>IF(Table2[[#This Row],[Kontraktor]]="", "Tidak Diketahui",Table2[[#This Row],[Kontraktor]])</f>
        <v>PT B</v>
      </c>
      <c r="I474" s="11">
        <f>Table245[[#This Row],[Tanggal_Selesai]]-Table245[[#This Row],[Tanggal_Mulai]]</f>
        <v>208</v>
      </c>
      <c r="J474" s="17">
        <f>Table245[[#This Row],[Anggaran]]/Table245[[#This Row],[Durasi_Proyek]]</f>
        <v>938881.13942307688</v>
      </c>
      <c r="K474" s="11">
        <f>YEAR(Table245[[#This Row],[Tanggal_Mulai]])</f>
        <v>2023</v>
      </c>
    </row>
    <row r="475" spans="1:11" ht="14.25" customHeight="1" x14ac:dyDescent="0.35">
      <c r="A475" s="8" t="s">
        <v>526</v>
      </c>
      <c r="B475" s="8" t="str">
        <f>IF(Table2[[#This Row],[Jenis_Proyek]]="", "Tidak Diketahui", Table2[[#This Row],[Jenis_Proyek]])</f>
        <v>Gedung</v>
      </c>
      <c r="C475" s="8" t="str">
        <f>IF(Table2[[#This Row],[Lokasi]]="", "Tidak Diketahui", Table2[[#This Row],[Lokasi]])</f>
        <v>Tomohon</v>
      </c>
      <c r="D475" s="8" t="str">
        <f>IF(Table2[[#This Row],[Nama_Proyek]]="", "Tidak Diketahui", Table2[[#This Row],[Nama_Proyek]])</f>
        <v>Perbaikan Gedung Pemerintah Tomohon</v>
      </c>
      <c r="E475" s="14">
        <v>45268</v>
      </c>
      <c r="F475" s="14">
        <v>45413</v>
      </c>
      <c r="G475" s="10">
        <v>6786324237</v>
      </c>
      <c r="H475" s="8" t="str">
        <f>IF(Table2[[#This Row],[Kontraktor]]="", "Tidak Diketahui",Table2[[#This Row],[Kontraktor]])</f>
        <v>PT. Yuniar Hakim Tbk</v>
      </c>
      <c r="I475" s="11">
        <f>Table245[[#This Row],[Tanggal_Selesai]]-Table245[[#This Row],[Tanggal_Mulai]]</f>
        <v>145</v>
      </c>
      <c r="J475" s="17">
        <f>Table245[[#This Row],[Anggaran]]/Table245[[#This Row],[Durasi_Proyek]]</f>
        <v>46802236.117241383</v>
      </c>
      <c r="K475" s="11">
        <f>YEAR(Table245[[#This Row],[Tanggal_Mulai]])</f>
        <v>2023</v>
      </c>
    </row>
    <row r="476" spans="1:11" ht="14.25" customHeight="1" x14ac:dyDescent="0.35">
      <c r="A476" s="8" t="s">
        <v>527</v>
      </c>
      <c r="B476" s="8" t="str">
        <f>IF(Table2[[#This Row],[Jenis_Proyek]]="", "Tidak Diketahui", Table2[[#This Row],[Jenis_Proyek]])</f>
        <v>Drainase</v>
      </c>
      <c r="C476" s="8" t="str">
        <f>IF(Table2[[#This Row],[Lokasi]]="", "Tidak Diketahui", Table2[[#This Row],[Lokasi]])</f>
        <v>Bandung</v>
      </c>
      <c r="D476" s="8" t="str">
        <f>IF(Table2[[#This Row],[Nama_Proyek]]="", "Tidak Diketahui", Table2[[#This Row],[Nama_Proyek]])</f>
        <v>Perbaikan Drainase Bandung</v>
      </c>
      <c r="E476" s="14">
        <v>45269</v>
      </c>
      <c r="F476" s="14">
        <v>45594</v>
      </c>
      <c r="G476" s="10">
        <v>499105719</v>
      </c>
      <c r="H476" s="8" t="str">
        <f>IF(Table2[[#This Row],[Kontraktor]]="", "Tidak Diketahui",Table2[[#This Row],[Kontraktor]])</f>
        <v>CV Sihombing</v>
      </c>
      <c r="I476" s="11">
        <f>Table245[[#This Row],[Tanggal_Selesai]]-Table245[[#This Row],[Tanggal_Mulai]]</f>
        <v>325</v>
      </c>
      <c r="J476" s="17">
        <f>Table245[[#This Row],[Anggaran]]/Table245[[#This Row],[Durasi_Proyek]]</f>
        <v>1535709.9046153845</v>
      </c>
      <c r="K476" s="11">
        <f>YEAR(Table245[[#This Row],[Tanggal_Mulai]])</f>
        <v>2023</v>
      </c>
    </row>
    <row r="477" spans="1:11" ht="14.25" customHeight="1" x14ac:dyDescent="0.35">
      <c r="A477" s="8" t="s">
        <v>528</v>
      </c>
      <c r="B477" s="8" t="str">
        <f>IF(Table2[[#This Row],[Jenis_Proyek]]="", "Tidak Diketahui", Table2[[#This Row],[Jenis_Proyek]])</f>
        <v>Drainase</v>
      </c>
      <c r="C477" s="8" t="str">
        <f>IF(Table2[[#This Row],[Lokasi]]="", "Tidak Diketahui", Table2[[#This Row],[Lokasi]])</f>
        <v>Tomohon</v>
      </c>
      <c r="D477" s="8" t="str">
        <f>IF(Table2[[#This Row],[Nama_Proyek]]="", "Tidak Diketahui", Table2[[#This Row],[Nama_Proyek]])</f>
        <v>Perbaikan Drainase Tomohon</v>
      </c>
      <c r="E477" s="14">
        <v>45271</v>
      </c>
      <c r="F477" s="14">
        <v>45311</v>
      </c>
      <c r="G477" s="10">
        <v>461111964</v>
      </c>
      <c r="H477" s="8" t="str">
        <f>IF(Table2[[#This Row],[Kontraktor]]="", "Tidak Diketahui",Table2[[#This Row],[Kontraktor]])</f>
        <v>CV Sihombing</v>
      </c>
      <c r="I477" s="11">
        <f>Table245[[#This Row],[Tanggal_Selesai]]-Table245[[#This Row],[Tanggal_Mulai]]</f>
        <v>40</v>
      </c>
      <c r="J477" s="17">
        <f>Table245[[#This Row],[Anggaran]]/Table245[[#This Row],[Durasi_Proyek]]</f>
        <v>11527799.1</v>
      </c>
      <c r="K477" s="11">
        <f>YEAR(Table245[[#This Row],[Tanggal_Mulai]])</f>
        <v>2023</v>
      </c>
    </row>
    <row r="478" spans="1:11" ht="14.25" customHeight="1" x14ac:dyDescent="0.35">
      <c r="A478" s="8" t="s">
        <v>529</v>
      </c>
      <c r="B478" s="8" t="str">
        <f>IF(Table2[[#This Row],[Jenis_Proyek]]="", "Tidak Diketahui", Table2[[#This Row],[Jenis_Proyek]])</f>
        <v>Flyover</v>
      </c>
      <c r="C478" s="8" t="str">
        <f>IF(Table2[[#This Row],[Lokasi]]="", "Tidak Diketahui", Table2[[#This Row],[Lokasi]])</f>
        <v>Tomohon</v>
      </c>
      <c r="D478" s="8" t="str">
        <f>IF(Table2[[#This Row],[Nama_Proyek]]="", "Tidak Diketahui", Table2[[#This Row],[Nama_Proyek]])</f>
        <v>Perbaikan Flyover Tomohon</v>
      </c>
      <c r="E478" s="14">
        <v>45272</v>
      </c>
      <c r="F478" s="14">
        <v>45481</v>
      </c>
      <c r="G478" s="10">
        <v>3310535255</v>
      </c>
      <c r="H478" s="8" t="str">
        <f>IF(Table2[[#This Row],[Kontraktor]]="", "Tidak Diketahui",Table2[[#This Row],[Kontraktor]])</f>
        <v>PT. Lailasari Hariyah (Persero) Tbk</v>
      </c>
      <c r="I478" s="11">
        <f>Table245[[#This Row],[Tanggal_Selesai]]-Table245[[#This Row],[Tanggal_Mulai]]</f>
        <v>209</v>
      </c>
      <c r="J478" s="17">
        <f>Table245[[#This Row],[Anggaran]]/Table245[[#This Row],[Durasi_Proyek]]</f>
        <v>15839881.602870813</v>
      </c>
      <c r="K478" s="11">
        <f>YEAR(Table245[[#This Row],[Tanggal_Mulai]])</f>
        <v>2023</v>
      </c>
    </row>
    <row r="479" spans="1:11" ht="14.25" customHeight="1" x14ac:dyDescent="0.35">
      <c r="A479" s="8" t="s">
        <v>530</v>
      </c>
      <c r="B479" s="8" t="str">
        <f>IF(Table2[[#This Row],[Jenis_Proyek]]="", "Tidak Diketahui", Table2[[#This Row],[Jenis_Proyek]])</f>
        <v>Gedung</v>
      </c>
      <c r="C479" s="8" t="str">
        <f>IF(Table2[[#This Row],[Lokasi]]="", "Tidak Diketahui", Table2[[#This Row],[Lokasi]])</f>
        <v>Makassar</v>
      </c>
      <c r="D479" s="8" t="str">
        <f>IF(Table2[[#This Row],[Nama_Proyek]]="", "Tidak Diketahui", Table2[[#This Row],[Nama_Proyek]])</f>
        <v>Perbaikan Gedung Pemerintah Makassar</v>
      </c>
      <c r="E479" s="14">
        <v>45272</v>
      </c>
      <c r="F479" s="14">
        <v>45553</v>
      </c>
      <c r="G479" s="10">
        <v>1639451183</v>
      </c>
      <c r="H479" s="8" t="str">
        <f>IF(Table2[[#This Row],[Kontraktor]]="", "Tidak Diketahui",Table2[[#This Row],[Kontraktor]])</f>
        <v>PT D</v>
      </c>
      <c r="I479" s="11">
        <f>Table245[[#This Row],[Tanggal_Selesai]]-Table245[[#This Row],[Tanggal_Mulai]]</f>
        <v>281</v>
      </c>
      <c r="J479" s="17">
        <f>Table245[[#This Row],[Anggaran]]/Table245[[#This Row],[Durasi_Proyek]]</f>
        <v>5834345.8469750891</v>
      </c>
      <c r="K479" s="11">
        <f>YEAR(Table245[[#This Row],[Tanggal_Mulai]])</f>
        <v>2023</v>
      </c>
    </row>
    <row r="480" spans="1:11" ht="14.25" customHeight="1" x14ac:dyDescent="0.35">
      <c r="A480" s="8" t="s">
        <v>531</v>
      </c>
      <c r="B480" s="8" t="str">
        <f>IF(Table2[[#This Row],[Jenis_Proyek]]="", "Tidak Diketahui", Table2[[#This Row],[Jenis_Proyek]])</f>
        <v>Gedung</v>
      </c>
      <c r="C480" s="8" t="str">
        <f>IF(Table2[[#This Row],[Lokasi]]="", "Tidak Diketahui", Table2[[#This Row],[Lokasi]])</f>
        <v>Makassar</v>
      </c>
      <c r="D480" s="8" t="str">
        <f>IF(Table2[[#This Row],[Nama_Proyek]]="", "Tidak Diketahui", Table2[[#This Row],[Nama_Proyek]])</f>
        <v>Perbaikan Gedung Pemerintah Makassar</v>
      </c>
      <c r="E480" s="14">
        <v>45273</v>
      </c>
      <c r="F480" s="14">
        <v>45590</v>
      </c>
      <c r="G480" s="10">
        <v>2042593058</v>
      </c>
      <c r="H480" s="8" t="str">
        <f>IF(Table2[[#This Row],[Kontraktor]]="", "Tidak Diketahui",Table2[[#This Row],[Kontraktor]])</f>
        <v>PT. Lailasari Hariyah (Persero) Tbk</v>
      </c>
      <c r="I480" s="11">
        <f>Table245[[#This Row],[Tanggal_Selesai]]-Table245[[#This Row],[Tanggal_Mulai]]</f>
        <v>317</v>
      </c>
      <c r="J480" s="17">
        <f>Table245[[#This Row],[Anggaran]]/Table245[[#This Row],[Durasi_Proyek]]</f>
        <v>6443511.2239747634</v>
      </c>
      <c r="K480" s="11">
        <f>YEAR(Table245[[#This Row],[Tanggal_Mulai]])</f>
        <v>2023</v>
      </c>
    </row>
    <row r="481" spans="1:11" ht="14.25" customHeight="1" x14ac:dyDescent="0.35">
      <c r="A481" s="8" t="s">
        <v>532</v>
      </c>
      <c r="B481" s="8" t="str">
        <f>IF(Table2[[#This Row],[Jenis_Proyek]]="", "Tidak Diketahui", Table2[[#This Row],[Jenis_Proyek]])</f>
        <v>Flyover</v>
      </c>
      <c r="C481" s="8" t="str">
        <f>IF(Table2[[#This Row],[Lokasi]]="", "Tidak Diketahui", Table2[[#This Row],[Lokasi]])</f>
        <v>Surabaya</v>
      </c>
      <c r="D481" s="8" t="str">
        <f>IF(Table2[[#This Row],[Nama_Proyek]]="", "Tidak Diketahui", Table2[[#This Row],[Nama_Proyek]])</f>
        <v>Pembuatan Flyover Surabaya</v>
      </c>
      <c r="E481" s="14">
        <v>45273</v>
      </c>
      <c r="F481" s="14">
        <v>45394</v>
      </c>
      <c r="G481" s="10">
        <v>2438226800</v>
      </c>
      <c r="H481" s="8" t="str">
        <f>IF(Table2[[#This Row],[Kontraktor]]="", "Tidak Diketahui",Table2[[#This Row],[Kontraktor]])</f>
        <v>PT D</v>
      </c>
      <c r="I481" s="11">
        <f>Table245[[#This Row],[Tanggal_Selesai]]-Table245[[#This Row],[Tanggal_Mulai]]</f>
        <v>121</v>
      </c>
      <c r="J481" s="17">
        <f>Table245[[#This Row],[Anggaran]]/Table245[[#This Row],[Durasi_Proyek]]</f>
        <v>20150634.7107438</v>
      </c>
      <c r="K481" s="11">
        <f>YEAR(Table245[[#This Row],[Tanggal_Mulai]])</f>
        <v>2023</v>
      </c>
    </row>
    <row r="482" spans="1:11" ht="14.25" customHeight="1" x14ac:dyDescent="0.35">
      <c r="A482" s="8" t="s">
        <v>533</v>
      </c>
      <c r="B482" s="8" t="str">
        <f>IF(Table2[[#This Row],[Jenis_Proyek]]="", "Tidak Diketahui", Table2[[#This Row],[Jenis_Proyek]])</f>
        <v>Drainase</v>
      </c>
      <c r="C482" s="8" t="str">
        <f>IF(Table2[[#This Row],[Lokasi]]="", "Tidak Diketahui", Table2[[#This Row],[Lokasi]])</f>
        <v>Jakarta</v>
      </c>
      <c r="D482" s="8" t="str">
        <f>IF(Table2[[#This Row],[Nama_Proyek]]="", "Tidak Diketahui", Table2[[#This Row],[Nama_Proyek]])</f>
        <v>Perbaikan Drainase Jakarta</v>
      </c>
      <c r="E482" s="14">
        <v>45273</v>
      </c>
      <c r="F482" s="14">
        <v>45524</v>
      </c>
      <c r="G482" s="10">
        <v>740887892</v>
      </c>
      <c r="H482" s="8" t="str">
        <f>IF(Table2[[#This Row],[Kontraktor]]="", "Tidak Diketahui",Table2[[#This Row],[Kontraktor]])</f>
        <v>Tidak Diketahui</v>
      </c>
      <c r="I482" s="11">
        <f>Table245[[#This Row],[Tanggal_Selesai]]-Table245[[#This Row],[Tanggal_Mulai]]</f>
        <v>251</v>
      </c>
      <c r="J482" s="17">
        <f>Table245[[#This Row],[Anggaran]]/Table245[[#This Row],[Durasi_Proyek]]</f>
        <v>2951744.5896414341</v>
      </c>
      <c r="K482" s="11">
        <f>YEAR(Table245[[#This Row],[Tanggal_Mulai]])</f>
        <v>2023</v>
      </c>
    </row>
    <row r="483" spans="1:11" ht="14.25" customHeight="1" x14ac:dyDescent="0.35">
      <c r="A483" s="8" t="s">
        <v>534</v>
      </c>
      <c r="B483" s="8" t="str">
        <f>IF(Table2[[#This Row],[Jenis_Proyek]]="", "Tidak Diketahui", Table2[[#This Row],[Jenis_Proyek]])</f>
        <v>Flyover</v>
      </c>
      <c r="C483" s="8" t="str">
        <f>IF(Table2[[#This Row],[Lokasi]]="", "Tidak Diketahui", Table2[[#This Row],[Lokasi]])</f>
        <v>Depok</v>
      </c>
      <c r="D483" s="8" t="str">
        <f>IF(Table2[[#This Row],[Nama_Proyek]]="", "Tidak Diketahui", Table2[[#This Row],[Nama_Proyek]])</f>
        <v>Pembuatan Flyover Depok</v>
      </c>
      <c r="E483" s="14">
        <v>45278</v>
      </c>
      <c r="F483" s="14">
        <v>45634</v>
      </c>
      <c r="G483" s="10">
        <v>3502390822</v>
      </c>
      <c r="H483" s="8" t="str">
        <f>IF(Table2[[#This Row],[Kontraktor]]="", "Tidak Diketahui",Table2[[#This Row],[Kontraktor]])</f>
        <v>Tidak Diketahui</v>
      </c>
      <c r="I483" s="11">
        <f>Table245[[#This Row],[Tanggal_Selesai]]-Table245[[#This Row],[Tanggal_Mulai]]</f>
        <v>356</v>
      </c>
      <c r="J483" s="17">
        <f>Table245[[#This Row],[Anggaran]]/Table245[[#This Row],[Durasi_Proyek]]</f>
        <v>9838176.4662921354</v>
      </c>
      <c r="K483" s="11">
        <f>YEAR(Table245[[#This Row],[Tanggal_Mulai]])</f>
        <v>2023</v>
      </c>
    </row>
    <row r="484" spans="1:11" ht="14.25" customHeight="1" x14ac:dyDescent="0.35">
      <c r="A484" s="8" t="s">
        <v>535</v>
      </c>
      <c r="B484" s="8" t="str">
        <f>IF(Table2[[#This Row],[Jenis_Proyek]]="", "Tidak Diketahui", Table2[[#This Row],[Jenis_Proyek]])</f>
        <v>Drainase</v>
      </c>
      <c r="C484" s="8" t="str">
        <f>IF(Table2[[#This Row],[Lokasi]]="", "Tidak Diketahui", Table2[[#This Row],[Lokasi]])</f>
        <v>Surabaya</v>
      </c>
      <c r="D484" s="8" t="str">
        <f>IF(Table2[[#This Row],[Nama_Proyek]]="", "Tidak Diketahui", Table2[[#This Row],[Nama_Proyek]])</f>
        <v>Perbaikan Drainase Surabaya</v>
      </c>
      <c r="E484" s="14">
        <v>45281</v>
      </c>
      <c r="F484" s="14">
        <v>45467</v>
      </c>
      <c r="G484" s="10">
        <v>633299430</v>
      </c>
      <c r="H484" s="8" t="str">
        <f>IF(Table2[[#This Row],[Kontraktor]]="", "Tidak Diketahui",Table2[[#This Row],[Kontraktor]])</f>
        <v>PT. Yuniar Hakim Tbk</v>
      </c>
      <c r="I484" s="11">
        <f>Table245[[#This Row],[Tanggal_Selesai]]-Table245[[#This Row],[Tanggal_Mulai]]</f>
        <v>186</v>
      </c>
      <c r="J484" s="17">
        <f>Table245[[#This Row],[Anggaran]]/Table245[[#This Row],[Durasi_Proyek]]</f>
        <v>3404835.6451612902</v>
      </c>
      <c r="K484" s="11">
        <f>YEAR(Table245[[#This Row],[Tanggal_Mulai]])</f>
        <v>2023</v>
      </c>
    </row>
    <row r="485" spans="1:11" ht="14.25" customHeight="1" x14ac:dyDescent="0.35">
      <c r="A485" s="8" t="s">
        <v>536</v>
      </c>
      <c r="B485" s="8" t="str">
        <f>IF(Table2[[#This Row],[Jenis_Proyek]]="", "Tidak Diketahui", Table2[[#This Row],[Jenis_Proyek]])</f>
        <v>Drainase</v>
      </c>
      <c r="C485" s="8" t="str">
        <f>IF(Table2[[#This Row],[Lokasi]]="", "Tidak Diketahui", Table2[[#This Row],[Lokasi]])</f>
        <v>Depok</v>
      </c>
      <c r="D485" s="8" t="str">
        <f>IF(Table2[[#This Row],[Nama_Proyek]]="", "Tidak Diketahui", Table2[[#This Row],[Nama_Proyek]])</f>
        <v>Perbaikan Drainase Depok</v>
      </c>
      <c r="E485" s="14">
        <v>45282</v>
      </c>
      <c r="F485" s="14">
        <v>45595</v>
      </c>
      <c r="G485" s="10">
        <v>518578528</v>
      </c>
      <c r="H485" s="8" t="str">
        <f>IF(Table2[[#This Row],[Kontraktor]]="", "Tidak Diketahui",Table2[[#This Row],[Kontraktor]])</f>
        <v>PT. Yuniar Hakim Tbk</v>
      </c>
      <c r="I485" s="11">
        <f>Table245[[#This Row],[Tanggal_Selesai]]-Table245[[#This Row],[Tanggal_Mulai]]</f>
        <v>313</v>
      </c>
      <c r="J485" s="17">
        <f>Table245[[#This Row],[Anggaran]]/Table245[[#This Row],[Durasi_Proyek]]</f>
        <v>1656800.4089456869</v>
      </c>
      <c r="K485" s="11">
        <f>YEAR(Table245[[#This Row],[Tanggal_Mulai]])</f>
        <v>2023</v>
      </c>
    </row>
    <row r="486" spans="1:11" ht="14.25" customHeight="1" x14ac:dyDescent="0.35">
      <c r="A486" s="8" t="s">
        <v>537</v>
      </c>
      <c r="B486" s="8" t="str">
        <f>IF(Table2[[#This Row],[Jenis_Proyek]]="", "Tidak Diketahui", Table2[[#This Row],[Jenis_Proyek]])</f>
        <v>Flyover</v>
      </c>
      <c r="C486" s="8" t="str">
        <f>IF(Table2[[#This Row],[Lokasi]]="", "Tidak Diketahui", Table2[[#This Row],[Lokasi]])</f>
        <v>Makassar</v>
      </c>
      <c r="D486" s="8" t="str">
        <f>IF(Table2[[#This Row],[Nama_Proyek]]="", "Tidak Diketahui", Table2[[#This Row],[Nama_Proyek]])</f>
        <v>Pembuatan Flyover Makassar</v>
      </c>
      <c r="E486" s="14">
        <v>45283</v>
      </c>
      <c r="F486" s="14">
        <v>45588</v>
      </c>
      <c r="G486" s="10">
        <v>2716743578</v>
      </c>
      <c r="H486" s="8" t="str">
        <f>IF(Table2[[#This Row],[Kontraktor]]="", "Tidak Diketahui",Table2[[#This Row],[Kontraktor]])</f>
        <v>PT. Lailasari Hariyah (Persero) Tbk</v>
      </c>
      <c r="I486" s="11">
        <f>Table245[[#This Row],[Tanggal_Selesai]]-Table245[[#This Row],[Tanggal_Mulai]]</f>
        <v>305</v>
      </c>
      <c r="J486" s="17">
        <f>Table245[[#This Row],[Anggaran]]/Table245[[#This Row],[Durasi_Proyek]]</f>
        <v>8907355.9934426229</v>
      </c>
      <c r="K486" s="11">
        <f>YEAR(Table245[[#This Row],[Tanggal_Mulai]])</f>
        <v>2023</v>
      </c>
    </row>
    <row r="487" spans="1:11" ht="14.25" customHeight="1" x14ac:dyDescent="0.35">
      <c r="A487" s="8" t="s">
        <v>538</v>
      </c>
      <c r="B487" s="8" t="str">
        <f>IF(Table2[[#This Row],[Jenis_Proyek]]="", "Tidak Diketahui", Table2[[#This Row],[Jenis_Proyek]])</f>
        <v>Gedung</v>
      </c>
      <c r="C487" s="8" t="str">
        <f>IF(Table2[[#This Row],[Lokasi]]="", "Tidak Diketahui", Table2[[#This Row],[Lokasi]])</f>
        <v>Bandung</v>
      </c>
      <c r="D487" s="8" t="str">
        <f>IF(Table2[[#This Row],[Nama_Proyek]]="", "Tidak Diketahui", Table2[[#This Row],[Nama_Proyek]])</f>
        <v>Perbaikan Gedung Pemerintah Bandung</v>
      </c>
      <c r="E487" s="14">
        <v>45284</v>
      </c>
      <c r="F487" s="14">
        <v>45579</v>
      </c>
      <c r="G487" s="10">
        <v>3558366170</v>
      </c>
      <c r="H487" s="8" t="str">
        <f>IF(Table2[[#This Row],[Kontraktor]]="", "Tidak Diketahui",Table2[[#This Row],[Kontraktor]])</f>
        <v>PT B</v>
      </c>
      <c r="I487" s="11">
        <f>Table245[[#This Row],[Tanggal_Selesai]]-Table245[[#This Row],[Tanggal_Mulai]]</f>
        <v>295</v>
      </c>
      <c r="J487" s="17">
        <f>Table245[[#This Row],[Anggaran]]/Table245[[#This Row],[Durasi_Proyek]]</f>
        <v>12062258.203389831</v>
      </c>
      <c r="K487" s="11">
        <f>YEAR(Table245[[#This Row],[Tanggal_Mulai]])</f>
        <v>2023</v>
      </c>
    </row>
    <row r="488" spans="1:11" ht="14.25" customHeight="1" x14ac:dyDescent="0.35">
      <c r="A488" s="8" t="s">
        <v>539</v>
      </c>
      <c r="B488" s="8" t="str">
        <f>IF(Table2[[#This Row],[Jenis_Proyek]]="", "Tidak Diketahui", Table2[[#This Row],[Jenis_Proyek]])</f>
        <v>Flyover</v>
      </c>
      <c r="C488" s="8" t="str">
        <f>IF(Table2[[#This Row],[Lokasi]]="", "Tidak Diketahui", Table2[[#This Row],[Lokasi]])</f>
        <v>Surabaya</v>
      </c>
      <c r="D488" s="8" t="str">
        <f>IF(Table2[[#This Row],[Nama_Proyek]]="", "Tidak Diketahui", Table2[[#This Row],[Nama_Proyek]])</f>
        <v>Pembuatan Flyover Surabaya</v>
      </c>
      <c r="E488" s="14">
        <v>45284</v>
      </c>
      <c r="F488" s="14">
        <v>45473</v>
      </c>
      <c r="G488" s="10">
        <v>3504700319</v>
      </c>
      <c r="H488" s="8" t="str">
        <f>IF(Table2[[#This Row],[Kontraktor]]="", "Tidak Diketahui",Table2[[#This Row],[Kontraktor]])</f>
        <v>PT A</v>
      </c>
      <c r="I488" s="11">
        <f>Table245[[#This Row],[Tanggal_Selesai]]-Table245[[#This Row],[Tanggal_Mulai]]</f>
        <v>189</v>
      </c>
      <c r="J488" s="17">
        <f>Table245[[#This Row],[Anggaran]]/Table245[[#This Row],[Durasi_Proyek]]</f>
        <v>18543387.931216933</v>
      </c>
      <c r="K488" s="11">
        <f>YEAR(Table245[[#This Row],[Tanggal_Mulai]])</f>
        <v>2023</v>
      </c>
    </row>
    <row r="489" spans="1:11" ht="14.25" customHeight="1" x14ac:dyDescent="0.35">
      <c r="A489" s="8" t="s">
        <v>540</v>
      </c>
      <c r="B489" s="8" t="str">
        <f>IF(Table2[[#This Row],[Jenis_Proyek]]="", "Tidak Diketahui", Table2[[#This Row],[Jenis_Proyek]])</f>
        <v>Gedung</v>
      </c>
      <c r="C489" s="8" t="str">
        <f>IF(Table2[[#This Row],[Lokasi]]="", "Tidak Diketahui", Table2[[#This Row],[Lokasi]])</f>
        <v>Bandung</v>
      </c>
      <c r="D489" s="8" t="str">
        <f>IF(Table2[[#This Row],[Nama_Proyek]]="", "Tidak Diketahui", Table2[[#This Row],[Nama_Proyek]])</f>
        <v>Perbaikan Gedung Pemerintah Bandung</v>
      </c>
      <c r="E489" s="14">
        <v>45284</v>
      </c>
      <c r="F489" s="14">
        <v>45536</v>
      </c>
      <c r="G489" s="10">
        <v>8473123375</v>
      </c>
      <c r="H489" s="8" t="str">
        <f>IF(Table2[[#This Row],[Kontraktor]]="", "Tidak Diketahui",Table2[[#This Row],[Kontraktor]])</f>
        <v>PT. Lailasari Hariyah (Persero) Tbk</v>
      </c>
      <c r="I489" s="11">
        <f>Table245[[#This Row],[Tanggal_Selesai]]-Table245[[#This Row],[Tanggal_Mulai]]</f>
        <v>252</v>
      </c>
      <c r="J489" s="17">
        <f>Table245[[#This Row],[Anggaran]]/Table245[[#This Row],[Durasi_Proyek]]</f>
        <v>33623505.456349209</v>
      </c>
      <c r="K489" s="11">
        <f>YEAR(Table245[[#This Row],[Tanggal_Mulai]])</f>
        <v>2023</v>
      </c>
    </row>
    <row r="490" spans="1:11" ht="14.25" customHeight="1" x14ac:dyDescent="0.35">
      <c r="A490" s="8" t="s">
        <v>541</v>
      </c>
      <c r="B490" s="8" t="str">
        <f>IF(Table2[[#This Row],[Jenis_Proyek]]="", "Tidak Diketahui", Table2[[#This Row],[Jenis_Proyek]])</f>
        <v>Jalan Raya</v>
      </c>
      <c r="C490" s="8" t="str">
        <f>IF(Table2[[#This Row],[Lokasi]]="", "Tidak Diketahui", Table2[[#This Row],[Lokasi]])</f>
        <v>Surabaya</v>
      </c>
      <c r="D490" s="8" t="str">
        <f>IF(Table2[[#This Row],[Nama_Proyek]]="", "Tidak Diketahui", Table2[[#This Row],[Nama_Proyek]])</f>
        <v>Perbaikan Jalan Raya Surabaya</v>
      </c>
      <c r="E490" s="14">
        <v>45285</v>
      </c>
      <c r="F490" s="14">
        <v>45318</v>
      </c>
      <c r="G490" s="10">
        <v>407605972</v>
      </c>
      <c r="H490" s="8" t="str">
        <f>IF(Table2[[#This Row],[Kontraktor]]="", "Tidak Diketahui",Table2[[#This Row],[Kontraktor]])</f>
        <v>Tidak Diketahui</v>
      </c>
      <c r="I490" s="11">
        <f>Table245[[#This Row],[Tanggal_Selesai]]-Table245[[#This Row],[Tanggal_Mulai]]</f>
        <v>33</v>
      </c>
      <c r="J490" s="17">
        <f>Table245[[#This Row],[Anggaran]]/Table245[[#This Row],[Durasi_Proyek]]</f>
        <v>12351696.121212121</v>
      </c>
      <c r="K490" s="11">
        <f>YEAR(Table245[[#This Row],[Tanggal_Mulai]])</f>
        <v>2023</v>
      </c>
    </row>
    <row r="491" spans="1:11" ht="14.25" customHeight="1" x14ac:dyDescent="0.35">
      <c r="A491" s="8" t="s">
        <v>542</v>
      </c>
      <c r="B491" s="8" t="str">
        <f>IF(Table2[[#This Row],[Jenis_Proyek]]="", "Tidak Diketahui", Table2[[#This Row],[Jenis_Proyek]])</f>
        <v>Flyover</v>
      </c>
      <c r="C491" s="8" t="str">
        <f>IF(Table2[[#This Row],[Lokasi]]="", "Tidak Diketahui", Table2[[#This Row],[Lokasi]])</f>
        <v>Makassar</v>
      </c>
      <c r="D491" s="8" t="str">
        <f>IF(Table2[[#This Row],[Nama_Proyek]]="", "Tidak Diketahui", Table2[[#This Row],[Nama_Proyek]])</f>
        <v>Perbaikan Flyover Makassar</v>
      </c>
      <c r="E491" s="14">
        <v>45285</v>
      </c>
      <c r="F491" s="14">
        <v>45567</v>
      </c>
      <c r="G491" s="10">
        <v>3697961455</v>
      </c>
      <c r="H491" s="8" t="str">
        <f>IF(Table2[[#This Row],[Kontraktor]]="", "Tidak Diketahui",Table2[[#This Row],[Kontraktor]])</f>
        <v>PT D</v>
      </c>
      <c r="I491" s="11">
        <f>Table245[[#This Row],[Tanggal_Selesai]]-Table245[[#This Row],[Tanggal_Mulai]]</f>
        <v>282</v>
      </c>
      <c r="J491" s="17">
        <f>Table245[[#This Row],[Anggaran]]/Table245[[#This Row],[Durasi_Proyek]]</f>
        <v>13113338.492907802</v>
      </c>
      <c r="K491" s="11">
        <f>YEAR(Table245[[#This Row],[Tanggal_Mulai]])</f>
        <v>2023</v>
      </c>
    </row>
    <row r="492" spans="1:11" ht="14.25" customHeight="1" x14ac:dyDescent="0.35">
      <c r="A492" s="8" t="s">
        <v>543</v>
      </c>
      <c r="B492" s="8" t="str">
        <f>IF(Table2[[#This Row],[Jenis_Proyek]]="", "Tidak Diketahui", Table2[[#This Row],[Jenis_Proyek]])</f>
        <v>Gedung</v>
      </c>
      <c r="C492" s="8" t="str">
        <f>IF(Table2[[#This Row],[Lokasi]]="", "Tidak Diketahui", Table2[[#This Row],[Lokasi]])</f>
        <v>Medan</v>
      </c>
      <c r="D492" s="8" t="str">
        <f>IF(Table2[[#This Row],[Nama_Proyek]]="", "Tidak Diketahui", Table2[[#This Row],[Nama_Proyek]])</f>
        <v>Perbaikan Gedung Pemerintah Medan</v>
      </c>
      <c r="E492" s="14">
        <v>45286</v>
      </c>
      <c r="F492" s="14">
        <v>45368</v>
      </c>
      <c r="G492" s="10">
        <v>9185210892</v>
      </c>
      <c r="H492" s="8" t="str">
        <f>IF(Table2[[#This Row],[Kontraktor]]="", "Tidak Diketahui",Table2[[#This Row],[Kontraktor]])</f>
        <v>PT. Yuniar Hakim Tbk</v>
      </c>
      <c r="I492" s="11">
        <f>Table245[[#This Row],[Tanggal_Selesai]]-Table245[[#This Row],[Tanggal_Mulai]]</f>
        <v>82</v>
      </c>
      <c r="J492" s="17">
        <f>Table245[[#This Row],[Anggaran]]/Table245[[#This Row],[Durasi_Proyek]]</f>
        <v>112014766.97560975</v>
      </c>
      <c r="K492" s="11">
        <f>YEAR(Table245[[#This Row],[Tanggal_Mulai]])</f>
        <v>2023</v>
      </c>
    </row>
    <row r="493" spans="1:11" ht="14.25" customHeight="1" x14ac:dyDescent="0.35">
      <c r="A493" s="8" t="s">
        <v>544</v>
      </c>
      <c r="B493" s="8" t="str">
        <f>IF(Table2[[#This Row],[Jenis_Proyek]]="", "Tidak Diketahui", Table2[[#This Row],[Jenis_Proyek]])</f>
        <v>Drainase</v>
      </c>
      <c r="C493" s="8" t="str">
        <f>IF(Table2[[#This Row],[Lokasi]]="", "Tidak Diketahui", Table2[[#This Row],[Lokasi]])</f>
        <v>Tomohon</v>
      </c>
      <c r="D493" s="8" t="str">
        <f>IF(Table2[[#This Row],[Nama_Proyek]]="", "Tidak Diketahui", Table2[[#This Row],[Nama_Proyek]])</f>
        <v>Perbaikan Drainase Tomohon</v>
      </c>
      <c r="E493" s="14">
        <v>45286</v>
      </c>
      <c r="F493" s="14">
        <v>45570</v>
      </c>
      <c r="G493" s="10">
        <v>577434070</v>
      </c>
      <c r="H493" s="8" t="str">
        <f>IF(Table2[[#This Row],[Kontraktor]]="", "Tidak Diketahui",Table2[[#This Row],[Kontraktor]])</f>
        <v>PT D</v>
      </c>
      <c r="I493" s="11">
        <f>Table245[[#This Row],[Tanggal_Selesai]]-Table245[[#This Row],[Tanggal_Mulai]]</f>
        <v>284</v>
      </c>
      <c r="J493" s="17">
        <f>Table245[[#This Row],[Anggaran]]/Table245[[#This Row],[Durasi_Proyek]]</f>
        <v>2033218.5563380283</v>
      </c>
      <c r="K493" s="11">
        <f>YEAR(Table245[[#This Row],[Tanggal_Mulai]])</f>
        <v>2023</v>
      </c>
    </row>
    <row r="494" spans="1:11" ht="14.25" customHeight="1" x14ac:dyDescent="0.35">
      <c r="A494" s="8" t="s">
        <v>545</v>
      </c>
      <c r="B494" s="8" t="str">
        <f>IF(Table2[[#This Row],[Jenis_Proyek]]="", "Tidak Diketahui", Table2[[#This Row],[Jenis_Proyek]])</f>
        <v>Gedung</v>
      </c>
      <c r="C494" s="8" t="str">
        <f>IF(Table2[[#This Row],[Lokasi]]="", "Tidak Diketahui", Table2[[#This Row],[Lokasi]])</f>
        <v>Bau-Bau</v>
      </c>
      <c r="D494" s="8" t="str">
        <f>IF(Table2[[#This Row],[Nama_Proyek]]="", "Tidak Diketahui", Table2[[#This Row],[Nama_Proyek]])</f>
        <v>Perbaikan Gedung Pemerintah Bau-Bau</v>
      </c>
      <c r="E494" s="14">
        <v>45286</v>
      </c>
      <c r="F494" s="16">
        <v>45410</v>
      </c>
      <c r="G494" s="10">
        <v>9221677626</v>
      </c>
      <c r="H494" s="8" t="str">
        <f>IF(Table2[[#This Row],[Kontraktor]]="", "Tidak Diketahui",Table2[[#This Row],[Kontraktor]])</f>
        <v>PT. Yuniar Hakim Tbk</v>
      </c>
      <c r="I494" s="11">
        <f>Table245[[#This Row],[Tanggal_Selesai]]-Table245[[#This Row],[Tanggal_Mulai]]</f>
        <v>124</v>
      </c>
      <c r="J494" s="17">
        <f>Table245[[#This Row],[Anggaran]]/Table245[[#This Row],[Durasi_Proyek]]</f>
        <v>74368367.951612905</v>
      </c>
      <c r="K494" s="11">
        <f>YEAR(Table245[[#This Row],[Tanggal_Mulai]])</f>
        <v>2023</v>
      </c>
    </row>
    <row r="495" spans="1:11" ht="14.25" customHeight="1" x14ac:dyDescent="0.35">
      <c r="A495" s="8" t="s">
        <v>546</v>
      </c>
      <c r="B495" s="8" t="str">
        <f>IF(Table2[[#This Row],[Jenis_Proyek]]="", "Tidak Diketahui", Table2[[#This Row],[Jenis_Proyek]])</f>
        <v>Flyover</v>
      </c>
      <c r="C495" s="8" t="str">
        <f>IF(Table2[[#This Row],[Lokasi]]="", "Tidak Diketahui", Table2[[#This Row],[Lokasi]])</f>
        <v>Bau-Bau</v>
      </c>
      <c r="D495" s="8" t="str">
        <f>IF(Table2[[#This Row],[Nama_Proyek]]="", "Tidak Diketahui", Table2[[#This Row],[Nama_Proyek]])</f>
        <v>Pembuatan Flyover Bau-Bau</v>
      </c>
      <c r="E495" s="14">
        <v>45287</v>
      </c>
      <c r="F495" s="14">
        <v>45624</v>
      </c>
      <c r="G495" s="10">
        <v>4616485762</v>
      </c>
      <c r="H495" s="8" t="str">
        <f>IF(Table2[[#This Row],[Kontraktor]]="", "Tidak Diketahui",Table2[[#This Row],[Kontraktor]])</f>
        <v>CV Sihombing</v>
      </c>
      <c r="I495" s="11">
        <f>Table245[[#This Row],[Tanggal_Selesai]]-Table245[[#This Row],[Tanggal_Mulai]]</f>
        <v>337</v>
      </c>
      <c r="J495" s="17">
        <f>Table245[[#This Row],[Anggaran]]/Table245[[#This Row],[Durasi_Proyek]]</f>
        <v>13698770.807121662</v>
      </c>
      <c r="K495" s="11">
        <f>YEAR(Table245[[#This Row],[Tanggal_Mulai]])</f>
        <v>2023</v>
      </c>
    </row>
    <row r="496" spans="1:11" ht="14.25" customHeight="1" x14ac:dyDescent="0.35">
      <c r="A496" s="8" t="s">
        <v>547</v>
      </c>
      <c r="B496" s="8" t="str">
        <f>IF(Table2[[#This Row],[Jenis_Proyek]]="", "Tidak Diketahui", Table2[[#This Row],[Jenis_Proyek]])</f>
        <v>Gedung</v>
      </c>
      <c r="C496" s="8" t="str">
        <f>IF(Table2[[#This Row],[Lokasi]]="", "Tidak Diketahui", Table2[[#This Row],[Lokasi]])</f>
        <v>Depok</v>
      </c>
      <c r="D496" s="8" t="str">
        <f>IF(Table2[[#This Row],[Nama_Proyek]]="", "Tidak Diketahui", Table2[[#This Row],[Nama_Proyek]])</f>
        <v>Perbaikan Gedung Pemerintah Depok</v>
      </c>
      <c r="E496" s="14">
        <v>45287</v>
      </c>
      <c r="F496" s="14">
        <v>45343</v>
      </c>
      <c r="G496" s="10">
        <v>4101514487</v>
      </c>
      <c r="H496" s="8" t="str">
        <f>IF(Table2[[#This Row],[Kontraktor]]="", "Tidak Diketahui",Table2[[#This Row],[Kontraktor]])</f>
        <v>Tidak Diketahui</v>
      </c>
      <c r="I496" s="11">
        <f>Table245[[#This Row],[Tanggal_Selesai]]-Table245[[#This Row],[Tanggal_Mulai]]</f>
        <v>56</v>
      </c>
      <c r="J496" s="17">
        <f>Table245[[#This Row],[Anggaran]]/Table245[[#This Row],[Durasi_Proyek]]</f>
        <v>73241330.125</v>
      </c>
      <c r="K496" s="11">
        <f>YEAR(Table245[[#This Row],[Tanggal_Mulai]])</f>
        <v>2023</v>
      </c>
    </row>
    <row r="497" spans="1:11" ht="14.25" customHeight="1" x14ac:dyDescent="0.35">
      <c r="A497" s="8" t="s">
        <v>548</v>
      </c>
      <c r="B497" s="8" t="str">
        <f>IF(Table2[[#This Row],[Jenis_Proyek]]="", "Tidak Diketahui", Table2[[#This Row],[Jenis_Proyek]])</f>
        <v>Drainase</v>
      </c>
      <c r="C497" s="8" t="str">
        <f>IF(Table2[[#This Row],[Lokasi]]="", "Tidak Diketahui", Table2[[#This Row],[Lokasi]])</f>
        <v>Jakarta</v>
      </c>
      <c r="D497" s="8" t="str">
        <f>IF(Table2[[#This Row],[Nama_Proyek]]="", "Tidak Diketahui", Table2[[#This Row],[Nama_Proyek]])</f>
        <v>Perbaikan Drainase Jakarta</v>
      </c>
      <c r="E497" s="14">
        <v>45289</v>
      </c>
      <c r="F497" s="14">
        <v>45611</v>
      </c>
      <c r="G497" s="10">
        <v>419613481</v>
      </c>
      <c r="H497" s="8" t="str">
        <f>IF(Table2[[#This Row],[Kontraktor]]="", "Tidak Diketahui",Table2[[#This Row],[Kontraktor]])</f>
        <v>PT D</v>
      </c>
      <c r="I497" s="11">
        <f>Table245[[#This Row],[Tanggal_Selesai]]-Table245[[#This Row],[Tanggal_Mulai]]</f>
        <v>322</v>
      </c>
      <c r="J497" s="17">
        <f>Table245[[#This Row],[Anggaran]]/Table245[[#This Row],[Durasi_Proyek]]</f>
        <v>1303147.456521739</v>
      </c>
      <c r="K497" s="11">
        <f>YEAR(Table245[[#This Row],[Tanggal_Mulai]])</f>
        <v>2023</v>
      </c>
    </row>
    <row r="498" spans="1:11" ht="14.25" customHeight="1" x14ac:dyDescent="0.35">
      <c r="A498" s="8" t="s">
        <v>549</v>
      </c>
      <c r="B498" s="8" t="str">
        <f>IF(Table2[[#This Row],[Jenis_Proyek]]="", "Tidak Diketahui", Table2[[#This Row],[Jenis_Proyek]])</f>
        <v>Drainase</v>
      </c>
      <c r="C498" s="8" t="str">
        <f>IF(Table2[[#This Row],[Lokasi]]="", "Tidak Diketahui", Table2[[#This Row],[Lokasi]])</f>
        <v>Bandung</v>
      </c>
      <c r="D498" s="8" t="str">
        <f>IF(Table2[[#This Row],[Nama_Proyek]]="", "Tidak Diketahui", Table2[[#This Row],[Nama_Proyek]])</f>
        <v>Perbaikan Drainase Bandung</v>
      </c>
      <c r="E498" s="14">
        <v>45289</v>
      </c>
      <c r="F498" s="14">
        <v>45346</v>
      </c>
      <c r="G498" s="10">
        <v>271658499</v>
      </c>
      <c r="H498" s="8" t="str">
        <f>IF(Table2[[#This Row],[Kontraktor]]="", "Tidak Diketahui",Table2[[#This Row],[Kontraktor]])</f>
        <v>PT A</v>
      </c>
      <c r="I498" s="11">
        <f>Table245[[#This Row],[Tanggal_Selesai]]-Table245[[#This Row],[Tanggal_Mulai]]</f>
        <v>57</v>
      </c>
      <c r="J498" s="17">
        <f>Table245[[#This Row],[Anggaran]]/Table245[[#This Row],[Durasi_Proyek]]</f>
        <v>4765938.5789473681</v>
      </c>
      <c r="K498" s="11">
        <f>YEAR(Table245[[#This Row],[Tanggal_Mulai]])</f>
        <v>2023</v>
      </c>
    </row>
    <row r="499" spans="1:11" ht="14.25" customHeight="1" x14ac:dyDescent="0.35">
      <c r="A499" s="8" t="s">
        <v>550</v>
      </c>
      <c r="B499" s="8" t="str">
        <f>IF(Table2[[#This Row],[Jenis_Proyek]]="", "Tidak Diketahui", Table2[[#This Row],[Jenis_Proyek]])</f>
        <v>Flyover</v>
      </c>
      <c r="C499" s="8" t="str">
        <f>IF(Table2[[#This Row],[Lokasi]]="", "Tidak Diketahui", Table2[[#This Row],[Lokasi]])</f>
        <v>Makassar</v>
      </c>
      <c r="D499" s="8" t="str">
        <f>IF(Table2[[#This Row],[Nama_Proyek]]="", "Tidak Diketahui", Table2[[#This Row],[Nama_Proyek]])</f>
        <v>Pembuatan Flyover Makassar</v>
      </c>
      <c r="E499" s="14">
        <v>45290</v>
      </c>
      <c r="F499" s="14">
        <v>45461</v>
      </c>
      <c r="G499" s="10">
        <v>3282339654</v>
      </c>
      <c r="H499" s="8" t="str">
        <f>IF(Table2[[#This Row],[Kontraktor]]="", "Tidak Diketahui",Table2[[#This Row],[Kontraktor]])</f>
        <v>PT B</v>
      </c>
      <c r="I499" s="11">
        <f>Table245[[#This Row],[Tanggal_Selesai]]-Table245[[#This Row],[Tanggal_Mulai]]</f>
        <v>171</v>
      </c>
      <c r="J499" s="17">
        <f>Table245[[#This Row],[Anggaran]]/Table245[[#This Row],[Durasi_Proyek]]</f>
        <v>19194968.736842107</v>
      </c>
      <c r="K499" s="11">
        <f>YEAR(Table245[[#This Row],[Tanggal_Mulai]])</f>
        <v>2023</v>
      </c>
    </row>
    <row r="500" spans="1:11" ht="14.25" customHeight="1" x14ac:dyDescent="0.35">
      <c r="A500" s="8" t="s">
        <v>551</v>
      </c>
      <c r="B500" s="8" t="str">
        <f>IF(Table2[[#This Row],[Jenis_Proyek]]="", "Tidak Diketahui", Table2[[#This Row],[Jenis_Proyek]])</f>
        <v>Gedung</v>
      </c>
      <c r="C500" s="8" t="str">
        <f>IF(Table2[[#This Row],[Lokasi]]="", "Tidak Diketahui", Table2[[#This Row],[Lokasi]])</f>
        <v>Surabaya</v>
      </c>
      <c r="D500" s="8" t="str">
        <f>IF(Table2[[#This Row],[Nama_Proyek]]="", "Tidak Diketahui", Table2[[#This Row],[Nama_Proyek]])</f>
        <v>Perbaikan Gedung Pemerintah Surabaya</v>
      </c>
      <c r="E500" s="14">
        <v>45291</v>
      </c>
      <c r="F500" s="14">
        <v>45563</v>
      </c>
      <c r="G500" s="10">
        <v>2974669932</v>
      </c>
      <c r="H500" s="8" t="str">
        <f>IF(Table2[[#This Row],[Kontraktor]]="", "Tidak Diketahui",Table2[[#This Row],[Kontraktor]])</f>
        <v>PT B</v>
      </c>
      <c r="I500" s="11">
        <f>Table245[[#This Row],[Tanggal_Selesai]]-Table245[[#This Row],[Tanggal_Mulai]]</f>
        <v>272</v>
      </c>
      <c r="J500" s="17">
        <f>Table245[[#This Row],[Anggaran]]/Table245[[#This Row],[Durasi_Proyek]]</f>
        <v>10936286.514705881</v>
      </c>
      <c r="K500" s="11">
        <f>YEAR(Table245[[#This Row],[Tanggal_Mulai]])</f>
        <v>2023</v>
      </c>
    </row>
    <row r="501" spans="1:11" ht="14.25" customHeight="1" x14ac:dyDescent="0.35">
      <c r="A501" s="8"/>
      <c r="B501" s="8"/>
      <c r="C501" s="8"/>
      <c r="D501" s="8"/>
      <c r="E501" s="9"/>
      <c r="F501" s="9"/>
      <c r="G501" s="10"/>
      <c r="H501" s="8"/>
    </row>
    <row r="502" spans="1:11" ht="14.25" customHeight="1" x14ac:dyDescent="0.35"/>
    <row r="503" spans="1:11" ht="14.25" customHeight="1" x14ac:dyDescent="0.35"/>
    <row r="504" spans="1:11" ht="14.25" customHeight="1" x14ac:dyDescent="0.35"/>
    <row r="505" spans="1:11" ht="14.25" customHeight="1" x14ac:dyDescent="0.35"/>
    <row r="506" spans="1:11" ht="14.25" customHeight="1" x14ac:dyDescent="0.35"/>
    <row r="507" spans="1:11" ht="14.25" customHeight="1" x14ac:dyDescent="0.35"/>
    <row r="508" spans="1:11" ht="14.25" customHeight="1" x14ac:dyDescent="0.35"/>
    <row r="509" spans="1:11" ht="14.25" customHeight="1" x14ac:dyDescent="0.35"/>
    <row r="510" spans="1:11" ht="14.25" customHeight="1" x14ac:dyDescent="0.35"/>
    <row r="511" spans="1:11" ht="14.25" customHeight="1" x14ac:dyDescent="0.35"/>
    <row r="512" spans="1:11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conditionalFormatting sqref="A1">
    <cfRule type="duplicateValues" dxfId="3" priority="3"/>
    <cfRule type="duplicateValues" dxfId="2" priority="4"/>
  </conditionalFormatting>
  <conditionalFormatting sqref="A2">
    <cfRule type="duplicateValues" dxfId="1" priority="2"/>
  </conditionalFormatting>
  <conditionalFormatting sqref="A2:A500">
    <cfRule type="duplicateValues" dxfId="0" priority="1"/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EFD7-0C0B-4504-8919-66606CE03EC0}">
  <dimension ref="B2:P35"/>
  <sheetViews>
    <sheetView topLeftCell="D1" zoomScale="85" zoomScaleNormal="85" workbookViewId="0">
      <selection activeCell="Q2" sqref="Q2"/>
    </sheetView>
  </sheetViews>
  <sheetFormatPr defaultRowHeight="14.5" x14ac:dyDescent="0.35"/>
  <cols>
    <col min="1" max="1" width="4.1796875" style="11" customWidth="1"/>
    <col min="2" max="2" width="15.1796875" style="11" bestFit="1" customWidth="1"/>
    <col min="3" max="3" width="19.453125" style="11" bestFit="1" customWidth="1"/>
    <col min="4" max="4" width="3.90625" style="11" customWidth="1"/>
    <col min="5" max="5" width="18.36328125" style="11" customWidth="1"/>
    <col min="6" max="6" width="27" style="11" customWidth="1"/>
    <col min="7" max="7" width="2.6328125" style="11" customWidth="1"/>
    <col min="8" max="8" width="16" style="11" customWidth="1"/>
    <col min="9" max="9" width="24.90625" style="11" customWidth="1"/>
    <col min="10" max="10" width="3" style="11" customWidth="1"/>
    <col min="11" max="11" width="29.453125" style="11" bestFit="1" customWidth="1"/>
    <col min="12" max="12" width="6.81640625" style="11" bestFit="1" customWidth="1"/>
    <col min="13" max="13" width="3.26953125" style="11" customWidth="1"/>
    <col min="14" max="14" width="29.453125" style="11" bestFit="1" customWidth="1"/>
    <col min="15" max="15" width="19.54296875" style="11" customWidth="1"/>
    <col min="16" max="16" width="6.1796875" style="11" customWidth="1"/>
    <col min="17" max="17" width="11.81640625" style="11" bestFit="1" customWidth="1"/>
    <col min="18" max="18" width="25.26953125" style="11" bestFit="1" customWidth="1"/>
    <col min="19" max="19" width="24.81640625" style="11" bestFit="1" customWidth="1"/>
    <col min="20" max="20" width="23.26953125" style="11" bestFit="1" customWidth="1"/>
    <col min="21" max="21" width="23.90625" style="11" bestFit="1" customWidth="1"/>
    <col min="22" max="22" width="26" style="11" bestFit="1" customWidth="1"/>
    <col min="23" max="23" width="23.7265625" style="11" bestFit="1" customWidth="1"/>
    <col min="24" max="24" width="25.6328125" style="11" bestFit="1" customWidth="1"/>
    <col min="25" max="25" width="26" style="11" bestFit="1" customWidth="1"/>
    <col min="26" max="26" width="23.81640625" style="11" bestFit="1" customWidth="1"/>
    <col min="27" max="27" width="23.453125" style="11" bestFit="1" customWidth="1"/>
    <col min="28" max="28" width="21.90625" style="11" bestFit="1" customWidth="1"/>
    <col min="29" max="29" width="22.54296875" style="11" bestFit="1" customWidth="1"/>
    <col min="30" max="30" width="24.54296875" style="11" bestFit="1" customWidth="1"/>
    <col min="31" max="31" width="22.36328125" style="11" bestFit="1" customWidth="1"/>
    <col min="32" max="32" width="24.1796875" style="11" bestFit="1" customWidth="1"/>
    <col min="33" max="33" width="24.54296875" style="11" bestFit="1" customWidth="1"/>
    <col min="34" max="34" width="34.81640625" style="11" bestFit="1" customWidth="1"/>
    <col min="35" max="35" width="34.453125" style="11" bestFit="1" customWidth="1"/>
    <col min="36" max="36" width="32.81640625" style="11" bestFit="1" customWidth="1"/>
    <col min="37" max="37" width="33.54296875" style="11" bestFit="1" customWidth="1"/>
    <col min="38" max="38" width="35.54296875" style="11" bestFit="1" customWidth="1"/>
    <col min="39" max="39" width="33.36328125" style="11" bestFit="1" customWidth="1"/>
    <col min="40" max="40" width="35.1796875" style="11" bestFit="1" customWidth="1"/>
    <col min="41" max="41" width="35.54296875" style="11" bestFit="1" customWidth="1"/>
    <col min="42" max="42" width="26.54296875" style="11" bestFit="1" customWidth="1"/>
    <col min="43" max="43" width="26.1796875" style="11" bestFit="1" customWidth="1"/>
    <col min="44" max="44" width="24.54296875" style="11" bestFit="1" customWidth="1"/>
    <col min="45" max="45" width="25.26953125" style="11" bestFit="1" customWidth="1"/>
    <col min="46" max="46" width="27.26953125" style="11" bestFit="1" customWidth="1"/>
    <col min="47" max="47" width="25" style="11" bestFit="1" customWidth="1"/>
    <col min="48" max="48" width="26.90625" style="11" bestFit="1" customWidth="1"/>
    <col min="49" max="49" width="27.26953125" style="11" bestFit="1" customWidth="1"/>
    <col min="50" max="50" width="26.08984375" style="11" bestFit="1" customWidth="1"/>
    <col min="51" max="51" width="25.7265625" style="11" bestFit="1" customWidth="1"/>
    <col min="52" max="52" width="24.08984375" style="11" bestFit="1" customWidth="1"/>
    <col min="53" max="53" width="24.7265625" style="11" bestFit="1" customWidth="1"/>
    <col min="54" max="54" width="26.81640625" style="11" bestFit="1" customWidth="1"/>
    <col min="55" max="55" width="24.54296875" style="11" bestFit="1" customWidth="1"/>
    <col min="56" max="56" width="26.453125" style="11" bestFit="1" customWidth="1"/>
    <col min="57" max="57" width="26.81640625" style="11" bestFit="1" customWidth="1"/>
    <col min="58" max="58" width="14" style="11" bestFit="1" customWidth="1"/>
    <col min="59" max="59" width="11.81640625" style="11" bestFit="1" customWidth="1"/>
    <col min="60" max="16384" width="8.7265625" style="11"/>
  </cols>
  <sheetData>
    <row r="2" spans="2:16" x14ac:dyDescent="0.35">
      <c r="B2" s="11" t="s">
        <v>655</v>
      </c>
      <c r="C2" s="11" t="s">
        <v>656</v>
      </c>
      <c r="E2" s="18" t="s">
        <v>660</v>
      </c>
      <c r="F2" s="11" t="s">
        <v>659</v>
      </c>
      <c r="H2" s="22" t="s">
        <v>660</v>
      </c>
      <c r="I2" t="s">
        <v>663</v>
      </c>
      <c r="J2"/>
      <c r="K2" s="22" t="s">
        <v>9</v>
      </c>
      <c r="L2" t="s">
        <v>667</v>
      </c>
      <c r="M2"/>
      <c r="N2" s="22" t="s">
        <v>9</v>
      </c>
      <c r="O2" t="s">
        <v>656</v>
      </c>
      <c r="P2"/>
    </row>
    <row r="3" spans="2:16" x14ac:dyDescent="0.35">
      <c r="B3" s="11">
        <v>499</v>
      </c>
      <c r="C3" s="19">
        <v>1358476943485</v>
      </c>
      <c r="E3" s="24" t="s">
        <v>35</v>
      </c>
      <c r="F3" s="40">
        <v>473629210.76923078</v>
      </c>
      <c r="H3" s="24" t="s">
        <v>12</v>
      </c>
      <c r="I3" s="25">
        <v>4736146.9930829005</v>
      </c>
      <c r="J3"/>
      <c r="K3" s="24" t="s">
        <v>50</v>
      </c>
      <c r="L3" s="31">
        <v>74</v>
      </c>
      <c r="M3"/>
      <c r="N3" s="24" t="s">
        <v>664</v>
      </c>
      <c r="O3" s="25">
        <v>118121895137</v>
      </c>
      <c r="P3"/>
    </row>
    <row r="4" spans="2:16" x14ac:dyDescent="0.35">
      <c r="E4" s="11" t="s">
        <v>12</v>
      </c>
      <c r="F4" s="39">
        <v>580803274.28282833</v>
      </c>
      <c r="H4" s="11" t="s">
        <v>35</v>
      </c>
      <c r="I4" s="23">
        <v>14367305.439874567</v>
      </c>
      <c r="J4"/>
      <c r="K4" s="11" t="s">
        <v>44</v>
      </c>
      <c r="L4">
        <v>72</v>
      </c>
      <c r="M4"/>
      <c r="N4" s="11" t="s">
        <v>67</v>
      </c>
      <c r="O4" s="23">
        <v>146967733639</v>
      </c>
      <c r="P4"/>
    </row>
    <row r="5" spans="2:16" x14ac:dyDescent="0.35">
      <c r="B5" s="22" t="s">
        <v>672</v>
      </c>
      <c r="C5" t="s">
        <v>673</v>
      </c>
      <c r="E5" s="11" t="s">
        <v>60</v>
      </c>
      <c r="F5" s="39">
        <v>3358492538.8333335</v>
      </c>
      <c r="H5" s="11" t="s">
        <v>30</v>
      </c>
      <c r="I5" s="23">
        <v>30351443.556494616</v>
      </c>
      <c r="J5"/>
      <c r="K5" s="11" t="s">
        <v>665</v>
      </c>
      <c r="L5">
        <v>69</v>
      </c>
      <c r="M5"/>
      <c r="N5" s="11" t="s">
        <v>33</v>
      </c>
      <c r="O5" s="23">
        <v>155119234081</v>
      </c>
      <c r="P5"/>
    </row>
    <row r="6" spans="2:16" x14ac:dyDescent="0.35">
      <c r="B6" s="11">
        <v>2023</v>
      </c>
      <c r="C6">
        <v>479</v>
      </c>
      <c r="E6" s="11" t="s">
        <v>30</v>
      </c>
      <c r="F6" s="39">
        <v>3710010998.0427351</v>
      </c>
      <c r="H6" s="11" t="s">
        <v>18</v>
      </c>
      <c r="I6" s="23">
        <v>46407666.172510467</v>
      </c>
      <c r="J6"/>
      <c r="K6" s="11" t="s">
        <v>67</v>
      </c>
      <c r="L6">
        <v>63</v>
      </c>
      <c r="M6"/>
      <c r="N6" s="11" t="s">
        <v>44</v>
      </c>
      <c r="O6" s="23">
        <v>169592168850</v>
      </c>
      <c r="P6"/>
    </row>
    <row r="7" spans="2:16" x14ac:dyDescent="0.35">
      <c r="B7" s="11">
        <v>2024</v>
      </c>
      <c r="C7">
        <v>20</v>
      </c>
      <c r="E7" s="26" t="s">
        <v>18</v>
      </c>
      <c r="F7" s="41">
        <v>5150436798.5858583</v>
      </c>
      <c r="H7" s="26" t="s">
        <v>60</v>
      </c>
      <c r="I7" s="27">
        <v>67651360.841943055</v>
      </c>
      <c r="J7"/>
      <c r="K7" s="11" t="s">
        <v>661</v>
      </c>
      <c r="L7">
        <v>62</v>
      </c>
      <c r="M7"/>
      <c r="N7" s="11" t="s">
        <v>21</v>
      </c>
      <c r="O7" s="23">
        <v>176200650980</v>
      </c>
      <c r="P7"/>
    </row>
    <row r="8" spans="2:16" x14ac:dyDescent="0.35">
      <c r="B8" s="11" t="s">
        <v>666</v>
      </c>
      <c r="C8">
        <v>499</v>
      </c>
      <c r="E8" s="11" t="s">
        <v>662</v>
      </c>
      <c r="F8" s="39">
        <v>2715380323.9112902</v>
      </c>
      <c r="H8" s="11" t="s">
        <v>662</v>
      </c>
      <c r="I8" s="23">
        <v>32279039.657877173</v>
      </c>
      <c r="J8"/>
      <c r="K8" s="11" t="s">
        <v>21</v>
      </c>
      <c r="L8">
        <v>55</v>
      </c>
      <c r="M8"/>
      <c r="N8" s="11" t="s">
        <v>661</v>
      </c>
      <c r="O8" s="23">
        <v>181220528843</v>
      </c>
      <c r="P8"/>
    </row>
    <row r="9" spans="2:16" x14ac:dyDescent="0.35">
      <c r="H9"/>
      <c r="I9"/>
      <c r="J9"/>
      <c r="K9" s="11" t="s">
        <v>33</v>
      </c>
      <c r="L9">
        <v>54</v>
      </c>
      <c r="M9"/>
      <c r="N9" s="11" t="s">
        <v>50</v>
      </c>
      <c r="O9" s="23">
        <v>192547055750</v>
      </c>
      <c r="P9"/>
    </row>
    <row r="10" spans="2:16" x14ac:dyDescent="0.35">
      <c r="B10" s="22" t="s">
        <v>669</v>
      </c>
      <c r="C10" t="s">
        <v>668</v>
      </c>
      <c r="E10" s="21" t="s">
        <v>660</v>
      </c>
      <c r="F10" s="20" t="s">
        <v>658</v>
      </c>
      <c r="G10"/>
      <c r="J10"/>
      <c r="K10" s="26" t="s">
        <v>664</v>
      </c>
      <c r="L10" s="30">
        <v>50</v>
      </c>
      <c r="M10"/>
      <c r="N10" s="26" t="s">
        <v>665</v>
      </c>
      <c r="O10" s="27">
        <v>218707676205</v>
      </c>
      <c r="P10"/>
    </row>
    <row r="11" spans="2:16" x14ac:dyDescent="0.35">
      <c r="B11" s="37" t="s">
        <v>661</v>
      </c>
      <c r="C11" s="38">
        <v>8687390051</v>
      </c>
      <c r="E11" s="29" t="s">
        <v>35</v>
      </c>
      <c r="F11" s="43">
        <v>179.90109890109889</v>
      </c>
      <c r="G11"/>
      <c r="J11"/>
      <c r="K11" s="11" t="s">
        <v>666</v>
      </c>
      <c r="L11">
        <v>499</v>
      </c>
      <c r="M11"/>
      <c r="N11" s="11" t="s">
        <v>666</v>
      </c>
      <c r="O11" s="23">
        <v>1358476943485</v>
      </c>
      <c r="P11"/>
    </row>
    <row r="12" spans="2:16" x14ac:dyDescent="0.35">
      <c r="B12" s="24" t="s">
        <v>13</v>
      </c>
      <c r="C12" s="25">
        <v>139184649664</v>
      </c>
      <c r="E12" s="20" t="s">
        <v>30</v>
      </c>
      <c r="F12" s="42">
        <v>186.71794871794873</v>
      </c>
      <c r="G12"/>
      <c r="J12"/>
      <c r="K12"/>
      <c r="L12"/>
      <c r="M12"/>
      <c r="N12"/>
      <c r="O12"/>
      <c r="P12"/>
    </row>
    <row r="13" spans="2:16" x14ac:dyDescent="0.35">
      <c r="B13" s="35" t="s">
        <v>48</v>
      </c>
      <c r="C13" s="36">
        <v>139695846739</v>
      </c>
      <c r="E13" s="20" t="s">
        <v>12</v>
      </c>
      <c r="F13" s="42">
        <v>193.8989898989899</v>
      </c>
      <c r="G13"/>
      <c r="J13"/>
      <c r="K13"/>
      <c r="L13"/>
      <c r="M13"/>
      <c r="N13" s="22" t="s">
        <v>9</v>
      </c>
      <c r="O13" t="s">
        <v>671</v>
      </c>
      <c r="P13"/>
    </row>
    <row r="14" spans="2:16" x14ac:dyDescent="0.35">
      <c r="B14" s="11" t="s">
        <v>19</v>
      </c>
      <c r="C14" s="23">
        <v>147951031980</v>
      </c>
      <c r="E14" s="20" t="s">
        <v>18</v>
      </c>
      <c r="F14" s="42">
        <v>199.65656565656565</v>
      </c>
      <c r="G14"/>
      <c r="J14"/>
      <c r="K14"/>
      <c r="L14"/>
      <c r="M14"/>
      <c r="N14" s="24" t="s">
        <v>664</v>
      </c>
      <c r="O14" s="33">
        <v>1032373009.0041852</v>
      </c>
      <c r="P14"/>
    </row>
    <row r="15" spans="2:16" x14ac:dyDescent="0.35">
      <c r="B15" s="11" t="s">
        <v>42</v>
      </c>
      <c r="C15" s="23">
        <v>161436571715</v>
      </c>
      <c r="E15" s="28" t="s">
        <v>60</v>
      </c>
      <c r="F15" s="44">
        <v>213.57777777777778</v>
      </c>
      <c r="G15"/>
      <c r="J15"/>
      <c r="K15"/>
      <c r="L15"/>
      <c r="M15"/>
      <c r="N15" s="11" t="s">
        <v>33</v>
      </c>
      <c r="O15" s="32">
        <v>1061061961.2981596</v>
      </c>
      <c r="P15"/>
    </row>
    <row r="16" spans="2:16" x14ac:dyDescent="0.35">
      <c r="B16" s="11" t="s">
        <v>24</v>
      </c>
      <c r="C16" s="23">
        <v>166951456566</v>
      </c>
      <c r="E16" s="20" t="s">
        <v>657</v>
      </c>
      <c r="F16" s="42">
        <v>194.35685483870967</v>
      </c>
      <c r="G16"/>
      <c r="J16"/>
      <c r="K16"/>
      <c r="L16"/>
      <c r="M16"/>
      <c r="N16" s="11" t="s">
        <v>21</v>
      </c>
      <c r="O16" s="32">
        <v>1077019193.3920217</v>
      </c>
      <c r="P16"/>
    </row>
    <row r="17" spans="2:16" x14ac:dyDescent="0.35">
      <c r="B17" s="11" t="s">
        <v>39</v>
      </c>
      <c r="C17" s="23">
        <v>193046665737</v>
      </c>
      <c r="G17"/>
      <c r="H17"/>
      <c r="I17"/>
      <c r="J17"/>
      <c r="K17"/>
      <c r="L17"/>
      <c r="M17"/>
      <c r="N17" s="11" t="s">
        <v>67</v>
      </c>
      <c r="O17" s="32">
        <v>1921950554.0855703</v>
      </c>
      <c r="P17"/>
    </row>
    <row r="18" spans="2:16" x14ac:dyDescent="0.35">
      <c r="B18" s="11" t="s">
        <v>36</v>
      </c>
      <c r="C18" s="23">
        <v>200022505496</v>
      </c>
      <c r="G18"/>
      <c r="J18"/>
      <c r="K18"/>
      <c r="L18"/>
      <c r="M18"/>
      <c r="N18" s="11" t="s">
        <v>44</v>
      </c>
      <c r="O18" s="32">
        <v>1960289359.6779747</v>
      </c>
      <c r="P18"/>
    </row>
    <row r="19" spans="2:16" x14ac:dyDescent="0.35">
      <c r="B19" s="26" t="s">
        <v>31</v>
      </c>
      <c r="C19" s="27">
        <v>201500825537</v>
      </c>
      <c r="G19"/>
      <c r="J19"/>
      <c r="K19"/>
      <c r="L19"/>
      <c r="M19"/>
      <c r="N19" s="11" t="s">
        <v>665</v>
      </c>
      <c r="O19" s="32">
        <v>2168991927.3873162</v>
      </c>
      <c r="P19"/>
    </row>
    <row r="20" spans="2:16" x14ac:dyDescent="0.35">
      <c r="B20" s="11" t="s">
        <v>656</v>
      </c>
      <c r="C20" s="23">
        <v>1358476943485</v>
      </c>
      <c r="E20"/>
      <c r="F20"/>
      <c r="G20"/>
      <c r="J20"/>
      <c r="N20" s="26" t="s">
        <v>50</v>
      </c>
      <c r="O20" s="34">
        <v>5690374034.1326313</v>
      </c>
      <c r="P20"/>
    </row>
    <row r="21" spans="2:16" x14ac:dyDescent="0.35">
      <c r="E21"/>
      <c r="F21"/>
      <c r="G21"/>
      <c r="J21"/>
      <c r="N21"/>
      <c r="O21"/>
      <c r="P21"/>
    </row>
    <row r="22" spans="2:16" x14ac:dyDescent="0.35">
      <c r="E22"/>
      <c r="F22"/>
      <c r="G22"/>
      <c r="H22"/>
      <c r="I22"/>
      <c r="J22"/>
      <c r="N22"/>
      <c r="O22"/>
      <c r="P22"/>
    </row>
    <row r="23" spans="2:16" x14ac:dyDescent="0.35">
      <c r="E23"/>
      <c r="F23"/>
      <c r="G23"/>
      <c r="H23"/>
      <c r="I23"/>
      <c r="J23"/>
      <c r="N23"/>
      <c r="O23"/>
      <c r="P23"/>
    </row>
    <row r="24" spans="2:16" x14ac:dyDescent="0.35">
      <c r="E24"/>
      <c r="F24"/>
      <c r="G24"/>
      <c r="H24"/>
      <c r="I24"/>
      <c r="J24"/>
      <c r="N24"/>
      <c r="O24"/>
      <c r="P24"/>
    </row>
    <row r="25" spans="2:16" x14ac:dyDescent="0.35">
      <c r="E25"/>
      <c r="F25"/>
      <c r="G25"/>
      <c r="H25"/>
      <c r="I25"/>
      <c r="J25"/>
      <c r="N25"/>
      <c r="O25"/>
      <c r="P25"/>
    </row>
    <row r="26" spans="2:16" x14ac:dyDescent="0.35">
      <c r="E26"/>
      <c r="F26"/>
      <c r="G26"/>
      <c r="H26"/>
      <c r="I26"/>
      <c r="J26"/>
      <c r="N26"/>
      <c r="O26"/>
      <c r="P26"/>
    </row>
    <row r="27" spans="2:16" x14ac:dyDescent="0.35">
      <c r="E27"/>
      <c r="F27"/>
      <c r="G27"/>
      <c r="H27"/>
      <c r="I27"/>
      <c r="J27"/>
      <c r="N27"/>
      <c r="O27"/>
      <c r="P27"/>
    </row>
    <row r="28" spans="2:16" x14ac:dyDescent="0.35">
      <c r="H28"/>
      <c r="I28"/>
      <c r="J28"/>
      <c r="N28"/>
      <c r="O28"/>
      <c r="P28"/>
    </row>
    <row r="29" spans="2:16" x14ac:dyDescent="0.35">
      <c r="H29"/>
      <c r="I29"/>
      <c r="J29"/>
      <c r="N29"/>
      <c r="O29"/>
      <c r="P29"/>
    </row>
    <row r="30" spans="2:16" x14ac:dyDescent="0.35">
      <c r="H30"/>
      <c r="I30"/>
      <c r="J30"/>
      <c r="N30"/>
      <c r="O30"/>
      <c r="P30"/>
    </row>
    <row r="31" spans="2:16" x14ac:dyDescent="0.35">
      <c r="H31"/>
      <c r="I31"/>
      <c r="J31"/>
    </row>
    <row r="32" spans="2:16" x14ac:dyDescent="0.35">
      <c r="H32"/>
      <c r="I32"/>
      <c r="J32"/>
    </row>
    <row r="33" spans="8:10" x14ac:dyDescent="0.35">
      <c r="H33"/>
      <c r="I33"/>
      <c r="J33"/>
    </row>
    <row r="34" spans="8:10" x14ac:dyDescent="0.35">
      <c r="H34"/>
      <c r="I34"/>
      <c r="J34"/>
    </row>
    <row r="35" spans="8:10" x14ac:dyDescent="0.35">
      <c r="H35"/>
      <c r="I35"/>
      <c r="J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5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.453125" customWidth="1"/>
  </cols>
  <sheetData>
    <row r="1" spans="1:1" x14ac:dyDescent="0.35">
      <c r="A1" s="1" t="s">
        <v>0</v>
      </c>
    </row>
    <row r="2" spans="1:1" x14ac:dyDescent="0.35">
      <c r="A2" s="2" t="s">
        <v>11</v>
      </c>
    </row>
    <row r="3" spans="1:1" x14ac:dyDescent="0.35">
      <c r="A3" s="2" t="s">
        <v>574</v>
      </c>
    </row>
    <row r="4" spans="1:1" x14ac:dyDescent="0.35">
      <c r="A4" s="2" t="s">
        <v>17</v>
      </c>
    </row>
    <row r="5" spans="1:1" x14ac:dyDescent="0.35">
      <c r="A5" s="2" t="s">
        <v>576</v>
      </c>
    </row>
    <row r="6" spans="1:1" x14ac:dyDescent="0.35">
      <c r="A6" s="2" t="s">
        <v>23</v>
      </c>
    </row>
    <row r="7" spans="1:1" x14ac:dyDescent="0.35">
      <c r="A7" s="2" t="s">
        <v>579</v>
      </c>
    </row>
    <row r="8" spans="1:1" x14ac:dyDescent="0.35">
      <c r="A8" s="2" t="s">
        <v>27</v>
      </c>
    </row>
    <row r="9" spans="1:1" x14ac:dyDescent="0.35">
      <c r="A9" s="2" t="s">
        <v>583</v>
      </c>
    </row>
    <row r="10" spans="1:1" x14ac:dyDescent="0.35">
      <c r="A10" s="2" t="s">
        <v>29</v>
      </c>
    </row>
    <row r="11" spans="1:1" x14ac:dyDescent="0.35">
      <c r="A11" s="2" t="s">
        <v>584</v>
      </c>
    </row>
    <row r="12" spans="1:1" x14ac:dyDescent="0.35">
      <c r="A12" s="2" t="s">
        <v>34</v>
      </c>
    </row>
    <row r="13" spans="1:1" x14ac:dyDescent="0.35">
      <c r="A13" s="2" t="s">
        <v>586</v>
      </c>
    </row>
    <row r="14" spans="1:1" x14ac:dyDescent="0.35">
      <c r="A14" s="2" t="s">
        <v>38</v>
      </c>
    </row>
    <row r="15" spans="1:1" x14ac:dyDescent="0.35">
      <c r="A15" s="2" t="s">
        <v>588</v>
      </c>
    </row>
    <row r="16" spans="1:1" x14ac:dyDescent="0.35">
      <c r="A16" s="2" t="s">
        <v>41</v>
      </c>
    </row>
    <row r="17" spans="1:1" x14ac:dyDescent="0.35">
      <c r="A17" s="2" t="s">
        <v>589</v>
      </c>
    </row>
    <row r="18" spans="1:1" x14ac:dyDescent="0.35">
      <c r="A18" s="2" t="s">
        <v>45</v>
      </c>
    </row>
    <row r="19" spans="1:1" x14ac:dyDescent="0.35">
      <c r="A19" s="2" t="s">
        <v>592</v>
      </c>
    </row>
    <row r="20" spans="1:1" x14ac:dyDescent="0.35">
      <c r="A20" s="2" t="s">
        <v>47</v>
      </c>
    </row>
    <row r="21" spans="1:1" x14ac:dyDescent="0.35">
      <c r="A21" s="2" t="s">
        <v>594</v>
      </c>
    </row>
    <row r="22" spans="1:1" x14ac:dyDescent="0.35">
      <c r="A22" s="2" t="s">
        <v>51</v>
      </c>
    </row>
    <row r="23" spans="1:1" x14ac:dyDescent="0.35">
      <c r="A23" s="2" t="s">
        <v>596</v>
      </c>
    </row>
    <row r="24" spans="1:1" x14ac:dyDescent="0.35">
      <c r="A24" s="2" t="s">
        <v>52</v>
      </c>
    </row>
    <row r="25" spans="1:1" x14ac:dyDescent="0.35">
      <c r="A25" s="2" t="s">
        <v>598</v>
      </c>
    </row>
    <row r="26" spans="1:1" x14ac:dyDescent="0.35">
      <c r="A26" s="2" t="s">
        <v>54</v>
      </c>
    </row>
    <row r="27" spans="1:1" x14ac:dyDescent="0.35">
      <c r="A27" s="2" t="s">
        <v>600</v>
      </c>
    </row>
    <row r="28" spans="1:1" x14ac:dyDescent="0.35">
      <c r="A28" s="2" t="s">
        <v>55</v>
      </c>
    </row>
    <row r="29" spans="1:1" x14ac:dyDescent="0.35">
      <c r="A29" s="2" t="s">
        <v>601</v>
      </c>
    </row>
    <row r="30" spans="1:1" x14ac:dyDescent="0.35">
      <c r="A30" s="2" t="s">
        <v>57</v>
      </c>
    </row>
    <row r="31" spans="1:1" x14ac:dyDescent="0.35">
      <c r="A31" s="2" t="s">
        <v>604</v>
      </c>
    </row>
    <row r="32" spans="1:1" x14ac:dyDescent="0.35">
      <c r="A32" s="2" t="s">
        <v>59</v>
      </c>
    </row>
    <row r="33" spans="1:1" x14ac:dyDescent="0.35">
      <c r="A33" s="2" t="s">
        <v>606</v>
      </c>
    </row>
    <row r="34" spans="1:1" x14ac:dyDescent="0.35">
      <c r="A34" s="2" t="s">
        <v>62</v>
      </c>
    </row>
    <row r="35" spans="1:1" x14ac:dyDescent="0.35">
      <c r="A35" s="2" t="s">
        <v>607</v>
      </c>
    </row>
    <row r="36" spans="1:1" x14ac:dyDescent="0.35">
      <c r="A36" s="2" t="s">
        <v>64</v>
      </c>
    </row>
    <row r="37" spans="1:1" x14ac:dyDescent="0.35">
      <c r="A37" s="2" t="s">
        <v>608</v>
      </c>
    </row>
    <row r="38" spans="1:1" x14ac:dyDescent="0.35">
      <c r="A38" s="2" t="s">
        <v>65</v>
      </c>
    </row>
    <row r="39" spans="1:1" x14ac:dyDescent="0.35">
      <c r="A39" s="2" t="s">
        <v>609</v>
      </c>
    </row>
    <row r="40" spans="1:1" x14ac:dyDescent="0.35">
      <c r="A40" s="2" t="s">
        <v>68</v>
      </c>
    </row>
    <row r="41" spans="1:1" x14ac:dyDescent="0.35">
      <c r="A41" s="2" t="s">
        <v>611</v>
      </c>
    </row>
    <row r="42" spans="1:1" x14ac:dyDescent="0.35">
      <c r="A42" s="2" t="s">
        <v>70</v>
      </c>
    </row>
    <row r="43" spans="1:1" x14ac:dyDescent="0.35">
      <c r="A43" s="2" t="s">
        <v>72</v>
      </c>
    </row>
    <row r="44" spans="1:1" x14ac:dyDescent="0.35">
      <c r="A44" s="2" t="s">
        <v>73</v>
      </c>
    </row>
    <row r="45" spans="1:1" x14ac:dyDescent="0.35">
      <c r="A45" s="2" t="s">
        <v>75</v>
      </c>
    </row>
    <row r="46" spans="1:1" x14ac:dyDescent="0.35">
      <c r="A46" s="2" t="s">
        <v>76</v>
      </c>
    </row>
    <row r="47" spans="1:1" x14ac:dyDescent="0.35">
      <c r="A47" s="2" t="s">
        <v>77</v>
      </c>
    </row>
    <row r="48" spans="1:1" x14ac:dyDescent="0.35">
      <c r="A48" s="2" t="s">
        <v>79</v>
      </c>
    </row>
    <row r="49" spans="1:1" x14ac:dyDescent="0.35">
      <c r="A49" s="2" t="s">
        <v>81</v>
      </c>
    </row>
    <row r="50" spans="1:1" x14ac:dyDescent="0.35">
      <c r="A50" s="2" t="s">
        <v>82</v>
      </c>
    </row>
    <row r="51" spans="1:1" x14ac:dyDescent="0.35">
      <c r="A51" s="2" t="s">
        <v>84</v>
      </c>
    </row>
    <row r="52" spans="1:1" x14ac:dyDescent="0.35">
      <c r="A52" s="2" t="s">
        <v>86</v>
      </c>
    </row>
    <row r="53" spans="1:1" x14ac:dyDescent="0.35">
      <c r="A53" s="2" t="s">
        <v>88</v>
      </c>
    </row>
    <row r="54" spans="1:1" x14ac:dyDescent="0.35">
      <c r="A54" s="2" t="s">
        <v>89</v>
      </c>
    </row>
    <row r="55" spans="1:1" x14ac:dyDescent="0.35">
      <c r="A55" s="2" t="s">
        <v>90</v>
      </c>
    </row>
    <row r="56" spans="1:1" x14ac:dyDescent="0.35">
      <c r="A56" s="2" t="s">
        <v>92</v>
      </c>
    </row>
    <row r="57" spans="1:1" x14ac:dyDescent="0.35">
      <c r="A57" s="2" t="s">
        <v>94</v>
      </c>
    </row>
    <row r="58" spans="1:1" x14ac:dyDescent="0.35">
      <c r="A58" s="2" t="s">
        <v>96</v>
      </c>
    </row>
    <row r="59" spans="1:1" x14ac:dyDescent="0.35">
      <c r="A59" s="2" t="s">
        <v>98</v>
      </c>
    </row>
    <row r="60" spans="1:1" x14ac:dyDescent="0.35">
      <c r="A60" s="2" t="s">
        <v>99</v>
      </c>
    </row>
    <row r="61" spans="1:1" x14ac:dyDescent="0.35">
      <c r="A61" s="2" t="s">
        <v>100</v>
      </c>
    </row>
    <row r="62" spans="1:1" x14ac:dyDescent="0.35">
      <c r="A62" s="2" t="s">
        <v>102</v>
      </c>
    </row>
    <row r="63" spans="1:1" x14ac:dyDescent="0.35">
      <c r="A63" s="2" t="s">
        <v>103</v>
      </c>
    </row>
    <row r="64" spans="1:1" x14ac:dyDescent="0.35">
      <c r="A64" s="2" t="s">
        <v>104</v>
      </c>
    </row>
    <row r="65" spans="1:1" x14ac:dyDescent="0.35">
      <c r="A65" s="2" t="s">
        <v>105</v>
      </c>
    </row>
    <row r="66" spans="1:1" x14ac:dyDescent="0.35">
      <c r="A66" s="2" t="s">
        <v>106</v>
      </c>
    </row>
    <row r="67" spans="1:1" x14ac:dyDescent="0.35">
      <c r="A67" s="2" t="s">
        <v>107</v>
      </c>
    </row>
    <row r="68" spans="1:1" x14ac:dyDescent="0.35">
      <c r="A68" s="2" t="s">
        <v>108</v>
      </c>
    </row>
    <row r="69" spans="1:1" x14ac:dyDescent="0.35">
      <c r="A69" s="2" t="s">
        <v>109</v>
      </c>
    </row>
    <row r="70" spans="1:1" x14ac:dyDescent="0.35">
      <c r="A70" s="2" t="s">
        <v>110</v>
      </c>
    </row>
    <row r="71" spans="1:1" x14ac:dyDescent="0.35">
      <c r="A71" s="2" t="s">
        <v>112</v>
      </c>
    </row>
    <row r="72" spans="1:1" x14ac:dyDescent="0.35">
      <c r="A72" s="2" t="s">
        <v>113</v>
      </c>
    </row>
    <row r="73" spans="1:1" x14ac:dyDescent="0.35">
      <c r="A73" s="2" t="s">
        <v>114</v>
      </c>
    </row>
    <row r="74" spans="1:1" x14ac:dyDescent="0.35">
      <c r="A74" s="2" t="s">
        <v>115</v>
      </c>
    </row>
    <row r="75" spans="1:1" x14ac:dyDescent="0.35">
      <c r="A75" s="2" t="s">
        <v>116</v>
      </c>
    </row>
    <row r="76" spans="1:1" x14ac:dyDescent="0.35">
      <c r="A76" s="2" t="s">
        <v>117</v>
      </c>
    </row>
    <row r="77" spans="1:1" x14ac:dyDescent="0.35">
      <c r="A77" s="2" t="s">
        <v>118</v>
      </c>
    </row>
    <row r="78" spans="1:1" x14ac:dyDescent="0.35">
      <c r="A78" s="2" t="s">
        <v>119</v>
      </c>
    </row>
    <row r="79" spans="1:1" x14ac:dyDescent="0.35">
      <c r="A79" s="2" t="s">
        <v>120</v>
      </c>
    </row>
    <row r="80" spans="1:1" x14ac:dyDescent="0.35">
      <c r="A80" s="2" t="s">
        <v>122</v>
      </c>
    </row>
    <row r="81" spans="1:1" x14ac:dyDescent="0.35">
      <c r="A81" s="2" t="s">
        <v>123</v>
      </c>
    </row>
    <row r="82" spans="1:1" x14ac:dyDescent="0.35">
      <c r="A82" s="2" t="s">
        <v>124</v>
      </c>
    </row>
    <row r="83" spans="1:1" x14ac:dyDescent="0.35">
      <c r="A83" s="2" t="s">
        <v>125</v>
      </c>
    </row>
    <row r="84" spans="1:1" x14ac:dyDescent="0.35">
      <c r="A84" s="2" t="s">
        <v>126</v>
      </c>
    </row>
    <row r="85" spans="1:1" x14ac:dyDescent="0.35">
      <c r="A85" s="2" t="s">
        <v>127</v>
      </c>
    </row>
    <row r="86" spans="1:1" x14ac:dyDescent="0.35">
      <c r="A86" s="2" t="s">
        <v>128</v>
      </c>
    </row>
    <row r="87" spans="1:1" x14ac:dyDescent="0.35">
      <c r="A87" s="2" t="s">
        <v>129</v>
      </c>
    </row>
    <row r="88" spans="1:1" x14ac:dyDescent="0.35">
      <c r="A88" s="2" t="s">
        <v>130</v>
      </c>
    </row>
    <row r="89" spans="1:1" x14ac:dyDescent="0.35">
      <c r="A89" s="2" t="s">
        <v>131</v>
      </c>
    </row>
    <row r="90" spans="1:1" x14ac:dyDescent="0.35">
      <c r="A90" s="2" t="s">
        <v>132</v>
      </c>
    </row>
    <row r="91" spans="1:1" x14ac:dyDescent="0.35">
      <c r="A91" s="2" t="s">
        <v>134</v>
      </c>
    </row>
    <row r="92" spans="1:1" x14ac:dyDescent="0.35">
      <c r="A92" s="2" t="s">
        <v>136</v>
      </c>
    </row>
    <row r="93" spans="1:1" x14ac:dyDescent="0.35">
      <c r="A93" s="2" t="s">
        <v>137</v>
      </c>
    </row>
    <row r="94" spans="1:1" x14ac:dyDescent="0.35">
      <c r="A94" s="2" t="s">
        <v>138</v>
      </c>
    </row>
    <row r="95" spans="1:1" x14ac:dyDescent="0.35">
      <c r="A95" s="2" t="s">
        <v>139</v>
      </c>
    </row>
    <row r="96" spans="1:1" x14ac:dyDescent="0.35">
      <c r="A96" s="2" t="s">
        <v>140</v>
      </c>
    </row>
    <row r="97" spans="1:1" x14ac:dyDescent="0.35">
      <c r="A97" s="2" t="s">
        <v>141</v>
      </c>
    </row>
    <row r="98" spans="1:1" x14ac:dyDescent="0.35">
      <c r="A98" s="2" t="s">
        <v>142</v>
      </c>
    </row>
    <row r="99" spans="1:1" x14ac:dyDescent="0.35">
      <c r="A99" s="2" t="s">
        <v>144</v>
      </c>
    </row>
    <row r="100" spans="1:1" x14ac:dyDescent="0.35">
      <c r="A100" s="2" t="s">
        <v>146</v>
      </c>
    </row>
    <row r="101" spans="1:1" x14ac:dyDescent="0.35">
      <c r="A101" s="2" t="s">
        <v>147</v>
      </c>
    </row>
    <row r="102" spans="1:1" x14ac:dyDescent="0.35">
      <c r="A102" s="2" t="s">
        <v>148</v>
      </c>
    </row>
    <row r="103" spans="1:1" x14ac:dyDescent="0.35">
      <c r="A103" s="2" t="s">
        <v>149</v>
      </c>
    </row>
    <row r="104" spans="1:1" x14ac:dyDescent="0.35">
      <c r="A104" s="2" t="s">
        <v>150</v>
      </c>
    </row>
    <row r="105" spans="1:1" x14ac:dyDescent="0.35">
      <c r="A105" s="2" t="s">
        <v>151</v>
      </c>
    </row>
    <row r="106" spans="1:1" x14ac:dyDescent="0.35">
      <c r="A106" s="2" t="s">
        <v>152</v>
      </c>
    </row>
    <row r="107" spans="1:1" x14ac:dyDescent="0.35">
      <c r="A107" s="2" t="s">
        <v>153</v>
      </c>
    </row>
    <row r="108" spans="1:1" x14ac:dyDescent="0.35">
      <c r="A108" s="2" t="s">
        <v>155</v>
      </c>
    </row>
    <row r="109" spans="1:1" x14ac:dyDescent="0.35">
      <c r="A109" s="2" t="s">
        <v>156</v>
      </c>
    </row>
    <row r="110" spans="1:1" x14ac:dyDescent="0.35">
      <c r="A110" s="2" t="s">
        <v>157</v>
      </c>
    </row>
    <row r="111" spans="1:1" x14ac:dyDescent="0.35">
      <c r="A111" s="2" t="s">
        <v>158</v>
      </c>
    </row>
    <row r="112" spans="1:1" x14ac:dyDescent="0.35">
      <c r="A112" s="2" t="s">
        <v>159</v>
      </c>
    </row>
    <row r="113" spans="1:1" x14ac:dyDescent="0.35">
      <c r="A113" s="2" t="s">
        <v>161</v>
      </c>
    </row>
    <row r="114" spans="1:1" x14ac:dyDescent="0.35">
      <c r="A114" s="2" t="s">
        <v>162</v>
      </c>
    </row>
    <row r="115" spans="1:1" x14ac:dyDescent="0.35">
      <c r="A115" s="2" t="s">
        <v>163</v>
      </c>
    </row>
    <row r="116" spans="1:1" x14ac:dyDescent="0.35">
      <c r="A116" s="2" t="s">
        <v>164</v>
      </c>
    </row>
    <row r="117" spans="1:1" x14ac:dyDescent="0.35">
      <c r="A117" s="2" t="s">
        <v>165</v>
      </c>
    </row>
    <row r="118" spans="1:1" x14ac:dyDescent="0.35">
      <c r="A118" s="2" t="s">
        <v>166</v>
      </c>
    </row>
    <row r="119" spans="1:1" x14ac:dyDescent="0.35">
      <c r="A119" s="2" t="s">
        <v>167</v>
      </c>
    </row>
    <row r="120" spans="1:1" x14ac:dyDescent="0.35">
      <c r="A120" s="2" t="s">
        <v>168</v>
      </c>
    </row>
    <row r="121" spans="1:1" x14ac:dyDescent="0.35">
      <c r="A121" s="2" t="s">
        <v>169</v>
      </c>
    </row>
    <row r="122" spans="1:1" x14ac:dyDescent="0.35">
      <c r="A122" s="2" t="s">
        <v>170</v>
      </c>
    </row>
    <row r="123" spans="1:1" x14ac:dyDescent="0.35">
      <c r="A123" s="2" t="s">
        <v>172</v>
      </c>
    </row>
    <row r="124" spans="1:1" x14ac:dyDescent="0.35">
      <c r="A124" s="2" t="s">
        <v>173</v>
      </c>
    </row>
    <row r="125" spans="1:1" x14ac:dyDescent="0.35">
      <c r="A125" s="2" t="s">
        <v>174</v>
      </c>
    </row>
    <row r="126" spans="1:1" x14ac:dyDescent="0.35">
      <c r="A126" s="2" t="s">
        <v>175</v>
      </c>
    </row>
    <row r="127" spans="1:1" x14ac:dyDescent="0.35">
      <c r="A127" s="2" t="s">
        <v>176</v>
      </c>
    </row>
    <row r="128" spans="1:1" x14ac:dyDescent="0.35">
      <c r="A128" s="2" t="s">
        <v>177</v>
      </c>
    </row>
    <row r="129" spans="1:1" x14ac:dyDescent="0.35">
      <c r="A129" s="2" t="s">
        <v>178</v>
      </c>
    </row>
    <row r="130" spans="1:1" x14ac:dyDescent="0.35">
      <c r="A130" s="2" t="s">
        <v>179</v>
      </c>
    </row>
    <row r="131" spans="1:1" x14ac:dyDescent="0.35">
      <c r="A131" s="2" t="s">
        <v>180</v>
      </c>
    </row>
    <row r="132" spans="1:1" x14ac:dyDescent="0.35">
      <c r="A132" s="2" t="s">
        <v>181</v>
      </c>
    </row>
    <row r="133" spans="1:1" x14ac:dyDescent="0.35">
      <c r="A133" s="2" t="s">
        <v>183</v>
      </c>
    </row>
    <row r="134" spans="1:1" x14ac:dyDescent="0.35">
      <c r="A134" s="2" t="s">
        <v>184</v>
      </c>
    </row>
    <row r="135" spans="1:1" x14ac:dyDescent="0.35">
      <c r="A135" s="2" t="s">
        <v>186</v>
      </c>
    </row>
    <row r="136" spans="1:1" x14ac:dyDescent="0.35">
      <c r="A136" s="2" t="s">
        <v>187</v>
      </c>
    </row>
    <row r="137" spans="1:1" x14ac:dyDescent="0.35">
      <c r="A137" s="2" t="s">
        <v>188</v>
      </c>
    </row>
    <row r="138" spans="1:1" x14ac:dyDescent="0.35">
      <c r="A138" s="2" t="s">
        <v>189</v>
      </c>
    </row>
    <row r="139" spans="1:1" x14ac:dyDescent="0.35">
      <c r="A139" s="2" t="s">
        <v>190</v>
      </c>
    </row>
    <row r="140" spans="1:1" x14ac:dyDescent="0.35">
      <c r="A140" s="2" t="s">
        <v>191</v>
      </c>
    </row>
    <row r="141" spans="1:1" x14ac:dyDescent="0.35">
      <c r="A141" s="2" t="s">
        <v>192</v>
      </c>
    </row>
    <row r="142" spans="1:1" x14ac:dyDescent="0.35">
      <c r="A142" s="2" t="s">
        <v>193</v>
      </c>
    </row>
    <row r="143" spans="1:1" x14ac:dyDescent="0.35">
      <c r="A143" s="2" t="s">
        <v>194</v>
      </c>
    </row>
    <row r="144" spans="1:1" x14ac:dyDescent="0.35">
      <c r="A144" s="2" t="s">
        <v>195</v>
      </c>
    </row>
    <row r="145" spans="1:1" x14ac:dyDescent="0.35">
      <c r="A145" s="2" t="s">
        <v>196</v>
      </c>
    </row>
    <row r="146" spans="1:1" x14ac:dyDescent="0.35">
      <c r="A146" s="2" t="s">
        <v>197</v>
      </c>
    </row>
    <row r="147" spans="1:1" x14ac:dyDescent="0.35">
      <c r="A147" s="2" t="s">
        <v>198</v>
      </c>
    </row>
    <row r="148" spans="1:1" x14ac:dyDescent="0.35">
      <c r="A148" s="2" t="s">
        <v>199</v>
      </c>
    </row>
    <row r="149" spans="1:1" x14ac:dyDescent="0.35">
      <c r="A149" s="2" t="s">
        <v>200</v>
      </c>
    </row>
    <row r="150" spans="1:1" x14ac:dyDescent="0.35">
      <c r="A150" s="2" t="s">
        <v>201</v>
      </c>
    </row>
    <row r="151" spans="1:1" x14ac:dyDescent="0.35">
      <c r="A151" s="2" t="s">
        <v>202</v>
      </c>
    </row>
    <row r="152" spans="1:1" x14ac:dyDescent="0.35">
      <c r="A152" s="2" t="s">
        <v>203</v>
      </c>
    </row>
    <row r="153" spans="1:1" x14ac:dyDescent="0.35">
      <c r="A153" s="2" t="s">
        <v>204</v>
      </c>
    </row>
    <row r="154" spans="1:1" x14ac:dyDescent="0.35">
      <c r="A154" s="2" t="s">
        <v>205</v>
      </c>
    </row>
    <row r="155" spans="1:1" x14ac:dyDescent="0.35">
      <c r="A155" s="2" t="s">
        <v>206</v>
      </c>
    </row>
    <row r="156" spans="1:1" x14ac:dyDescent="0.35">
      <c r="A156" s="2" t="s">
        <v>207</v>
      </c>
    </row>
    <row r="157" spans="1:1" x14ac:dyDescent="0.35">
      <c r="A157" s="2" t="s">
        <v>208</v>
      </c>
    </row>
    <row r="158" spans="1:1" x14ac:dyDescent="0.35">
      <c r="A158" s="2" t="s">
        <v>209</v>
      </c>
    </row>
    <row r="159" spans="1:1" x14ac:dyDescent="0.35">
      <c r="A159" s="2" t="s">
        <v>210</v>
      </c>
    </row>
    <row r="160" spans="1:1" x14ac:dyDescent="0.35">
      <c r="A160" s="2" t="s">
        <v>211</v>
      </c>
    </row>
    <row r="161" spans="1:1" x14ac:dyDescent="0.35">
      <c r="A161" s="2" t="s">
        <v>212</v>
      </c>
    </row>
    <row r="162" spans="1:1" x14ac:dyDescent="0.35">
      <c r="A162" s="2" t="s">
        <v>213</v>
      </c>
    </row>
    <row r="163" spans="1:1" x14ac:dyDescent="0.35">
      <c r="A163" s="2" t="s">
        <v>214</v>
      </c>
    </row>
    <row r="164" spans="1:1" x14ac:dyDescent="0.35">
      <c r="A164" s="2" t="s">
        <v>215</v>
      </c>
    </row>
    <row r="165" spans="1:1" x14ac:dyDescent="0.35">
      <c r="A165" s="2" t="s">
        <v>216</v>
      </c>
    </row>
    <row r="166" spans="1:1" x14ac:dyDescent="0.35">
      <c r="A166" s="2" t="s">
        <v>217</v>
      </c>
    </row>
    <row r="167" spans="1:1" x14ac:dyDescent="0.35">
      <c r="A167" s="2" t="s">
        <v>218</v>
      </c>
    </row>
    <row r="168" spans="1:1" x14ac:dyDescent="0.35">
      <c r="A168" s="2" t="s">
        <v>219</v>
      </c>
    </row>
    <row r="169" spans="1:1" x14ac:dyDescent="0.35">
      <c r="A169" s="2" t="s">
        <v>220</v>
      </c>
    </row>
    <row r="170" spans="1:1" x14ac:dyDescent="0.35">
      <c r="A170" s="2" t="s">
        <v>221</v>
      </c>
    </row>
    <row r="171" spans="1:1" x14ac:dyDescent="0.35">
      <c r="A171" s="2" t="s">
        <v>222</v>
      </c>
    </row>
    <row r="172" spans="1:1" x14ac:dyDescent="0.35">
      <c r="A172" s="2" t="s">
        <v>223</v>
      </c>
    </row>
    <row r="173" spans="1:1" x14ac:dyDescent="0.35">
      <c r="A173" s="2" t="s">
        <v>224</v>
      </c>
    </row>
    <row r="174" spans="1:1" x14ac:dyDescent="0.35">
      <c r="A174" s="2" t="s">
        <v>225</v>
      </c>
    </row>
    <row r="175" spans="1:1" x14ac:dyDescent="0.35">
      <c r="A175" s="2" t="s">
        <v>226</v>
      </c>
    </row>
    <row r="176" spans="1:1" x14ac:dyDescent="0.35">
      <c r="A176" s="2" t="s">
        <v>227</v>
      </c>
    </row>
    <row r="177" spans="1:1" x14ac:dyDescent="0.35">
      <c r="A177" s="2" t="s">
        <v>228</v>
      </c>
    </row>
    <row r="178" spans="1:1" x14ac:dyDescent="0.35">
      <c r="A178" s="2" t="s">
        <v>229</v>
      </c>
    </row>
    <row r="179" spans="1:1" x14ac:dyDescent="0.35">
      <c r="A179" s="2" t="s">
        <v>230</v>
      </c>
    </row>
    <row r="180" spans="1:1" x14ac:dyDescent="0.35">
      <c r="A180" s="2" t="s">
        <v>231</v>
      </c>
    </row>
    <row r="181" spans="1:1" x14ac:dyDescent="0.35">
      <c r="A181" s="2" t="s">
        <v>232</v>
      </c>
    </row>
    <row r="182" spans="1:1" x14ac:dyDescent="0.35">
      <c r="A182" s="2" t="s">
        <v>233</v>
      </c>
    </row>
    <row r="183" spans="1:1" x14ac:dyDescent="0.35">
      <c r="A183" s="2" t="s">
        <v>234</v>
      </c>
    </row>
    <row r="184" spans="1:1" x14ac:dyDescent="0.35">
      <c r="A184" s="2" t="s">
        <v>235</v>
      </c>
    </row>
    <row r="185" spans="1:1" x14ac:dyDescent="0.35">
      <c r="A185" s="2" t="s">
        <v>236</v>
      </c>
    </row>
    <row r="186" spans="1:1" x14ac:dyDescent="0.35">
      <c r="A186" s="2" t="s">
        <v>237</v>
      </c>
    </row>
    <row r="187" spans="1:1" x14ac:dyDescent="0.35">
      <c r="A187" s="2" t="s">
        <v>238</v>
      </c>
    </row>
    <row r="188" spans="1:1" x14ac:dyDescent="0.35">
      <c r="A188" s="2" t="s">
        <v>239</v>
      </c>
    </row>
    <row r="189" spans="1:1" x14ac:dyDescent="0.35">
      <c r="A189" s="2" t="s">
        <v>240</v>
      </c>
    </row>
    <row r="190" spans="1:1" x14ac:dyDescent="0.35">
      <c r="A190" s="2" t="s">
        <v>241</v>
      </c>
    </row>
    <row r="191" spans="1:1" x14ac:dyDescent="0.35">
      <c r="A191" s="2" t="s">
        <v>242</v>
      </c>
    </row>
    <row r="192" spans="1:1" x14ac:dyDescent="0.35">
      <c r="A192" s="2" t="s">
        <v>243</v>
      </c>
    </row>
    <row r="193" spans="1:1" x14ac:dyDescent="0.35">
      <c r="A193" s="2" t="s">
        <v>244</v>
      </c>
    </row>
    <row r="194" spans="1:1" x14ac:dyDescent="0.35">
      <c r="A194" s="2" t="s">
        <v>245</v>
      </c>
    </row>
    <row r="195" spans="1:1" x14ac:dyDescent="0.35">
      <c r="A195" s="2" t="s">
        <v>246</v>
      </c>
    </row>
    <row r="196" spans="1:1" x14ac:dyDescent="0.35">
      <c r="A196" s="2" t="s">
        <v>247</v>
      </c>
    </row>
    <row r="197" spans="1:1" x14ac:dyDescent="0.35">
      <c r="A197" s="2" t="s">
        <v>248</v>
      </c>
    </row>
    <row r="198" spans="1:1" x14ac:dyDescent="0.35">
      <c r="A198" s="2" t="s">
        <v>249</v>
      </c>
    </row>
    <row r="199" spans="1:1" x14ac:dyDescent="0.35">
      <c r="A199" s="2" t="s">
        <v>250</v>
      </c>
    </row>
    <row r="200" spans="1:1" x14ac:dyDescent="0.35">
      <c r="A200" s="2" t="s">
        <v>251</v>
      </c>
    </row>
    <row r="201" spans="1:1" x14ac:dyDescent="0.35">
      <c r="A201" s="2" t="s">
        <v>252</v>
      </c>
    </row>
    <row r="202" spans="1:1" x14ac:dyDescent="0.35">
      <c r="A202" s="2" t="s">
        <v>253</v>
      </c>
    </row>
    <row r="203" spans="1:1" x14ac:dyDescent="0.35">
      <c r="A203" s="2" t="s">
        <v>254</v>
      </c>
    </row>
    <row r="204" spans="1:1" x14ac:dyDescent="0.35">
      <c r="A204" s="2" t="s">
        <v>255</v>
      </c>
    </row>
    <row r="205" spans="1:1" x14ac:dyDescent="0.35">
      <c r="A205" s="2" t="s">
        <v>256</v>
      </c>
    </row>
    <row r="206" spans="1:1" x14ac:dyDescent="0.35">
      <c r="A206" s="2" t="s">
        <v>257</v>
      </c>
    </row>
    <row r="207" spans="1:1" x14ac:dyDescent="0.35">
      <c r="A207" s="2" t="s">
        <v>258</v>
      </c>
    </row>
    <row r="208" spans="1:1" x14ac:dyDescent="0.35">
      <c r="A208" s="2" t="s">
        <v>259</v>
      </c>
    </row>
    <row r="209" spans="1:1" x14ac:dyDescent="0.35">
      <c r="A209" s="2" t="s">
        <v>260</v>
      </c>
    </row>
    <row r="210" spans="1:1" x14ac:dyDescent="0.35">
      <c r="A210" s="2" t="s">
        <v>261</v>
      </c>
    </row>
    <row r="211" spans="1:1" x14ac:dyDescent="0.35">
      <c r="A211" s="2" t="s">
        <v>262</v>
      </c>
    </row>
    <row r="212" spans="1:1" x14ac:dyDescent="0.35">
      <c r="A212" s="2" t="s">
        <v>263</v>
      </c>
    </row>
    <row r="213" spans="1:1" x14ac:dyDescent="0.35">
      <c r="A213" s="2" t="s">
        <v>264</v>
      </c>
    </row>
    <row r="214" spans="1:1" x14ac:dyDescent="0.35">
      <c r="A214" s="2" t="s">
        <v>265</v>
      </c>
    </row>
    <row r="215" spans="1:1" x14ac:dyDescent="0.35">
      <c r="A215" s="2" t="s">
        <v>266</v>
      </c>
    </row>
    <row r="216" spans="1:1" x14ac:dyDescent="0.35">
      <c r="A216" s="2" t="s">
        <v>267</v>
      </c>
    </row>
    <row r="217" spans="1:1" x14ac:dyDescent="0.35">
      <c r="A217" s="2" t="s">
        <v>268</v>
      </c>
    </row>
    <row r="218" spans="1:1" x14ac:dyDescent="0.35">
      <c r="A218" s="2" t="s">
        <v>269</v>
      </c>
    </row>
    <row r="219" spans="1:1" x14ac:dyDescent="0.35">
      <c r="A219" s="2" t="s">
        <v>270</v>
      </c>
    </row>
    <row r="220" spans="1:1" x14ac:dyDescent="0.35">
      <c r="A220" s="2" t="s">
        <v>271</v>
      </c>
    </row>
    <row r="221" spans="1:1" x14ac:dyDescent="0.35">
      <c r="A221" s="2" t="s">
        <v>272</v>
      </c>
    </row>
    <row r="222" spans="1:1" x14ac:dyDescent="0.35">
      <c r="A222" s="2" t="s">
        <v>273</v>
      </c>
    </row>
    <row r="223" spans="1:1" x14ac:dyDescent="0.35">
      <c r="A223" s="2" t="s">
        <v>274</v>
      </c>
    </row>
    <row r="224" spans="1:1" x14ac:dyDescent="0.35">
      <c r="A224" s="2" t="s">
        <v>275</v>
      </c>
    </row>
    <row r="225" spans="1:1" x14ac:dyDescent="0.35">
      <c r="A225" s="2" t="s">
        <v>276</v>
      </c>
    </row>
    <row r="226" spans="1:1" x14ac:dyDescent="0.35">
      <c r="A226" s="2" t="s">
        <v>277</v>
      </c>
    </row>
    <row r="227" spans="1:1" x14ac:dyDescent="0.35">
      <c r="A227" s="2" t="s">
        <v>278</v>
      </c>
    </row>
    <row r="228" spans="1:1" x14ac:dyDescent="0.35">
      <c r="A228" s="2" t="s">
        <v>279</v>
      </c>
    </row>
    <row r="229" spans="1:1" x14ac:dyDescent="0.35">
      <c r="A229" s="2" t="s">
        <v>280</v>
      </c>
    </row>
    <row r="230" spans="1:1" x14ac:dyDescent="0.35">
      <c r="A230" s="2" t="s">
        <v>281</v>
      </c>
    </row>
    <row r="231" spans="1:1" x14ac:dyDescent="0.35">
      <c r="A231" s="2" t="s">
        <v>282</v>
      </c>
    </row>
    <row r="232" spans="1:1" x14ac:dyDescent="0.35">
      <c r="A232" s="2" t="s">
        <v>283</v>
      </c>
    </row>
    <row r="233" spans="1:1" x14ac:dyDescent="0.35">
      <c r="A233" s="2" t="s">
        <v>284</v>
      </c>
    </row>
    <row r="234" spans="1:1" x14ac:dyDescent="0.35">
      <c r="A234" s="2" t="s">
        <v>285</v>
      </c>
    </row>
    <row r="235" spans="1:1" x14ac:dyDescent="0.35">
      <c r="A235" s="2" t="s">
        <v>286</v>
      </c>
    </row>
    <row r="236" spans="1:1" x14ac:dyDescent="0.35">
      <c r="A236" s="2" t="s">
        <v>287</v>
      </c>
    </row>
    <row r="237" spans="1:1" x14ac:dyDescent="0.35">
      <c r="A237" s="2" t="s">
        <v>288</v>
      </c>
    </row>
    <row r="238" spans="1:1" x14ac:dyDescent="0.35">
      <c r="A238" s="2" t="s">
        <v>289</v>
      </c>
    </row>
    <row r="239" spans="1:1" x14ac:dyDescent="0.35">
      <c r="A239" s="2" t="s">
        <v>290</v>
      </c>
    </row>
    <row r="240" spans="1:1" x14ac:dyDescent="0.35">
      <c r="A240" s="2" t="s">
        <v>291</v>
      </c>
    </row>
    <row r="241" spans="1:1" x14ac:dyDescent="0.35">
      <c r="A241" s="2" t="s">
        <v>292</v>
      </c>
    </row>
    <row r="242" spans="1:1" x14ac:dyDescent="0.35">
      <c r="A242" s="2" t="s">
        <v>293</v>
      </c>
    </row>
    <row r="243" spans="1:1" x14ac:dyDescent="0.35">
      <c r="A243" s="2" t="s">
        <v>294</v>
      </c>
    </row>
    <row r="244" spans="1:1" x14ac:dyDescent="0.35">
      <c r="A244" s="2" t="s">
        <v>295</v>
      </c>
    </row>
    <row r="245" spans="1:1" x14ac:dyDescent="0.35">
      <c r="A245" s="2" t="s">
        <v>296</v>
      </c>
    </row>
    <row r="246" spans="1:1" x14ac:dyDescent="0.35">
      <c r="A246" s="2" t="s">
        <v>297</v>
      </c>
    </row>
    <row r="247" spans="1:1" x14ac:dyDescent="0.35">
      <c r="A247" s="2" t="s">
        <v>298</v>
      </c>
    </row>
    <row r="248" spans="1:1" x14ac:dyDescent="0.35">
      <c r="A248" s="2" t="s">
        <v>299</v>
      </c>
    </row>
    <row r="249" spans="1:1" x14ac:dyDescent="0.35">
      <c r="A249" s="2" t="s">
        <v>300</v>
      </c>
    </row>
    <row r="250" spans="1:1" x14ac:dyDescent="0.35">
      <c r="A250" s="2" t="s">
        <v>301</v>
      </c>
    </row>
    <row r="251" spans="1:1" x14ac:dyDescent="0.35">
      <c r="A251" s="2" t="s">
        <v>302</v>
      </c>
    </row>
    <row r="252" spans="1:1" x14ac:dyDescent="0.35">
      <c r="A252" s="2" t="s">
        <v>303</v>
      </c>
    </row>
    <row r="253" spans="1:1" x14ac:dyDescent="0.35">
      <c r="A253" s="2" t="s">
        <v>304</v>
      </c>
    </row>
    <row r="254" spans="1:1" x14ac:dyDescent="0.35">
      <c r="A254" s="2" t="s">
        <v>305</v>
      </c>
    </row>
    <row r="255" spans="1:1" x14ac:dyDescent="0.35">
      <c r="A255" s="2" t="s">
        <v>306</v>
      </c>
    </row>
    <row r="256" spans="1:1" x14ac:dyDescent="0.35">
      <c r="A256" s="2" t="s">
        <v>307</v>
      </c>
    </row>
    <row r="257" spans="1:1" x14ac:dyDescent="0.35">
      <c r="A257" s="2" t="s">
        <v>308</v>
      </c>
    </row>
    <row r="258" spans="1:1" x14ac:dyDescent="0.35">
      <c r="A258" s="2" t="s">
        <v>309</v>
      </c>
    </row>
    <row r="259" spans="1:1" x14ac:dyDescent="0.35">
      <c r="A259" s="2" t="s">
        <v>310</v>
      </c>
    </row>
    <row r="260" spans="1:1" x14ac:dyDescent="0.35">
      <c r="A260" s="2" t="s">
        <v>311</v>
      </c>
    </row>
    <row r="261" spans="1:1" x14ac:dyDescent="0.35">
      <c r="A261" s="2" t="s">
        <v>312</v>
      </c>
    </row>
    <row r="262" spans="1:1" x14ac:dyDescent="0.35">
      <c r="A262" s="2" t="s">
        <v>313</v>
      </c>
    </row>
    <row r="263" spans="1:1" x14ac:dyDescent="0.35">
      <c r="A263" s="2" t="s">
        <v>314</v>
      </c>
    </row>
    <row r="264" spans="1:1" x14ac:dyDescent="0.35">
      <c r="A264" s="2" t="s">
        <v>315</v>
      </c>
    </row>
    <row r="265" spans="1:1" x14ac:dyDescent="0.35">
      <c r="A265" s="2" t="s">
        <v>316</v>
      </c>
    </row>
    <row r="266" spans="1:1" x14ac:dyDescent="0.35">
      <c r="A266" s="2" t="s">
        <v>317</v>
      </c>
    </row>
    <row r="267" spans="1:1" x14ac:dyDescent="0.35">
      <c r="A267" s="2" t="s">
        <v>318</v>
      </c>
    </row>
    <row r="268" spans="1:1" x14ac:dyDescent="0.35">
      <c r="A268" s="2" t="s">
        <v>319</v>
      </c>
    </row>
    <row r="269" spans="1:1" x14ac:dyDescent="0.35">
      <c r="A269" s="2" t="s">
        <v>320</v>
      </c>
    </row>
    <row r="270" spans="1:1" x14ac:dyDescent="0.35">
      <c r="A270" s="2" t="s">
        <v>321</v>
      </c>
    </row>
    <row r="271" spans="1:1" x14ac:dyDescent="0.35">
      <c r="A271" s="2" t="s">
        <v>322</v>
      </c>
    </row>
    <row r="272" spans="1:1" x14ac:dyDescent="0.35">
      <c r="A272" s="2" t="s">
        <v>323</v>
      </c>
    </row>
    <row r="273" spans="1:1" x14ac:dyDescent="0.35">
      <c r="A273" s="2" t="s">
        <v>324</v>
      </c>
    </row>
    <row r="274" spans="1:1" x14ac:dyDescent="0.35">
      <c r="A274" s="2" t="s">
        <v>325</v>
      </c>
    </row>
    <row r="275" spans="1:1" x14ac:dyDescent="0.35">
      <c r="A275" s="2" t="s">
        <v>326</v>
      </c>
    </row>
    <row r="276" spans="1:1" x14ac:dyDescent="0.35">
      <c r="A276" s="2" t="s">
        <v>327</v>
      </c>
    </row>
    <row r="277" spans="1:1" x14ac:dyDescent="0.35">
      <c r="A277" s="2" t="s">
        <v>328</v>
      </c>
    </row>
    <row r="278" spans="1:1" x14ac:dyDescent="0.35">
      <c r="A278" s="2" t="s">
        <v>329</v>
      </c>
    </row>
    <row r="279" spans="1:1" x14ac:dyDescent="0.35">
      <c r="A279" s="2" t="s">
        <v>330</v>
      </c>
    </row>
    <row r="280" spans="1:1" x14ac:dyDescent="0.35">
      <c r="A280" s="2" t="s">
        <v>331</v>
      </c>
    </row>
    <row r="281" spans="1:1" x14ac:dyDescent="0.35">
      <c r="A281" s="2" t="s">
        <v>332</v>
      </c>
    </row>
    <row r="282" spans="1:1" x14ac:dyDescent="0.35">
      <c r="A282" s="2" t="s">
        <v>333</v>
      </c>
    </row>
    <row r="283" spans="1:1" x14ac:dyDescent="0.35">
      <c r="A283" s="2" t="s">
        <v>334</v>
      </c>
    </row>
    <row r="284" spans="1:1" x14ac:dyDescent="0.35">
      <c r="A284" s="2" t="s">
        <v>335</v>
      </c>
    </row>
    <row r="285" spans="1:1" x14ac:dyDescent="0.35">
      <c r="A285" s="2" t="s">
        <v>336</v>
      </c>
    </row>
    <row r="286" spans="1:1" x14ac:dyDescent="0.35">
      <c r="A286" s="2" t="s">
        <v>337</v>
      </c>
    </row>
    <row r="287" spans="1:1" x14ac:dyDescent="0.35">
      <c r="A287" s="2" t="s">
        <v>338</v>
      </c>
    </row>
    <row r="288" spans="1:1" x14ac:dyDescent="0.35">
      <c r="A288" s="2" t="s">
        <v>339</v>
      </c>
    </row>
    <row r="289" spans="1:1" x14ac:dyDescent="0.35">
      <c r="A289" s="2" t="s">
        <v>340</v>
      </c>
    </row>
    <row r="290" spans="1:1" x14ac:dyDescent="0.35">
      <c r="A290" s="2" t="s">
        <v>341</v>
      </c>
    </row>
    <row r="291" spans="1:1" x14ac:dyDescent="0.35">
      <c r="A291" s="2" t="s">
        <v>342</v>
      </c>
    </row>
    <row r="292" spans="1:1" x14ac:dyDescent="0.35">
      <c r="A292" s="2" t="s">
        <v>343</v>
      </c>
    </row>
    <row r="293" spans="1:1" x14ac:dyDescent="0.35">
      <c r="A293" s="2" t="s">
        <v>344</v>
      </c>
    </row>
    <row r="294" spans="1:1" x14ac:dyDescent="0.35">
      <c r="A294" s="2" t="s">
        <v>345</v>
      </c>
    </row>
    <row r="295" spans="1:1" x14ac:dyDescent="0.35">
      <c r="A295" s="2" t="s">
        <v>346</v>
      </c>
    </row>
    <row r="296" spans="1:1" x14ac:dyDescent="0.35">
      <c r="A296" s="2" t="s">
        <v>347</v>
      </c>
    </row>
    <row r="297" spans="1:1" x14ac:dyDescent="0.35">
      <c r="A297" s="2" t="s">
        <v>348</v>
      </c>
    </row>
    <row r="298" spans="1:1" x14ac:dyDescent="0.35">
      <c r="A298" s="2" t="s">
        <v>349</v>
      </c>
    </row>
    <row r="299" spans="1:1" x14ac:dyDescent="0.35">
      <c r="A299" s="2" t="s">
        <v>350</v>
      </c>
    </row>
    <row r="300" spans="1:1" x14ac:dyDescent="0.35">
      <c r="A300" s="2" t="s">
        <v>351</v>
      </c>
    </row>
    <row r="301" spans="1:1" x14ac:dyDescent="0.35">
      <c r="A301" s="2" t="s">
        <v>352</v>
      </c>
    </row>
    <row r="302" spans="1:1" x14ac:dyDescent="0.35">
      <c r="A302" s="2" t="s">
        <v>353</v>
      </c>
    </row>
    <row r="303" spans="1:1" x14ac:dyDescent="0.35">
      <c r="A303" s="2" t="s">
        <v>354</v>
      </c>
    </row>
    <row r="304" spans="1:1" x14ac:dyDescent="0.35">
      <c r="A304" s="2" t="s">
        <v>355</v>
      </c>
    </row>
    <row r="305" spans="1:1" x14ac:dyDescent="0.35">
      <c r="A305" s="2" t="s">
        <v>356</v>
      </c>
    </row>
    <row r="306" spans="1:1" x14ac:dyDescent="0.35">
      <c r="A306" s="2" t="s">
        <v>357</v>
      </c>
    </row>
    <row r="307" spans="1:1" x14ac:dyDescent="0.35">
      <c r="A307" s="2" t="s">
        <v>358</v>
      </c>
    </row>
    <row r="308" spans="1:1" x14ac:dyDescent="0.35">
      <c r="A308" s="2" t="s">
        <v>359</v>
      </c>
    </row>
    <row r="309" spans="1:1" x14ac:dyDescent="0.35">
      <c r="A309" s="2" t="s">
        <v>360</v>
      </c>
    </row>
    <row r="310" spans="1:1" x14ac:dyDescent="0.35">
      <c r="A310" s="2" t="s">
        <v>361</v>
      </c>
    </row>
    <row r="311" spans="1:1" x14ac:dyDescent="0.35">
      <c r="A311" s="2" t="s">
        <v>362</v>
      </c>
    </row>
    <row r="312" spans="1:1" x14ac:dyDescent="0.35">
      <c r="A312" s="2" t="s">
        <v>363</v>
      </c>
    </row>
    <row r="313" spans="1:1" x14ac:dyDescent="0.35">
      <c r="A313" s="2" t="s">
        <v>364</v>
      </c>
    </row>
    <row r="314" spans="1:1" x14ac:dyDescent="0.35">
      <c r="A314" s="2" t="s">
        <v>365</v>
      </c>
    </row>
    <row r="315" spans="1:1" x14ac:dyDescent="0.35">
      <c r="A315" s="2" t="s">
        <v>366</v>
      </c>
    </row>
    <row r="316" spans="1:1" x14ac:dyDescent="0.35">
      <c r="A316" s="2" t="s">
        <v>367</v>
      </c>
    </row>
    <row r="317" spans="1:1" x14ac:dyDescent="0.35">
      <c r="A317" s="2" t="s">
        <v>368</v>
      </c>
    </row>
    <row r="318" spans="1:1" x14ac:dyDescent="0.35">
      <c r="A318" s="2" t="s">
        <v>369</v>
      </c>
    </row>
    <row r="319" spans="1:1" x14ac:dyDescent="0.35">
      <c r="A319" s="2" t="s">
        <v>370</v>
      </c>
    </row>
    <row r="320" spans="1:1" x14ac:dyDescent="0.35">
      <c r="A320" s="2" t="s">
        <v>371</v>
      </c>
    </row>
    <row r="321" spans="1:1" x14ac:dyDescent="0.35">
      <c r="A321" s="2" t="s">
        <v>372</v>
      </c>
    </row>
    <row r="322" spans="1:1" x14ac:dyDescent="0.35">
      <c r="A322" s="2" t="s">
        <v>373</v>
      </c>
    </row>
    <row r="323" spans="1:1" x14ac:dyDescent="0.35">
      <c r="A323" s="2" t="s">
        <v>374</v>
      </c>
    </row>
    <row r="324" spans="1:1" x14ac:dyDescent="0.35">
      <c r="A324" s="2" t="s">
        <v>375</v>
      </c>
    </row>
    <row r="325" spans="1:1" x14ac:dyDescent="0.35">
      <c r="A325" s="2" t="s">
        <v>376</v>
      </c>
    </row>
    <row r="326" spans="1:1" x14ac:dyDescent="0.35">
      <c r="A326" s="2" t="s">
        <v>377</v>
      </c>
    </row>
    <row r="327" spans="1:1" x14ac:dyDescent="0.35">
      <c r="A327" s="2" t="s">
        <v>378</v>
      </c>
    </row>
    <row r="328" spans="1:1" x14ac:dyDescent="0.35">
      <c r="A328" s="2" t="s">
        <v>379</v>
      </c>
    </row>
    <row r="329" spans="1:1" x14ac:dyDescent="0.35">
      <c r="A329" s="2" t="s">
        <v>380</v>
      </c>
    </row>
    <row r="330" spans="1:1" x14ac:dyDescent="0.35">
      <c r="A330" s="2" t="s">
        <v>381</v>
      </c>
    </row>
    <row r="331" spans="1:1" x14ac:dyDescent="0.35">
      <c r="A331" s="2" t="s">
        <v>382</v>
      </c>
    </row>
    <row r="332" spans="1:1" x14ac:dyDescent="0.35">
      <c r="A332" s="2" t="s">
        <v>383</v>
      </c>
    </row>
    <row r="333" spans="1:1" x14ac:dyDescent="0.35">
      <c r="A333" s="2" t="s">
        <v>384</v>
      </c>
    </row>
    <row r="334" spans="1:1" x14ac:dyDescent="0.35">
      <c r="A334" s="2" t="s">
        <v>385</v>
      </c>
    </row>
    <row r="335" spans="1:1" x14ac:dyDescent="0.35">
      <c r="A335" s="2" t="s">
        <v>386</v>
      </c>
    </row>
    <row r="336" spans="1:1" x14ac:dyDescent="0.35">
      <c r="A336" s="2" t="s">
        <v>387</v>
      </c>
    </row>
    <row r="337" spans="1:1" x14ac:dyDescent="0.35">
      <c r="A337" s="2" t="s">
        <v>388</v>
      </c>
    </row>
    <row r="338" spans="1:1" x14ac:dyDescent="0.35">
      <c r="A338" s="2" t="s">
        <v>389</v>
      </c>
    </row>
    <row r="339" spans="1:1" x14ac:dyDescent="0.35">
      <c r="A339" s="2" t="s">
        <v>390</v>
      </c>
    </row>
    <row r="340" spans="1:1" x14ac:dyDescent="0.35">
      <c r="A340" s="2" t="s">
        <v>391</v>
      </c>
    </row>
    <row r="341" spans="1:1" x14ac:dyDescent="0.35">
      <c r="A341" s="2" t="s">
        <v>392</v>
      </c>
    </row>
    <row r="342" spans="1:1" x14ac:dyDescent="0.35">
      <c r="A342" s="2" t="s">
        <v>393</v>
      </c>
    </row>
    <row r="343" spans="1:1" x14ac:dyDescent="0.35">
      <c r="A343" s="2" t="s">
        <v>394</v>
      </c>
    </row>
    <row r="344" spans="1:1" x14ac:dyDescent="0.35">
      <c r="A344" s="2" t="s">
        <v>395</v>
      </c>
    </row>
    <row r="345" spans="1:1" x14ac:dyDescent="0.35">
      <c r="A345" s="2" t="s">
        <v>396</v>
      </c>
    </row>
    <row r="346" spans="1:1" x14ac:dyDescent="0.35">
      <c r="A346" s="2" t="s">
        <v>397</v>
      </c>
    </row>
    <row r="347" spans="1:1" x14ac:dyDescent="0.35">
      <c r="A347" s="2" t="s">
        <v>398</v>
      </c>
    </row>
    <row r="348" spans="1:1" x14ac:dyDescent="0.35">
      <c r="A348" s="2" t="s">
        <v>399</v>
      </c>
    </row>
    <row r="349" spans="1:1" x14ac:dyDescent="0.35">
      <c r="A349" s="2" t="s">
        <v>400</v>
      </c>
    </row>
    <row r="350" spans="1:1" x14ac:dyDescent="0.35">
      <c r="A350" s="2" t="s">
        <v>401</v>
      </c>
    </row>
    <row r="351" spans="1:1" x14ac:dyDescent="0.35">
      <c r="A351" s="2" t="s">
        <v>402</v>
      </c>
    </row>
    <row r="352" spans="1:1" x14ac:dyDescent="0.35">
      <c r="A352" s="2" t="s">
        <v>403</v>
      </c>
    </row>
    <row r="353" spans="1:1" x14ac:dyDescent="0.35">
      <c r="A353" s="2" t="s">
        <v>404</v>
      </c>
    </row>
    <row r="354" spans="1:1" x14ac:dyDescent="0.35">
      <c r="A354" s="2" t="s">
        <v>405</v>
      </c>
    </row>
    <row r="355" spans="1:1" x14ac:dyDescent="0.35">
      <c r="A355" s="2" t="s">
        <v>406</v>
      </c>
    </row>
    <row r="356" spans="1:1" x14ac:dyDescent="0.35">
      <c r="A356" s="2" t="s">
        <v>407</v>
      </c>
    </row>
    <row r="357" spans="1:1" x14ac:dyDescent="0.35">
      <c r="A357" s="2" t="s">
        <v>408</v>
      </c>
    </row>
    <row r="358" spans="1:1" x14ac:dyDescent="0.35">
      <c r="A358" s="2" t="s">
        <v>409</v>
      </c>
    </row>
    <row r="359" spans="1:1" x14ac:dyDescent="0.35">
      <c r="A359" s="2" t="s">
        <v>410</v>
      </c>
    </row>
    <row r="360" spans="1:1" x14ac:dyDescent="0.35">
      <c r="A360" s="2" t="s">
        <v>411</v>
      </c>
    </row>
    <row r="361" spans="1:1" x14ac:dyDescent="0.35">
      <c r="A361" s="2" t="s">
        <v>412</v>
      </c>
    </row>
    <row r="362" spans="1:1" x14ac:dyDescent="0.35">
      <c r="A362" s="2" t="s">
        <v>413</v>
      </c>
    </row>
    <row r="363" spans="1:1" x14ac:dyDescent="0.35">
      <c r="A363" s="2" t="s">
        <v>414</v>
      </c>
    </row>
    <row r="364" spans="1:1" x14ac:dyDescent="0.35">
      <c r="A364" s="2" t="s">
        <v>415</v>
      </c>
    </row>
    <row r="365" spans="1:1" x14ac:dyDescent="0.35">
      <c r="A365" s="2" t="s">
        <v>416</v>
      </c>
    </row>
    <row r="366" spans="1:1" x14ac:dyDescent="0.35">
      <c r="A366" s="2" t="s">
        <v>417</v>
      </c>
    </row>
    <row r="367" spans="1:1" x14ac:dyDescent="0.35">
      <c r="A367" s="2" t="s">
        <v>418</v>
      </c>
    </row>
    <row r="368" spans="1:1" x14ac:dyDescent="0.35">
      <c r="A368" s="2" t="s">
        <v>419</v>
      </c>
    </row>
    <row r="369" spans="1:1" x14ac:dyDescent="0.35">
      <c r="A369" s="2" t="s">
        <v>420</v>
      </c>
    </row>
    <row r="370" spans="1:1" x14ac:dyDescent="0.35">
      <c r="A370" s="2" t="s">
        <v>421</v>
      </c>
    </row>
    <row r="371" spans="1:1" x14ac:dyDescent="0.35">
      <c r="A371" s="2" t="s">
        <v>422</v>
      </c>
    </row>
    <row r="372" spans="1:1" x14ac:dyDescent="0.35">
      <c r="A372" s="2" t="s">
        <v>423</v>
      </c>
    </row>
    <row r="373" spans="1:1" x14ac:dyDescent="0.35">
      <c r="A373" s="2" t="s">
        <v>424</v>
      </c>
    </row>
    <row r="374" spans="1:1" x14ac:dyDescent="0.35">
      <c r="A374" s="2" t="s">
        <v>425</v>
      </c>
    </row>
    <row r="375" spans="1:1" x14ac:dyDescent="0.35">
      <c r="A375" s="2" t="s">
        <v>426</v>
      </c>
    </row>
    <row r="376" spans="1:1" x14ac:dyDescent="0.35">
      <c r="A376" s="2" t="s">
        <v>427</v>
      </c>
    </row>
    <row r="377" spans="1:1" x14ac:dyDescent="0.35">
      <c r="A377" s="2" t="s">
        <v>428</v>
      </c>
    </row>
    <row r="378" spans="1:1" x14ac:dyDescent="0.35">
      <c r="A378" s="2" t="s">
        <v>429</v>
      </c>
    </row>
    <row r="379" spans="1:1" x14ac:dyDescent="0.35">
      <c r="A379" s="2" t="s">
        <v>430</v>
      </c>
    </row>
    <row r="380" spans="1:1" x14ac:dyDescent="0.35">
      <c r="A380" s="2" t="s">
        <v>431</v>
      </c>
    </row>
    <row r="381" spans="1:1" x14ac:dyDescent="0.35">
      <c r="A381" s="2" t="s">
        <v>432</v>
      </c>
    </row>
    <row r="382" spans="1:1" x14ac:dyDescent="0.35">
      <c r="A382" s="2" t="s">
        <v>433</v>
      </c>
    </row>
    <row r="383" spans="1:1" x14ac:dyDescent="0.35">
      <c r="A383" s="2" t="s">
        <v>434</v>
      </c>
    </row>
    <row r="384" spans="1:1" x14ac:dyDescent="0.35">
      <c r="A384" s="2" t="s">
        <v>435</v>
      </c>
    </row>
    <row r="385" spans="1:1" x14ac:dyDescent="0.35">
      <c r="A385" s="2" t="s">
        <v>436</v>
      </c>
    </row>
    <row r="386" spans="1:1" x14ac:dyDescent="0.35">
      <c r="A386" s="2" t="s">
        <v>437</v>
      </c>
    </row>
    <row r="387" spans="1:1" x14ac:dyDescent="0.35">
      <c r="A387" s="2" t="s">
        <v>438</v>
      </c>
    </row>
    <row r="388" spans="1:1" x14ac:dyDescent="0.35">
      <c r="A388" s="2" t="s">
        <v>439</v>
      </c>
    </row>
    <row r="389" spans="1:1" x14ac:dyDescent="0.35">
      <c r="A389" s="2" t="s">
        <v>440</v>
      </c>
    </row>
    <row r="390" spans="1:1" x14ac:dyDescent="0.35">
      <c r="A390" s="2" t="s">
        <v>441</v>
      </c>
    </row>
    <row r="391" spans="1:1" x14ac:dyDescent="0.35">
      <c r="A391" s="2" t="s">
        <v>442</v>
      </c>
    </row>
    <row r="392" spans="1:1" x14ac:dyDescent="0.35">
      <c r="A392" s="2" t="s">
        <v>443</v>
      </c>
    </row>
    <row r="393" spans="1:1" x14ac:dyDescent="0.35">
      <c r="A393" s="2" t="s">
        <v>444</v>
      </c>
    </row>
    <row r="394" spans="1:1" x14ac:dyDescent="0.35">
      <c r="A394" s="2" t="s">
        <v>445</v>
      </c>
    </row>
    <row r="395" spans="1:1" x14ac:dyDescent="0.35">
      <c r="A395" s="2" t="s">
        <v>446</v>
      </c>
    </row>
    <row r="396" spans="1:1" x14ac:dyDescent="0.35">
      <c r="A396" s="2" t="s">
        <v>447</v>
      </c>
    </row>
    <row r="397" spans="1:1" x14ac:dyDescent="0.35">
      <c r="A397" s="2" t="s">
        <v>448</v>
      </c>
    </row>
    <row r="398" spans="1:1" x14ac:dyDescent="0.35">
      <c r="A398" s="2" t="s">
        <v>449</v>
      </c>
    </row>
    <row r="399" spans="1:1" x14ac:dyDescent="0.35">
      <c r="A399" s="2" t="s">
        <v>450</v>
      </c>
    </row>
    <row r="400" spans="1:1" x14ac:dyDescent="0.35">
      <c r="A400" s="2" t="s">
        <v>451</v>
      </c>
    </row>
    <row r="401" spans="1:1" x14ac:dyDescent="0.35">
      <c r="A401" s="2" t="s">
        <v>452</v>
      </c>
    </row>
    <row r="402" spans="1:1" x14ac:dyDescent="0.35">
      <c r="A402" s="2" t="s">
        <v>453</v>
      </c>
    </row>
    <row r="403" spans="1:1" x14ac:dyDescent="0.35">
      <c r="A403" s="2" t="s">
        <v>454</v>
      </c>
    </row>
    <row r="404" spans="1:1" x14ac:dyDescent="0.35">
      <c r="A404" s="2" t="s">
        <v>455</v>
      </c>
    </row>
    <row r="405" spans="1:1" x14ac:dyDescent="0.35">
      <c r="A405" s="2" t="s">
        <v>456</v>
      </c>
    </row>
    <row r="406" spans="1:1" x14ac:dyDescent="0.35">
      <c r="A406" s="2" t="s">
        <v>457</v>
      </c>
    </row>
    <row r="407" spans="1:1" x14ac:dyDescent="0.35">
      <c r="A407" s="2" t="s">
        <v>458</v>
      </c>
    </row>
    <row r="408" spans="1:1" x14ac:dyDescent="0.35">
      <c r="A408" s="2" t="s">
        <v>459</v>
      </c>
    </row>
    <row r="409" spans="1:1" x14ac:dyDescent="0.35">
      <c r="A409" s="2" t="s">
        <v>460</v>
      </c>
    </row>
    <row r="410" spans="1:1" x14ac:dyDescent="0.35">
      <c r="A410" s="2" t="s">
        <v>461</v>
      </c>
    </row>
    <row r="411" spans="1:1" x14ac:dyDescent="0.35">
      <c r="A411" s="2" t="s">
        <v>462</v>
      </c>
    </row>
    <row r="412" spans="1:1" x14ac:dyDescent="0.35">
      <c r="A412" s="2" t="s">
        <v>463</v>
      </c>
    </row>
    <row r="413" spans="1:1" x14ac:dyDescent="0.35">
      <c r="A413" s="2" t="s">
        <v>464</v>
      </c>
    </row>
    <row r="414" spans="1:1" x14ac:dyDescent="0.35">
      <c r="A414" s="2" t="s">
        <v>465</v>
      </c>
    </row>
    <row r="415" spans="1:1" x14ac:dyDescent="0.35">
      <c r="A415" s="2" t="s">
        <v>466</v>
      </c>
    </row>
    <row r="416" spans="1:1" x14ac:dyDescent="0.35">
      <c r="A416" s="2" t="s">
        <v>467</v>
      </c>
    </row>
    <row r="417" spans="1:1" x14ac:dyDescent="0.35">
      <c r="A417" s="2" t="s">
        <v>468</v>
      </c>
    </row>
    <row r="418" spans="1:1" x14ac:dyDescent="0.35">
      <c r="A418" s="2" t="s">
        <v>469</v>
      </c>
    </row>
    <row r="419" spans="1:1" x14ac:dyDescent="0.35">
      <c r="A419" s="2" t="s">
        <v>470</v>
      </c>
    </row>
    <row r="420" spans="1:1" x14ac:dyDescent="0.35">
      <c r="A420" s="2" t="s">
        <v>471</v>
      </c>
    </row>
    <row r="421" spans="1:1" x14ac:dyDescent="0.35">
      <c r="A421" s="2" t="s">
        <v>472</v>
      </c>
    </row>
    <row r="422" spans="1:1" x14ac:dyDescent="0.35">
      <c r="A422" s="2" t="s">
        <v>473</v>
      </c>
    </row>
    <row r="423" spans="1:1" x14ac:dyDescent="0.35">
      <c r="A423" s="2" t="s">
        <v>474</v>
      </c>
    </row>
    <row r="424" spans="1:1" x14ac:dyDescent="0.35">
      <c r="A424" s="2" t="s">
        <v>475</v>
      </c>
    </row>
    <row r="425" spans="1:1" x14ac:dyDescent="0.35">
      <c r="A425" s="2" t="s">
        <v>476</v>
      </c>
    </row>
    <row r="426" spans="1:1" x14ac:dyDescent="0.35">
      <c r="A426" s="2" t="s">
        <v>477</v>
      </c>
    </row>
    <row r="427" spans="1:1" x14ac:dyDescent="0.35">
      <c r="A427" s="2" t="s">
        <v>478</v>
      </c>
    </row>
    <row r="428" spans="1:1" x14ac:dyDescent="0.35">
      <c r="A428" s="2" t="s">
        <v>479</v>
      </c>
    </row>
    <row r="429" spans="1:1" x14ac:dyDescent="0.35">
      <c r="A429" s="2" t="s">
        <v>480</v>
      </c>
    </row>
    <row r="430" spans="1:1" x14ac:dyDescent="0.35">
      <c r="A430" s="2" t="s">
        <v>481</v>
      </c>
    </row>
    <row r="431" spans="1:1" x14ac:dyDescent="0.35">
      <c r="A431" s="2" t="s">
        <v>482</v>
      </c>
    </row>
    <row r="432" spans="1:1" x14ac:dyDescent="0.35">
      <c r="A432" s="2" t="s">
        <v>483</v>
      </c>
    </row>
    <row r="433" spans="1:1" x14ac:dyDescent="0.35">
      <c r="A433" s="2" t="s">
        <v>484</v>
      </c>
    </row>
    <row r="434" spans="1:1" x14ac:dyDescent="0.35">
      <c r="A434" s="2" t="s">
        <v>485</v>
      </c>
    </row>
    <row r="435" spans="1:1" x14ac:dyDescent="0.35">
      <c r="A435" s="2" t="s">
        <v>486</v>
      </c>
    </row>
    <row r="436" spans="1:1" x14ac:dyDescent="0.35">
      <c r="A436" s="2" t="s">
        <v>487</v>
      </c>
    </row>
    <row r="437" spans="1:1" x14ac:dyDescent="0.35">
      <c r="A437" s="2" t="s">
        <v>488</v>
      </c>
    </row>
    <row r="438" spans="1:1" x14ac:dyDescent="0.35">
      <c r="A438" s="2" t="s">
        <v>489</v>
      </c>
    </row>
    <row r="439" spans="1:1" x14ac:dyDescent="0.35">
      <c r="A439" s="2" t="s">
        <v>490</v>
      </c>
    </row>
    <row r="440" spans="1:1" x14ac:dyDescent="0.35">
      <c r="A440" s="2" t="s">
        <v>491</v>
      </c>
    </row>
    <row r="441" spans="1:1" x14ac:dyDescent="0.35">
      <c r="A441" s="2" t="s">
        <v>492</v>
      </c>
    </row>
    <row r="442" spans="1:1" x14ac:dyDescent="0.35">
      <c r="A442" s="2" t="s">
        <v>493</v>
      </c>
    </row>
    <row r="443" spans="1:1" x14ac:dyDescent="0.35">
      <c r="A443" s="2" t="s">
        <v>494</v>
      </c>
    </row>
    <row r="444" spans="1:1" x14ac:dyDescent="0.35">
      <c r="A444" s="2" t="s">
        <v>495</v>
      </c>
    </row>
    <row r="445" spans="1:1" x14ac:dyDescent="0.35">
      <c r="A445" s="2" t="s">
        <v>496</v>
      </c>
    </row>
    <row r="446" spans="1:1" x14ac:dyDescent="0.35">
      <c r="A446" s="2" t="s">
        <v>497</v>
      </c>
    </row>
    <row r="447" spans="1:1" x14ac:dyDescent="0.35">
      <c r="A447" s="2" t="s">
        <v>498</v>
      </c>
    </row>
    <row r="448" spans="1:1" x14ac:dyDescent="0.35">
      <c r="A448" s="2" t="s">
        <v>499</v>
      </c>
    </row>
    <row r="449" spans="1:1" x14ac:dyDescent="0.35">
      <c r="A449" s="2" t="s">
        <v>500</v>
      </c>
    </row>
    <row r="450" spans="1:1" x14ac:dyDescent="0.35">
      <c r="A450" s="2" t="s">
        <v>501</v>
      </c>
    </row>
    <row r="451" spans="1:1" x14ac:dyDescent="0.35">
      <c r="A451" s="2" t="s">
        <v>502</v>
      </c>
    </row>
    <row r="452" spans="1:1" x14ac:dyDescent="0.35">
      <c r="A452" s="2" t="s">
        <v>503</v>
      </c>
    </row>
    <row r="453" spans="1:1" x14ac:dyDescent="0.35">
      <c r="A453" s="2" t="s">
        <v>504</v>
      </c>
    </row>
    <row r="454" spans="1:1" x14ac:dyDescent="0.35">
      <c r="A454" s="2" t="s">
        <v>505</v>
      </c>
    </row>
    <row r="455" spans="1:1" x14ac:dyDescent="0.35">
      <c r="A455" s="2" t="s">
        <v>506</v>
      </c>
    </row>
    <row r="456" spans="1:1" x14ac:dyDescent="0.35">
      <c r="A456" s="2" t="s">
        <v>507</v>
      </c>
    </row>
    <row r="457" spans="1:1" x14ac:dyDescent="0.35">
      <c r="A457" s="2" t="s">
        <v>508</v>
      </c>
    </row>
    <row r="458" spans="1:1" x14ac:dyDescent="0.35">
      <c r="A458" s="2" t="s">
        <v>509</v>
      </c>
    </row>
    <row r="459" spans="1:1" x14ac:dyDescent="0.35">
      <c r="A459" s="2" t="s">
        <v>510</v>
      </c>
    </row>
    <row r="460" spans="1:1" x14ac:dyDescent="0.35">
      <c r="A460" s="2" t="s">
        <v>511</v>
      </c>
    </row>
    <row r="461" spans="1:1" x14ac:dyDescent="0.35">
      <c r="A461" s="2" t="s">
        <v>512</v>
      </c>
    </row>
    <row r="462" spans="1:1" x14ac:dyDescent="0.35">
      <c r="A462" s="2" t="s">
        <v>513</v>
      </c>
    </row>
    <row r="463" spans="1:1" x14ac:dyDescent="0.35">
      <c r="A463" s="2" t="s">
        <v>514</v>
      </c>
    </row>
    <row r="464" spans="1:1" x14ac:dyDescent="0.35">
      <c r="A464" s="2" t="s">
        <v>515</v>
      </c>
    </row>
    <row r="465" spans="1:1" x14ac:dyDescent="0.35">
      <c r="A465" s="2" t="s">
        <v>516</v>
      </c>
    </row>
    <row r="466" spans="1:1" x14ac:dyDescent="0.35">
      <c r="A466" s="2" t="s">
        <v>517</v>
      </c>
    </row>
    <row r="467" spans="1:1" x14ac:dyDescent="0.35">
      <c r="A467" s="2" t="s">
        <v>518</v>
      </c>
    </row>
    <row r="468" spans="1:1" x14ac:dyDescent="0.35">
      <c r="A468" s="2" t="s">
        <v>519</v>
      </c>
    </row>
    <row r="469" spans="1:1" x14ac:dyDescent="0.35">
      <c r="A469" s="2" t="s">
        <v>520</v>
      </c>
    </row>
    <row r="470" spans="1:1" x14ac:dyDescent="0.35">
      <c r="A470" s="2" t="s">
        <v>521</v>
      </c>
    </row>
    <row r="471" spans="1:1" x14ac:dyDescent="0.35">
      <c r="A471" s="2" t="s">
        <v>522</v>
      </c>
    </row>
    <row r="472" spans="1:1" x14ac:dyDescent="0.35">
      <c r="A472" s="2" t="s">
        <v>523</v>
      </c>
    </row>
    <row r="473" spans="1:1" x14ac:dyDescent="0.35">
      <c r="A473" s="2" t="s">
        <v>524</v>
      </c>
    </row>
    <row r="474" spans="1:1" x14ac:dyDescent="0.35">
      <c r="A474" s="2" t="s">
        <v>525</v>
      </c>
    </row>
    <row r="475" spans="1:1" x14ac:dyDescent="0.35">
      <c r="A475" s="2" t="s">
        <v>526</v>
      </c>
    </row>
    <row r="476" spans="1:1" x14ac:dyDescent="0.35">
      <c r="A476" s="2" t="s">
        <v>527</v>
      </c>
    </row>
    <row r="477" spans="1:1" x14ac:dyDescent="0.35">
      <c r="A477" s="2" t="s">
        <v>528</v>
      </c>
    </row>
    <row r="478" spans="1:1" x14ac:dyDescent="0.35">
      <c r="A478" s="2" t="s">
        <v>529</v>
      </c>
    </row>
    <row r="479" spans="1:1" x14ac:dyDescent="0.35">
      <c r="A479" s="2" t="s">
        <v>530</v>
      </c>
    </row>
    <row r="480" spans="1:1" x14ac:dyDescent="0.35">
      <c r="A480" s="2" t="s">
        <v>531</v>
      </c>
    </row>
    <row r="481" spans="1:1" x14ac:dyDescent="0.35">
      <c r="A481" s="2" t="s">
        <v>532</v>
      </c>
    </row>
    <row r="482" spans="1:1" x14ac:dyDescent="0.35">
      <c r="A482" s="2" t="s">
        <v>533</v>
      </c>
    </row>
    <row r="483" spans="1:1" x14ac:dyDescent="0.35">
      <c r="A483" s="2" t="s">
        <v>534</v>
      </c>
    </row>
    <row r="484" spans="1:1" x14ac:dyDescent="0.35">
      <c r="A484" s="2" t="s">
        <v>535</v>
      </c>
    </row>
    <row r="485" spans="1:1" x14ac:dyDescent="0.35">
      <c r="A485" s="2" t="s">
        <v>536</v>
      </c>
    </row>
    <row r="486" spans="1:1" x14ac:dyDescent="0.35">
      <c r="A486" s="2" t="s">
        <v>537</v>
      </c>
    </row>
    <row r="487" spans="1:1" x14ac:dyDescent="0.35">
      <c r="A487" s="2" t="s">
        <v>538</v>
      </c>
    </row>
    <row r="488" spans="1:1" x14ac:dyDescent="0.35">
      <c r="A488" s="2" t="s">
        <v>539</v>
      </c>
    </row>
    <row r="489" spans="1:1" x14ac:dyDescent="0.35">
      <c r="A489" s="2" t="s">
        <v>540</v>
      </c>
    </row>
    <row r="490" spans="1:1" x14ac:dyDescent="0.35">
      <c r="A490" s="2" t="s">
        <v>541</v>
      </c>
    </row>
    <row r="491" spans="1:1" x14ac:dyDescent="0.35">
      <c r="A491" s="2" t="s">
        <v>542</v>
      </c>
    </row>
    <row r="492" spans="1:1" x14ac:dyDescent="0.35">
      <c r="A492" s="2" t="s">
        <v>543</v>
      </c>
    </row>
    <row r="493" spans="1:1" x14ac:dyDescent="0.35">
      <c r="A493" s="2" t="s">
        <v>544</v>
      </c>
    </row>
    <row r="494" spans="1:1" x14ac:dyDescent="0.35">
      <c r="A494" s="2" t="s">
        <v>545</v>
      </c>
    </row>
    <row r="495" spans="1:1" x14ac:dyDescent="0.35">
      <c r="A495" s="2" t="s">
        <v>546</v>
      </c>
    </row>
    <row r="496" spans="1:1" x14ac:dyDescent="0.35">
      <c r="A496" s="2" t="s">
        <v>547</v>
      </c>
    </row>
    <row r="497" spans="1:1" x14ac:dyDescent="0.35">
      <c r="A497" s="2" t="s">
        <v>548</v>
      </c>
    </row>
    <row r="498" spans="1:1" x14ac:dyDescent="0.35">
      <c r="A498" s="2" t="s">
        <v>549</v>
      </c>
    </row>
    <row r="499" spans="1:1" x14ac:dyDescent="0.35">
      <c r="A499" s="2" t="s">
        <v>550</v>
      </c>
    </row>
    <row r="500" spans="1:1" x14ac:dyDescent="0.35">
      <c r="A500" s="2" t="s">
        <v>551</v>
      </c>
    </row>
  </sheetData>
  <autoFilter ref="A1:A500" xr:uid="{00000000-0009-0000-0000-000002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6"/>
  <sheetViews>
    <sheetView showGridLines="0" workbookViewId="0"/>
  </sheetViews>
  <sheetFormatPr defaultColWidth="14.453125" defaultRowHeight="15" customHeight="1" x14ac:dyDescent="0.35"/>
  <cols>
    <col min="1" max="1" width="32" customWidth="1"/>
  </cols>
  <sheetData>
    <row r="1" spans="1:9" x14ac:dyDescent="0.35">
      <c r="A1" s="5" t="s">
        <v>646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5</v>
      </c>
      <c r="G1" s="6" t="s">
        <v>6</v>
      </c>
      <c r="H1" s="6" t="s">
        <v>8</v>
      </c>
      <c r="I1" s="6" t="s">
        <v>9</v>
      </c>
    </row>
    <row r="2" spans="1:9" x14ac:dyDescent="0.35">
      <c r="A2" s="7" t="s">
        <v>647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  <c r="I2" s="2" t="b">
        <v>1</v>
      </c>
    </row>
    <row r="3" spans="1:9" x14ac:dyDescent="0.35">
      <c r="A3" s="7" t="s">
        <v>648</v>
      </c>
      <c r="B3" s="2" t="b">
        <v>1</v>
      </c>
      <c r="C3" s="2" t="b">
        <v>0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</row>
    <row r="4" spans="1:9" x14ac:dyDescent="0.35">
      <c r="A4" s="7" t="s">
        <v>649</v>
      </c>
      <c r="B4" s="2" t="b">
        <v>1</v>
      </c>
      <c r="C4" s="2" t="b">
        <v>0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</row>
    <row r="5" spans="1:9" x14ac:dyDescent="0.35">
      <c r="A5" s="7" t="s">
        <v>650</v>
      </c>
      <c r="B5" s="2" t="b">
        <v>0</v>
      </c>
      <c r="C5" s="2" t="b">
        <v>0</v>
      </c>
      <c r="D5" s="2" t="b">
        <v>0</v>
      </c>
      <c r="E5" s="2" t="b">
        <v>1</v>
      </c>
      <c r="F5" s="2" t="b">
        <v>0</v>
      </c>
      <c r="G5" s="2" t="b">
        <v>0</v>
      </c>
      <c r="H5" s="2" t="b">
        <v>0</v>
      </c>
      <c r="I5" s="2" t="b">
        <v>0</v>
      </c>
    </row>
    <row r="6" spans="1:9" x14ac:dyDescent="0.35">
      <c r="A6" s="7" t="s">
        <v>651</v>
      </c>
      <c r="B6" s="2" t="b">
        <v>0</v>
      </c>
      <c r="C6" s="2" t="b">
        <v>0</v>
      </c>
      <c r="D6" s="2" t="b">
        <v>0</v>
      </c>
      <c r="E6" s="2" t="b">
        <v>0</v>
      </c>
      <c r="F6" s="2" t="b">
        <v>1</v>
      </c>
      <c r="G6" s="2" t="b">
        <v>1</v>
      </c>
      <c r="H6" s="2" t="b">
        <v>1</v>
      </c>
      <c r="I6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Raw Dataset</vt:lpstr>
      <vt:lpstr>Data Cleaning</vt:lpstr>
      <vt:lpstr>Null Data</vt:lpstr>
      <vt:lpstr>Feature Engineering</vt:lpstr>
      <vt:lpstr>Pivot Table</vt:lpstr>
      <vt:lpstr>Project Reference</vt:lpstr>
      <vt:lpstr>Variable Check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Digitaloffie11618</cp:lastModifiedBy>
  <dcterms:created xsi:type="dcterms:W3CDTF">2026-02-11T04:31:16Z</dcterms:created>
  <dcterms:modified xsi:type="dcterms:W3CDTF">2026-02-22T06:10:08Z</dcterms:modified>
</cp:coreProperties>
</file>