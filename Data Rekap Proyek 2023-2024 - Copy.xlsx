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ri Dataset (ChatGPT)" sheetId="1" r:id="rId4"/>
    <sheet state="visible" name="Raw Dataset" sheetId="2" r:id="rId5"/>
    <sheet state="hidden" name="Project Reference" sheetId="3" r:id="rId6"/>
    <sheet state="visible" name="Remove Duplicates" sheetId="4" r:id="rId7"/>
    <sheet state="hidden" name="Variable Check List" sheetId="5" r:id="rId8"/>
    <sheet state="visible" name="Pivot Table" sheetId="6" r:id="rId9"/>
    <sheet state="visible" name="Descriptive Stats" sheetId="7" r:id="rId10"/>
    <sheet state="visible" name="Data Quality" sheetId="8" r:id="rId11"/>
    <sheet state="visible" name="Data Cleaning" sheetId="9" r:id="rId12"/>
    <sheet state="visible" name="Data Cleaning Steps" sheetId="10" r:id="rId13"/>
  </sheets>
  <definedNames>
    <definedName hidden="1" localSheetId="0" name="_xlnm._FilterDatabase">'Ori Dataset (ChatGPT)'!$A$1:$K$501</definedName>
    <definedName hidden="1" localSheetId="2" name="_xlnm._FilterDatabase">'Project Reference'!$A$1:$A$500</definedName>
    <definedName hidden="1" localSheetId="3" name="_xlnm._FilterDatabase">'Remove Duplicates'!$A$1:$A$501</definedName>
    <definedName hidden="1" localSheetId="7" name="_xlnm._FilterDatabase">'Data Quality'!$A$1:$V$501</definedName>
    <definedName hidden="1" localSheetId="8" name="_xlnm._FilterDatabase">'Data Cleaning'!$A$1:$V$501</definedName>
  </definedNames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<sst xmlns="http://schemas.openxmlformats.org/spreadsheetml/2006/main" count="11450" uniqueCount="706">
  <si>
    <t>ID_Proyek</t>
  </si>
  <si>
    <t>Jenis_Proyek</t>
  </si>
  <si>
    <t>Lokasi</t>
  </si>
  <si>
    <t>Nama_Proyek</t>
  </si>
  <si>
    <t>Panjang_Jalan</t>
  </si>
  <si>
    <t>Tanggal_Mulai</t>
  </si>
  <si>
    <t>Tanggal_Selesai</t>
  </si>
  <si>
    <t>Durasi_Proyek</t>
  </si>
  <si>
    <t>Anggaran</t>
  </si>
  <si>
    <t>Kontraktor</t>
  </si>
  <si>
    <t>Sumber_Dana</t>
  </si>
  <si>
    <t>CN-0001-2023</t>
  </si>
  <si>
    <t>Jalan Raya</t>
  </si>
  <si>
    <t>Tomohon</t>
  </si>
  <si>
    <t>Pembangunan Jalan Raya Tomohon</t>
  </si>
  <si>
    <t>Perum Lailasari Hariyah (Persero) Tbk</t>
  </si>
  <si>
    <t>APBN 2023</t>
  </si>
  <si>
    <t>CN-0002-2023</t>
  </si>
  <si>
    <t>Gedung</t>
  </si>
  <si>
    <t>Makassar</t>
  </si>
  <si>
    <t>Pembangunan Gedung Pemerintah Makassar</t>
  </si>
  <si>
    <t>PT A</t>
  </si>
  <si>
    <t>APBD 2023</t>
  </si>
  <si>
    <t>CN-0003-2023</t>
  </si>
  <si>
    <t>Depok</t>
  </si>
  <si>
    <t>Pembangunan Jalan Raya Depok</t>
  </si>
  <si>
    <t>Perum Yuniar Hakim Tbk</t>
  </si>
  <si>
    <t>CN-0004-2023</t>
  </si>
  <si>
    <t>Pembangunan Jalan Raya Makassar</t>
  </si>
  <si>
    <t>CN-0005-2023</t>
  </si>
  <si>
    <t>Jembatan</t>
  </si>
  <si>
    <t>Bau-Bau</t>
  </si>
  <si>
    <t>Rehabilitasi Jembatan Bau-Bau</t>
  </si>
  <si>
    <t>PT C</t>
  </si>
  <si>
    <t>CN-0006-2023</t>
  </si>
  <si>
    <t>Drainase</t>
  </si>
  <si>
    <t>Bandung</t>
  </si>
  <si>
    <t>Perbaikan Drainase Bandung</t>
  </si>
  <si>
    <t>CN-0007-2023</t>
  </si>
  <si>
    <t>Jakarta</t>
  </si>
  <si>
    <t>Rehabilitasi Jembatan Jakarta</t>
  </si>
  <si>
    <t>CN-0008-2023</t>
  </si>
  <si>
    <t>Medan</t>
  </si>
  <si>
    <t>Rehabilitasi Jembatan Medan</t>
  </si>
  <si>
    <t>CV Sihombing</t>
  </si>
  <si>
    <t>CN-0009-2023</t>
  </si>
  <si>
    <t>Pembangunan Jalan Raya Bandung</t>
  </si>
  <si>
    <t>CN-0010-2023</t>
  </si>
  <si>
    <t>Surabaya</t>
  </si>
  <si>
    <t>Perbaikan Drainase Surabaya</t>
  </si>
  <si>
    <t>PT D</t>
  </si>
  <si>
    <t>CN-0011-2023</t>
  </si>
  <si>
    <t>CN-0012-2023</t>
  </si>
  <si>
    <t>Pembangunan Gedung Pemerintah Jakarta</t>
  </si>
  <si>
    <t>CN-0013-2023</t>
  </si>
  <si>
    <t>CN-0014-2023</t>
  </si>
  <si>
    <t>Rehabilitasi Jembatan Tomohon</t>
  </si>
  <si>
    <t>CN-0015-2023</t>
  </si>
  <si>
    <t>Rehabilitasi Jembatan Makassar</t>
  </si>
  <si>
    <t>CN-0016-2023</t>
  </si>
  <si>
    <t>Flyover</t>
  </si>
  <si>
    <t>Pembangunan Flyover Bandung</t>
  </si>
  <si>
    <t>CN-0017-2023</t>
  </si>
  <si>
    <t>Pembangunan Jalan Raya Medan</t>
  </si>
  <si>
    <t>CN-0018-2023</t>
  </si>
  <si>
    <t>CN-0019-2023</t>
  </si>
  <si>
    <t>Pembangunan Flyover Surabaya</t>
  </si>
  <si>
    <t>PT B</t>
  </si>
  <si>
    <t>CN-0020-2023</t>
  </si>
  <si>
    <t>Perbaikan Drainase Medan</t>
  </si>
  <si>
    <t>CN-0021-2023</t>
  </si>
  <si>
    <t>Pembangunan Gedung Pemerintah Bandung</t>
  </si>
  <si>
    <t>CN-0022-2023</t>
  </si>
  <si>
    <t>CN-0023-2023</t>
  </si>
  <si>
    <t>Pembangunan Gedung Pemerintah Bau-Bau</t>
  </si>
  <si>
    <t>CN-0024-2023</t>
  </si>
  <si>
    <t>CN-0025-2023</t>
  </si>
  <si>
    <t>CN-0026-2023</t>
  </si>
  <si>
    <t>Perbaikan Drainase Tomohon</t>
  </si>
  <si>
    <t>CN-0027-2023</t>
  </si>
  <si>
    <t>Pembangunan Flyover Depok</t>
  </si>
  <si>
    <t>CN-0028-2023</t>
  </si>
  <si>
    <t>CN-0029-2023</t>
  </si>
  <si>
    <t>Pembangunan Jalan Raya Bau-Bau</t>
  </si>
  <si>
    <t>CN-0030-2023</t>
  </si>
  <si>
    <t>Rehabilitasi Jembatan Depok</t>
  </si>
  <si>
    <t>CN-0031-2023</t>
  </si>
  <si>
    <t>Pembangunan Flyover Makassar</t>
  </si>
  <si>
    <t>CN-0032-2023</t>
  </si>
  <si>
    <t>CN-0033-2023</t>
  </si>
  <si>
    <t>CN-0034-2023</t>
  </si>
  <si>
    <t>Perbaikan Drainase Bau-Bau</t>
  </si>
  <si>
    <t>CN-0035-2023</t>
  </si>
  <si>
    <t>Rehabilitasi Jembatan Bandung</t>
  </si>
  <si>
    <t>CN-0036-2023</t>
  </si>
  <si>
    <t>Pembangunan Gedung Pemerintah Depok</t>
  </si>
  <si>
    <t>CN-0037-2023</t>
  </si>
  <si>
    <t>Perbaikan Drainase Makassar</t>
  </si>
  <si>
    <t>CN-0038-2023</t>
  </si>
  <si>
    <t>CN-0039-2023</t>
  </si>
  <si>
    <t>CN-0040-2023</t>
  </si>
  <si>
    <t>Rehabilitasi Jembatan Surabaya</t>
  </si>
  <si>
    <t>CN-0041-2023</t>
  </si>
  <si>
    <t>CN-0042-2023</t>
  </si>
  <si>
    <t>CN-0043-2023</t>
  </si>
  <si>
    <t>CN-0044-2023</t>
  </si>
  <si>
    <t>CN-0045-2023</t>
  </si>
  <si>
    <t>CN-0046-2023</t>
  </si>
  <si>
    <t>CN-0047-2023</t>
  </si>
  <si>
    <t>CN-0048-2023</t>
  </si>
  <si>
    <t>CN-0049-2023</t>
  </si>
  <si>
    <t>Pembangunan Flyover Bau-Bau</t>
  </si>
  <si>
    <t>CN-0050-2023</t>
  </si>
  <si>
    <t>CN-0051-2023</t>
  </si>
  <si>
    <t>CN-0052-2023</t>
  </si>
  <si>
    <t>CN-0053-2023</t>
  </si>
  <si>
    <t>CN-0054-2023</t>
  </si>
  <si>
    <t>CN-0055-2023</t>
  </si>
  <si>
    <t>CN-0056-2023</t>
  </si>
  <si>
    <t>CN-0057-2023</t>
  </si>
  <si>
    <t>CN-0058-2023</t>
  </si>
  <si>
    <t>Pembangunan Gedung Pemerintah Surabaya</t>
  </si>
  <si>
    <t>CN-0059-2023</t>
  </si>
  <si>
    <t>CN-0060-2023</t>
  </si>
  <si>
    <t>CN-0061-2023</t>
  </si>
  <si>
    <t>CN-0062-2023</t>
  </si>
  <si>
    <t>CN-0063-2023</t>
  </si>
  <si>
    <t>CN-0064-2023</t>
  </si>
  <si>
    <t>CN-0065-2023</t>
  </si>
  <si>
    <t>CN-0066-2023</t>
  </si>
  <si>
    <t>CN-0067-2023</t>
  </si>
  <si>
    <t>CN-0068-2023</t>
  </si>
  <si>
    <t>CN-0069-2023</t>
  </si>
  <si>
    <t>Perbaikan Drainase Depok</t>
  </si>
  <si>
    <t>CN-0070-2023</t>
  </si>
  <si>
    <t>Pembangunan Gedung Pemerintah Medan</t>
  </si>
  <si>
    <t>CN-0071-2023</t>
  </si>
  <si>
    <t>CN-0072-2023</t>
  </si>
  <si>
    <t>CN-0073-2023</t>
  </si>
  <si>
    <t>CN-0074-2023</t>
  </si>
  <si>
    <t>CN-0075-2023</t>
  </si>
  <si>
    <t>CN-0076-2023</t>
  </si>
  <si>
    <t>CN-0077-2023</t>
  </si>
  <si>
    <t>Pembangunan Gedung Pemerintah Tomohon</t>
  </si>
  <si>
    <t>CN-0078-2023</t>
  </si>
  <si>
    <t>Perbaikan Drainase Jakarta</t>
  </si>
  <si>
    <t>CN-0079-2023</t>
  </si>
  <si>
    <t>CN-0080-2023</t>
  </si>
  <si>
    <t>CN-0081-2023</t>
  </si>
  <si>
    <t>CN-0082-2023</t>
  </si>
  <si>
    <t>CN-0083-2023</t>
  </si>
  <si>
    <t>CN-0084-2023</t>
  </si>
  <si>
    <t>CN-0085-2023</t>
  </si>
  <si>
    <t>CN-0086-2023</t>
  </si>
  <si>
    <t>Pembangunan Flyover Medan</t>
  </si>
  <si>
    <t>CN-0087-2023</t>
  </si>
  <si>
    <t>CN-0088-2023</t>
  </si>
  <si>
    <t>CN-0089-2023</t>
  </si>
  <si>
    <t>CN-0090-2023</t>
  </si>
  <si>
    <t>CN-0091-2023</t>
  </si>
  <si>
    <t>Pembangunan Jalan Raya Jakarta</t>
  </si>
  <si>
    <t>CN-0092-2023</t>
  </si>
  <si>
    <t>CN-0093-2023</t>
  </si>
  <si>
    <t>CN-0094-2023</t>
  </si>
  <si>
    <t>CN-0095-2023</t>
  </si>
  <si>
    <t>CN-0096-2023</t>
  </si>
  <si>
    <t>CN-0097-2023</t>
  </si>
  <si>
    <t>CN-0098-2023</t>
  </si>
  <si>
    <t>CN-0099-2023</t>
  </si>
  <si>
    <t>CN-0100-2023</t>
  </si>
  <si>
    <t>CN-0101-2023</t>
  </si>
  <si>
    <t>Pembangunan Jalan Raya Surabaya</t>
  </si>
  <si>
    <t>CN-0102-2023</t>
  </si>
  <si>
    <t>CN-0103-2023</t>
  </si>
  <si>
    <t>CN-0104-2023</t>
  </si>
  <si>
    <t>CN-0105-2023</t>
  </si>
  <si>
    <t>CN-0106-2023</t>
  </si>
  <si>
    <t>CN-0107-2023</t>
  </si>
  <si>
    <t>CN-0108-2023</t>
  </si>
  <si>
    <t>CN-0109-2023</t>
  </si>
  <si>
    <t>CN-0110-2023</t>
  </si>
  <si>
    <t>CN-0111-2023</t>
  </si>
  <si>
    <t>Pembangunan Flyover Tomohon</t>
  </si>
  <si>
    <t>CN-0112-2023</t>
  </si>
  <si>
    <t>CN-0113-2023</t>
  </si>
  <si>
    <t>Pembangunan Flyover Jakarta</t>
  </si>
  <si>
    <t>CN-0114-2023</t>
  </si>
  <si>
    <t>CN-0115-2023</t>
  </si>
  <si>
    <t>CN-0116-2023</t>
  </si>
  <si>
    <t>CN-0117-2023</t>
  </si>
  <si>
    <t>CN-0118-2023</t>
  </si>
  <si>
    <t>CN-0119-2023</t>
  </si>
  <si>
    <t>CN-0120-2023</t>
  </si>
  <si>
    <t>CN-0121-2023</t>
  </si>
  <si>
    <t>CN-0122-2023</t>
  </si>
  <si>
    <t>CN-0123-2023</t>
  </si>
  <si>
    <t>CN-0124-2023</t>
  </si>
  <si>
    <t>CN-0125-2023</t>
  </si>
  <si>
    <t>CN-0126-2023</t>
  </si>
  <si>
    <t>CN-0127-2023</t>
  </si>
  <si>
    <t>CN-0128-2023</t>
  </si>
  <si>
    <t>CN-0129-2023</t>
  </si>
  <si>
    <t>CN-0130-2023</t>
  </si>
  <si>
    <t>CN-0131-2023</t>
  </si>
  <si>
    <t>CN-0132-2023</t>
  </si>
  <si>
    <t>CN-0133-2023</t>
  </si>
  <si>
    <t>CN-0134-2023</t>
  </si>
  <si>
    <t>CN-0135-2023</t>
  </si>
  <si>
    <t>CN-0136-2023</t>
  </si>
  <si>
    <t>CN-0137-2023</t>
  </si>
  <si>
    <t>CN-0138-2023</t>
  </si>
  <si>
    <t>CN-0139-2023</t>
  </si>
  <si>
    <t>CN-0140-2023</t>
  </si>
  <si>
    <t>CN-0141-2023</t>
  </si>
  <si>
    <t>CN-0142-2023</t>
  </si>
  <si>
    <t>CN-0143-2023</t>
  </si>
  <si>
    <t>CN-0144-2023</t>
  </si>
  <si>
    <t>CN-0145-2023</t>
  </si>
  <si>
    <t>CN-0146-2023</t>
  </si>
  <si>
    <t>CN-0147-2023</t>
  </si>
  <si>
    <t>CN-0148-2023</t>
  </si>
  <si>
    <t>CN-0149-2023</t>
  </si>
  <si>
    <t>CN-0150-2023</t>
  </si>
  <si>
    <t>CN-0151-2023</t>
  </si>
  <si>
    <t>CN-0152-2023</t>
  </si>
  <si>
    <t>CN-0153-2023</t>
  </si>
  <si>
    <t>CN-0154-2023</t>
  </si>
  <si>
    <t>CN-0155-2023</t>
  </si>
  <si>
    <t>CN-0156-2023</t>
  </si>
  <si>
    <t>CN-0157-2023</t>
  </si>
  <si>
    <t>CN-0158-2023</t>
  </si>
  <si>
    <t>CN-0159-2023</t>
  </si>
  <si>
    <t>CN-0160-2023</t>
  </si>
  <si>
    <t>CN-0161-2023</t>
  </si>
  <si>
    <t>CN-0162-2023</t>
  </si>
  <si>
    <t>CN-0163-2023</t>
  </si>
  <si>
    <t>CN-0164-2023</t>
  </si>
  <si>
    <t>CN-0165-2023</t>
  </si>
  <si>
    <t>CN-0166-2023</t>
  </si>
  <si>
    <t>CN-0167-2023</t>
  </si>
  <si>
    <t>CN-0168-2023</t>
  </si>
  <si>
    <t>CN-0169-2023</t>
  </si>
  <si>
    <t>CN-0170-2023</t>
  </si>
  <si>
    <t>CN-0171-2023</t>
  </si>
  <si>
    <t>CN-0172-2023</t>
  </si>
  <si>
    <t>CN-0173-2023</t>
  </si>
  <si>
    <t>CN-0174-2023</t>
  </si>
  <si>
    <t>CN-0175-2023</t>
  </si>
  <si>
    <t>CN-0176-2023</t>
  </si>
  <si>
    <t>CN-0177-2023</t>
  </si>
  <si>
    <t>CN-0178-2023</t>
  </si>
  <si>
    <t>CN-0179-2023</t>
  </si>
  <si>
    <t>CN-0180-2023</t>
  </si>
  <si>
    <t>CN-0181-2023</t>
  </si>
  <si>
    <t>CN-0182-2023</t>
  </si>
  <si>
    <t>CN-0183-2023</t>
  </si>
  <si>
    <t>CN-0184-2023</t>
  </si>
  <si>
    <t>CN-0185-2023</t>
  </si>
  <si>
    <t>CN-0186-2023</t>
  </si>
  <si>
    <t>CN-0187-2023</t>
  </si>
  <si>
    <t>CN-0188-2023</t>
  </si>
  <si>
    <t>CN-0189-2023</t>
  </si>
  <si>
    <t>CN-0190-2023</t>
  </si>
  <si>
    <t>CN-0191-2023</t>
  </si>
  <si>
    <t>CN-0192-2023</t>
  </si>
  <si>
    <t>CN-0193-2023</t>
  </si>
  <si>
    <t>CN-0194-2023</t>
  </si>
  <si>
    <t>CN-0195-2023</t>
  </si>
  <si>
    <t>CN-0196-2023</t>
  </si>
  <si>
    <t>CN-0197-2023</t>
  </si>
  <si>
    <t>CN-0198-2023</t>
  </si>
  <si>
    <t>CN-0199-2023</t>
  </si>
  <si>
    <t>CN-0200-2023</t>
  </si>
  <si>
    <t>CN-0201-2023</t>
  </si>
  <si>
    <t>CN-0202-2023</t>
  </si>
  <si>
    <t>CN-0203-2023</t>
  </si>
  <si>
    <t>CN-0204-2023</t>
  </si>
  <si>
    <t>CN-0205-2023</t>
  </si>
  <si>
    <t>CN-0206-2023</t>
  </si>
  <si>
    <t>CN-0207-2023</t>
  </si>
  <si>
    <t>CN-0208-2023</t>
  </si>
  <si>
    <t>CN-0209-2023</t>
  </si>
  <si>
    <t>CN-0210-2023</t>
  </si>
  <si>
    <t>CN-0211-2023</t>
  </si>
  <si>
    <t>CN-0212-2023</t>
  </si>
  <si>
    <t>CN-0213-2023</t>
  </si>
  <si>
    <t>CN-0214-2023</t>
  </si>
  <si>
    <t>CN-0215-2023</t>
  </si>
  <si>
    <t>CN-0216-2023</t>
  </si>
  <si>
    <t>CN-0217-2023</t>
  </si>
  <si>
    <t>CN-0218-2023</t>
  </si>
  <si>
    <t>CN-0219-2023</t>
  </si>
  <si>
    <t>CN-0220-2023</t>
  </si>
  <si>
    <t>CN-0221-2023</t>
  </si>
  <si>
    <t>CN-0222-2023</t>
  </si>
  <si>
    <t>CN-0223-2023</t>
  </si>
  <si>
    <t>CN-0224-2023</t>
  </si>
  <si>
    <t>CN-0225-2023</t>
  </si>
  <si>
    <t>CN-0226-2023</t>
  </si>
  <si>
    <t>CN-0227-2023</t>
  </si>
  <si>
    <t>CN-0228-2023</t>
  </si>
  <si>
    <t>CN-0229-2023</t>
  </si>
  <si>
    <t>CN-0230-2023</t>
  </si>
  <si>
    <t>CN-0231-2023</t>
  </si>
  <si>
    <t>CN-0232-2023</t>
  </si>
  <si>
    <t>CN-0233-2023</t>
  </si>
  <si>
    <t>CN-0234-2023</t>
  </si>
  <si>
    <t>CN-0235-2023</t>
  </si>
  <si>
    <t>CN-0236-2023</t>
  </si>
  <si>
    <t>CN-0237-2023</t>
  </si>
  <si>
    <t>CN-0238-2023</t>
  </si>
  <si>
    <t>CN-0239-2023</t>
  </si>
  <si>
    <t>CN-0240-2023</t>
  </si>
  <si>
    <t>CN-0241-2023</t>
  </si>
  <si>
    <t>CN-0242-2023</t>
  </si>
  <si>
    <t>CN-0243-2023</t>
  </si>
  <si>
    <t>CN-0244-2023</t>
  </si>
  <si>
    <t>CN-0245-2023</t>
  </si>
  <si>
    <t>CN-0246-2023</t>
  </si>
  <si>
    <t>CN-0247-2023</t>
  </si>
  <si>
    <t>CN-0248-2023</t>
  </si>
  <si>
    <t>CN-0249-2023</t>
  </si>
  <si>
    <t>CN-0250-2023</t>
  </si>
  <si>
    <t>CN-0251-2023</t>
  </si>
  <si>
    <t>CN-0252-2023</t>
  </si>
  <si>
    <t>CN-0253-2023</t>
  </si>
  <si>
    <t>CN-0254-2023</t>
  </si>
  <si>
    <t>CN-0255-2023</t>
  </si>
  <si>
    <t>CN-0256-2023</t>
  </si>
  <si>
    <t>CN-0257-2023</t>
  </si>
  <si>
    <t>CN-0258-2023</t>
  </si>
  <si>
    <t>CN-0259-2023</t>
  </si>
  <si>
    <t>CN-0260-2023</t>
  </si>
  <si>
    <t>CN-0261-2023</t>
  </si>
  <si>
    <t>CN-0262-2023</t>
  </si>
  <si>
    <t>CN-0263-2023</t>
  </si>
  <si>
    <t>CN-0264-2023</t>
  </si>
  <si>
    <t>CN-0265-2023</t>
  </si>
  <si>
    <t>CN-0266-2023</t>
  </si>
  <si>
    <t>CN-0267-2023</t>
  </si>
  <si>
    <t>CN-0268-2023</t>
  </si>
  <si>
    <t>CN-0269-2023</t>
  </si>
  <si>
    <t>CN-0270-2023</t>
  </si>
  <si>
    <t>CN-0271-2023</t>
  </si>
  <si>
    <t>CN-0272-2023</t>
  </si>
  <si>
    <t>CN-0273-2023</t>
  </si>
  <si>
    <t>CN-0274-2023</t>
  </si>
  <si>
    <t>CN-0275-2023</t>
  </si>
  <si>
    <t>CN-0276-2023</t>
  </si>
  <si>
    <t>CN-0277-2023</t>
  </si>
  <si>
    <t>CN-0278-2023</t>
  </si>
  <si>
    <t>CN-0279-2023</t>
  </si>
  <si>
    <t>CN-0280-2023</t>
  </si>
  <si>
    <t>CN-0281-2023</t>
  </si>
  <si>
    <t>CN-0282-2023</t>
  </si>
  <si>
    <t>CN-0283-2023</t>
  </si>
  <si>
    <t>CN-0284-2023</t>
  </si>
  <si>
    <t>CN-0285-2023</t>
  </si>
  <si>
    <t>CN-0286-2023</t>
  </si>
  <si>
    <t>CN-0287-2023</t>
  </si>
  <si>
    <t>CN-0288-2023</t>
  </si>
  <si>
    <t>CN-0289-2023</t>
  </si>
  <si>
    <t>CN-0290-2023</t>
  </si>
  <si>
    <t>CN-0291-2023</t>
  </si>
  <si>
    <t>CN-0292-2023</t>
  </si>
  <si>
    <t>CN-0293-2023</t>
  </si>
  <si>
    <t>CN-0294-2023</t>
  </si>
  <si>
    <t>CN-0295-2023</t>
  </si>
  <si>
    <t>CN-0296-2023</t>
  </si>
  <si>
    <t>CN-0297-2023</t>
  </si>
  <si>
    <t>CN-0298-2023</t>
  </si>
  <si>
    <t>CN-0299-2023</t>
  </si>
  <si>
    <t>CN-0300-2023</t>
  </si>
  <si>
    <t>CN-0301-2023</t>
  </si>
  <si>
    <t>CN-0302-2023</t>
  </si>
  <si>
    <t>CN-0303-2023</t>
  </si>
  <si>
    <t>CN-0304-2023</t>
  </si>
  <si>
    <t>CN-0305-2023</t>
  </si>
  <si>
    <t>CN-0306-2023</t>
  </si>
  <si>
    <t>CN-0307-2023</t>
  </si>
  <si>
    <t>CN-0308-2023</t>
  </si>
  <si>
    <t>CN-0309-2023</t>
  </si>
  <si>
    <t>CN-0310-2023</t>
  </si>
  <si>
    <t>CN-0311-2023</t>
  </si>
  <si>
    <t>CN-0312-2023</t>
  </si>
  <si>
    <t>CN-0313-2023</t>
  </si>
  <si>
    <t>CN-0314-2023</t>
  </si>
  <si>
    <t>CN-0315-2023</t>
  </si>
  <si>
    <t>CN-0316-2023</t>
  </si>
  <si>
    <t>CN-0317-2023</t>
  </si>
  <si>
    <t>CN-0318-2023</t>
  </si>
  <si>
    <t>CN-0319-2023</t>
  </si>
  <si>
    <t>CN-0320-2023</t>
  </si>
  <si>
    <t>CN-0321-2023</t>
  </si>
  <si>
    <t>CN-0322-2023</t>
  </si>
  <si>
    <t>CN-0323-2023</t>
  </si>
  <si>
    <t>CN-0324-2023</t>
  </si>
  <si>
    <t>CN-0325-2023</t>
  </si>
  <si>
    <t>CN-0326-2023</t>
  </si>
  <si>
    <t>CN-0327-2023</t>
  </si>
  <si>
    <t>CN-0328-2023</t>
  </si>
  <si>
    <t>CN-0329-2023</t>
  </si>
  <si>
    <t>CN-0330-2023</t>
  </si>
  <si>
    <t>CN-0331-2023</t>
  </si>
  <si>
    <t>CN-0332-2023</t>
  </si>
  <si>
    <t>CN-0333-2023</t>
  </si>
  <si>
    <t>CN-0334-2023</t>
  </si>
  <si>
    <t>CN-0335-2023</t>
  </si>
  <si>
    <t>CN-0336-2023</t>
  </si>
  <si>
    <t>CN-0337-2023</t>
  </si>
  <si>
    <t>CN-0338-2023</t>
  </si>
  <si>
    <t>CN-0339-2023</t>
  </si>
  <si>
    <t>CN-0340-2023</t>
  </si>
  <si>
    <t>CN-0341-2023</t>
  </si>
  <si>
    <t>CN-0342-2023</t>
  </si>
  <si>
    <t>CN-0343-2023</t>
  </si>
  <si>
    <t>CN-0344-2023</t>
  </si>
  <si>
    <t>CN-0345-2023</t>
  </si>
  <si>
    <t>CN-0346-2023</t>
  </si>
  <si>
    <t>CN-0347-2023</t>
  </si>
  <si>
    <t>CN-0348-2023</t>
  </si>
  <si>
    <t>CN-0349-2023</t>
  </si>
  <si>
    <t>CN-0350-2023</t>
  </si>
  <si>
    <t>CN-0351-2023</t>
  </si>
  <si>
    <t>CN-0352-2023</t>
  </si>
  <si>
    <t>CN-0353-2023</t>
  </si>
  <si>
    <t>CN-0354-2023</t>
  </si>
  <si>
    <t>CN-0355-2023</t>
  </si>
  <si>
    <t>CN-0356-2023</t>
  </si>
  <si>
    <t>CN-0357-2023</t>
  </si>
  <si>
    <t>CN-0358-2023</t>
  </si>
  <si>
    <t>CN-0359-2023</t>
  </si>
  <si>
    <t>CN-0360-2023</t>
  </si>
  <si>
    <t>CN-0361-2023</t>
  </si>
  <si>
    <t>CN-0362-2023</t>
  </si>
  <si>
    <t>CN-0363-2023</t>
  </si>
  <si>
    <t>CN-0364-2023</t>
  </si>
  <si>
    <t>CN-0365-2023</t>
  </si>
  <si>
    <t>CN-0366-2023</t>
  </si>
  <si>
    <t>CN-0367-2023</t>
  </si>
  <si>
    <t>CN-0368-2023</t>
  </si>
  <si>
    <t>CN-0369-2023</t>
  </si>
  <si>
    <t>CN-0370-2023</t>
  </si>
  <si>
    <t>CN-0371-2023</t>
  </si>
  <si>
    <t>CN-0372-2023</t>
  </si>
  <si>
    <t>CN-0373-2023</t>
  </si>
  <si>
    <t>CN-0374-2023</t>
  </si>
  <si>
    <t>CN-0375-2023</t>
  </si>
  <si>
    <t>CN-0376-2023</t>
  </si>
  <si>
    <t>CN-0377-2023</t>
  </si>
  <si>
    <t>CN-0378-2023</t>
  </si>
  <si>
    <t>CN-0379-2023</t>
  </si>
  <si>
    <t>CN-0380-2023</t>
  </si>
  <si>
    <t>CN-0381-2023</t>
  </si>
  <si>
    <t>CN-0382-2023</t>
  </si>
  <si>
    <t>CN-0383-2023</t>
  </si>
  <si>
    <t>CN-0384-2023</t>
  </si>
  <si>
    <t>CN-0385-2023</t>
  </si>
  <si>
    <t>CN-0386-2023</t>
  </si>
  <si>
    <t>CN-0387-2023</t>
  </si>
  <si>
    <t>CN-0388-2023</t>
  </si>
  <si>
    <t>CN-0389-2023</t>
  </si>
  <si>
    <t>CN-0390-2023</t>
  </si>
  <si>
    <t>CN-0391-2023</t>
  </si>
  <si>
    <t>CN-0392-2023</t>
  </si>
  <si>
    <t>CN-0393-2023</t>
  </si>
  <si>
    <t>CN-0394-2023</t>
  </si>
  <si>
    <t>CN-0395-2023</t>
  </si>
  <si>
    <t>CN-0396-2023</t>
  </si>
  <si>
    <t>CN-0397-2023</t>
  </si>
  <si>
    <t>CN-0398-2023</t>
  </si>
  <si>
    <t>CN-0399-2023</t>
  </si>
  <si>
    <t>CN-0400-2023</t>
  </si>
  <si>
    <t>CN-0401-2023</t>
  </si>
  <si>
    <t>CN-0402-2023</t>
  </si>
  <si>
    <t>CN-0403-2023</t>
  </si>
  <si>
    <t>CN-0404-2023</t>
  </si>
  <si>
    <t>CN-0405-2023</t>
  </si>
  <si>
    <t>CN-0406-2023</t>
  </si>
  <si>
    <t>CN-0407-2023</t>
  </si>
  <si>
    <t>CN-0408-2023</t>
  </si>
  <si>
    <t>CN-0409-2023</t>
  </si>
  <si>
    <t>CN-0410-2023</t>
  </si>
  <si>
    <t>CN-0411-2023</t>
  </si>
  <si>
    <t>CN-0412-2023</t>
  </si>
  <si>
    <t>CN-0413-2023</t>
  </si>
  <si>
    <t>CN-0414-2023</t>
  </si>
  <si>
    <t>CN-0415-2023</t>
  </si>
  <si>
    <t>CN-0416-2023</t>
  </si>
  <si>
    <t>CN-0417-2023</t>
  </si>
  <si>
    <t>CN-0418-2023</t>
  </si>
  <si>
    <t>CN-0419-2023</t>
  </si>
  <si>
    <t>CN-0420-2023</t>
  </si>
  <si>
    <t>CN-0421-2023</t>
  </si>
  <si>
    <t>CN-0422-2023</t>
  </si>
  <si>
    <t>CN-0423-2023</t>
  </si>
  <si>
    <t>CN-0424-2023</t>
  </si>
  <si>
    <t>CN-0425-2023</t>
  </si>
  <si>
    <t>CN-0426-2023</t>
  </si>
  <si>
    <t>CN-0427-2023</t>
  </si>
  <si>
    <t>CN-0428-2023</t>
  </si>
  <si>
    <t>CN-0429-2023</t>
  </si>
  <si>
    <t>CN-0430-2023</t>
  </si>
  <si>
    <t>CN-0431-2023</t>
  </si>
  <si>
    <t>CN-0432-2023</t>
  </si>
  <si>
    <t>CN-0433-2023</t>
  </si>
  <si>
    <t>CN-0434-2023</t>
  </si>
  <si>
    <t>CN-0435-2023</t>
  </si>
  <si>
    <t>CN-0436-2023</t>
  </si>
  <si>
    <t>CN-0437-2023</t>
  </si>
  <si>
    <t>CN-0438-2023</t>
  </si>
  <si>
    <t>CN-0439-2023</t>
  </si>
  <si>
    <t>CN-0440-2023</t>
  </si>
  <si>
    <t>CN-0441-2023</t>
  </si>
  <si>
    <t>CN-0442-2023</t>
  </si>
  <si>
    <t>CN-0443-2023</t>
  </si>
  <si>
    <t>CN-0444-2023</t>
  </si>
  <si>
    <t>CN-0445-2023</t>
  </si>
  <si>
    <t>CN-0446-2023</t>
  </si>
  <si>
    <t>CN-0447-2023</t>
  </si>
  <si>
    <t>CN-0448-2023</t>
  </si>
  <si>
    <t>CN-0449-2023</t>
  </si>
  <si>
    <t>CN-0450-2023</t>
  </si>
  <si>
    <t>CN-0451-2023</t>
  </si>
  <si>
    <t>CN-0452-2023</t>
  </si>
  <si>
    <t>CN-0453-2023</t>
  </si>
  <si>
    <t>CN-0454-2023</t>
  </si>
  <si>
    <t>CN-0455-2023</t>
  </si>
  <si>
    <t>CN-0456-2023</t>
  </si>
  <si>
    <t>CN-0457-2023</t>
  </si>
  <si>
    <t>CN-0458-2023</t>
  </si>
  <si>
    <t>CN-0459-2023</t>
  </si>
  <si>
    <t>CN-0460-2023</t>
  </si>
  <si>
    <t>CN-0461-2023</t>
  </si>
  <si>
    <t>CN-0462-2023</t>
  </si>
  <si>
    <t>CN-0463-2023</t>
  </si>
  <si>
    <t>CN-0464-2023</t>
  </si>
  <si>
    <t>CN-0465-2023</t>
  </si>
  <si>
    <t>CN-0466-2023</t>
  </si>
  <si>
    <t>CN-0467-2023</t>
  </si>
  <si>
    <t>CN-0468-2023</t>
  </si>
  <si>
    <t>CN-0469-2023</t>
  </si>
  <si>
    <t>CN-0470-2023</t>
  </si>
  <si>
    <t>CN-0471-2023</t>
  </si>
  <si>
    <t>CN-0472-2023</t>
  </si>
  <si>
    <t>CN-0473-2023</t>
  </si>
  <si>
    <t>CN-0474-2023</t>
  </si>
  <si>
    <t>CN-0475-2023</t>
  </si>
  <si>
    <t>CN-0476-2023</t>
  </si>
  <si>
    <t>CN-0477-2023</t>
  </si>
  <si>
    <t>CN-0478-2023</t>
  </si>
  <si>
    <t>CN-0479-2023</t>
  </si>
  <si>
    <t>CN-0480-2023</t>
  </si>
  <si>
    <t>CN-0481-2023</t>
  </si>
  <si>
    <t>CN-0482-2023</t>
  </si>
  <si>
    <t>CN-0483-2023</t>
  </si>
  <si>
    <t>CN-0484-2023</t>
  </si>
  <si>
    <t>CN-0485-2023</t>
  </si>
  <si>
    <t>CN-0486-2023</t>
  </si>
  <si>
    <t>CN-0487-2023</t>
  </si>
  <si>
    <t>CN-0488-2023</t>
  </si>
  <si>
    <t>CN-0489-2023</t>
  </si>
  <si>
    <t>CN-0490-2023</t>
  </si>
  <si>
    <t>CN-0491-2023</t>
  </si>
  <si>
    <t>CN-0492-2023</t>
  </si>
  <si>
    <t>CN-0493-2023</t>
  </si>
  <si>
    <t>CN-0494-2023</t>
  </si>
  <si>
    <t>CN-0495-2023</t>
  </si>
  <si>
    <t>CN-0496-2023</t>
  </si>
  <si>
    <t>CN-0497-2023</t>
  </si>
  <si>
    <t>CN-0498-2023</t>
  </si>
  <si>
    <t>CN-0499-2023</t>
  </si>
  <si>
    <t>CN-0500-2023</t>
  </si>
  <si>
    <t>PT.  Lailasari Hariyah (Persero) Tbk</t>
  </si>
  <si>
    <t>CN-0001-2024</t>
  </si>
  <si>
    <t>Pembuatan Flyover Depok</t>
  </si>
  <si>
    <t>CN-0002-2024</t>
  </si>
  <si>
    <t>Perbaikan Gedung Pemerintah Jakarta</t>
  </si>
  <si>
    <t>Perbaikan Jalan Raya Bandung</t>
  </si>
  <si>
    <t>CN-0003-2024</t>
  </si>
  <si>
    <t>Perbaikan Gedung Pemerintah Tomohon</t>
  </si>
  <si>
    <t>PT.  Yuniar Hakim Tbk</t>
  </si>
  <si>
    <t>Pembuatan Flyover Tomohon</t>
  </si>
  <si>
    <t>CN-0004-2024</t>
  </si>
  <si>
    <t>CN-0005-2024</t>
  </si>
  <si>
    <t>Perbaikan Jembatan Bau-Bau</t>
  </si>
  <si>
    <t>CN-0006-2024</t>
  </si>
  <si>
    <t>Pembuatan Flyover Medan</t>
  </si>
  <si>
    <t>CN-0007-2024</t>
  </si>
  <si>
    <t>CN-0008-2024</t>
  </si>
  <si>
    <t>Pembuatan Jembatan Jakarta</t>
  </si>
  <si>
    <t>Perbaikan Jalan Raya Jakarta</t>
  </si>
  <si>
    <t>CN-0009-2024</t>
  </si>
  <si>
    <t>Perbaikan Jalan Raya Bau-Bau</t>
  </si>
  <si>
    <t>CN-0010-2024</t>
  </si>
  <si>
    <t>Pembuatan Jembatan Bau-Bau</t>
  </si>
  <si>
    <t>CN-0011-2024</t>
  </si>
  <si>
    <t>Pembuatan Flyover Bandung</t>
  </si>
  <si>
    <t>CN-0012-2024</t>
  </si>
  <si>
    <t>Pembuatan Flyover Bau-Bau</t>
  </si>
  <si>
    <t>CN-0013-2024</t>
  </si>
  <si>
    <t>CN-0014-2024</t>
  </si>
  <si>
    <t>Perbaikan Jalan Raya Surabaya</t>
  </si>
  <si>
    <t>Perbaikan Jalan Raya Medan</t>
  </si>
  <si>
    <t>CN-0015-2024</t>
  </si>
  <si>
    <t>Perbaikan Jalan Raya Tomohon</t>
  </si>
  <si>
    <t>CN-0016-2024</t>
  </si>
  <si>
    <t>CN-0017-2024</t>
  </si>
  <si>
    <t>CN-0018-2024</t>
  </si>
  <si>
    <t>CN-0019-2024</t>
  </si>
  <si>
    <t>Perbaikan Jalan Raya Depok</t>
  </si>
  <si>
    <t>CN-0020-2024</t>
  </si>
  <si>
    <t>Pembuatan Jembatan Depok</t>
  </si>
  <si>
    <t>Perbaikan Flyover Bau-Bau</t>
  </si>
  <si>
    <t>Perbaikan Jembatan Bandung</t>
  </si>
  <si>
    <t>Pembuatan Jembatan Surabaya</t>
  </si>
  <si>
    <t>Pembuatan Flyover Makassar</t>
  </si>
  <si>
    <t>Perbaikan Flyover Medan</t>
  </si>
  <si>
    <t>Perbaikan Gedung Pemerintah Depok</t>
  </si>
  <si>
    <t>Perbaikan Flyover Tomohon</t>
  </si>
  <si>
    <t>Perbaikan Jembatan Surabaya</t>
  </si>
  <si>
    <t>Perbaikan Gedung Pemerintah Medan</t>
  </si>
  <si>
    <t>Perbaikan Flyover Surabaya</t>
  </si>
  <si>
    <t>Pembuatan Jembatan Makassar</t>
  </si>
  <si>
    <t>Perbaikan Jembatan Makassar</t>
  </si>
  <si>
    <t>Pembuatan Flyover Surabaya</t>
  </si>
  <si>
    <t>Pembuatan Flyover Jakarta</t>
  </si>
  <si>
    <t>Perbaikan Jembatan Medan</t>
  </si>
  <si>
    <t>Perbaikan Flyover Bandung</t>
  </si>
  <si>
    <t>Perbaikan Gedung Pemerintah Surabaya</t>
  </si>
  <si>
    <t>Perbaikan Jembatan Tomohon</t>
  </si>
  <si>
    <t>Perbaikan Jalan Raya Makassar</t>
  </si>
  <si>
    <t>Pembuatan Jembatan Medan</t>
  </si>
  <si>
    <t>Perbaikan Gedung Pemerintah Makassar</t>
  </si>
  <si>
    <t>Perbaikan Gedung Pemerintah Bandung</t>
  </si>
  <si>
    <t>Perbaikan Flyover Makassar</t>
  </si>
  <si>
    <t>Perbaikan Gedung Pemerintah Bau-Bau</t>
  </si>
  <si>
    <t>Perbaikan Jembatan Depok</t>
  </si>
  <si>
    <t>Perbaikan Jembatan Jakarta</t>
  </si>
  <si>
    <t>Pembuatan Jembatan Bandung</t>
  </si>
  <si>
    <t>Perbaikan Flyover Depok</t>
  </si>
  <si>
    <t>Pembuatan Jembatan Tomohon</t>
  </si>
  <si>
    <t>Perbaikan Flyover Jakarta</t>
  </si>
  <si>
    <t>CN-9999-2024</t>
  </si>
  <si>
    <t>Tes</t>
  </si>
  <si>
    <t>x</t>
  </si>
  <si>
    <t>Indikator</t>
  </si>
  <si>
    <t>Completeness (CPT)</t>
  </si>
  <si>
    <t>Uniqueness (UNQ)</t>
  </si>
  <si>
    <t>Validity (VLD)</t>
  </si>
  <si>
    <t>Consistency (CNS)</t>
  </si>
  <si>
    <t>Feasibility (FSB)</t>
  </si>
  <si>
    <t>MIN of Anggaran</t>
  </si>
  <si>
    <t>MAX of Anggaran</t>
  </si>
  <si>
    <t>AVERAGE of Anggaran</t>
  </si>
  <si>
    <t>SUM of CPT_ID_Proyek</t>
  </si>
  <si>
    <t>SUM of CPT_Jenis_Proyek</t>
  </si>
  <si>
    <t>SUM of CPT_Lokasi</t>
  </si>
  <si>
    <t>SUM of CPT_Nama_Proyek</t>
  </si>
  <si>
    <t>SUM of CPT_Tanggal_Mulai</t>
  </si>
  <si>
    <t>SUM of CPT_Tanggal_Selesai</t>
  </si>
  <si>
    <t>SUM of CPT_Anggaran</t>
  </si>
  <si>
    <t>SUM of CPT_Kontraktor</t>
  </si>
  <si>
    <t>SUM of UNQ_ID_Proyek</t>
  </si>
  <si>
    <t>SUM of VLD_ID_Proyek</t>
  </si>
  <si>
    <t>SUM of CNS_Nama_Proyek</t>
  </si>
  <si>
    <t>SUM of FSB_Tanggal_Mulai</t>
  </si>
  <si>
    <t>SUM of FSB_Tanggal_Selesai</t>
  </si>
  <si>
    <t>SUM of FSB_Anggaran</t>
  </si>
  <si>
    <t>CPT_ID_Proyek</t>
  </si>
  <si>
    <t>CPT_Jenis_Proyek</t>
  </si>
  <si>
    <t>CPT_Lokasi</t>
  </si>
  <si>
    <t>CPT_Nama_Proyek</t>
  </si>
  <si>
    <t>CPT_Tanggal_Mulai</t>
  </si>
  <si>
    <t>CPT_Tanggal_Selesai</t>
  </si>
  <si>
    <t>CPT_Anggaran</t>
  </si>
  <si>
    <t>CPT_Kontraktor</t>
  </si>
  <si>
    <t>UNQ_ID_Proyek</t>
  </si>
  <si>
    <t>VLD_ID_Proyek</t>
  </si>
  <si>
    <t>CNS_Nama_Proyek</t>
  </si>
  <si>
    <t>FSB_Tanggal_Mulai</t>
  </si>
  <si>
    <t>FSB_Tanggal_Selesai</t>
  </si>
  <si>
    <t>FSB_Anggaran</t>
  </si>
  <si>
    <t>Grand Total</t>
  </si>
  <si>
    <t>Suggested Pivot Chart</t>
  </si>
  <si>
    <t>COUNTA of ID_Proyek</t>
  </si>
  <si>
    <t>Kolom</t>
  </si>
  <si>
    <t>Gejala data kotor</t>
  </si>
  <si>
    <t>Data Cleaning step</t>
  </si>
  <si>
    <t>Completeness</t>
  </si>
  <si>
    <t>Missing Data</t>
  </si>
  <si>
    <t>Imputation dari Jenis_Proyek dan Lokasi,
atau hapus baris</t>
  </si>
  <si>
    <t>Imputation dari Nama_Proyek</t>
  </si>
  <si>
    <t>Missing Data, Irrelevant Data</t>
  </si>
  <si>
    <t>Hapus kolom</t>
  </si>
  <si>
    <t>Uniqueness</t>
  </si>
  <si>
    <t>Duplicate</t>
  </si>
  <si>
    <t>Cek reference table</t>
  </si>
  <si>
    <t>Validity</t>
  </si>
  <si>
    <t>Imputation ID sesuai urutan Tanggal_Mulai</t>
  </si>
  <si>
    <t>Consistency</t>
  </si>
  <si>
    <t>Irrelevant Data</t>
  </si>
  <si>
    <t>Biarkan saja, namun berikutnya verifikasi ke penyedia data</t>
  </si>
  <si>
    <t>Feasibility</t>
  </si>
  <si>
    <t>Outliers</t>
  </si>
  <si>
    <t>Biarkan saja, namun berikutnya verifikasi ke penyedia data,
atau Imputation dengan 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</si>
</sst>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&quot;-&quot;yyyy"/>
    <numFmt numFmtId="165" formatCode="[$Rp]#,##0"/>
    <numFmt numFmtId="166" formatCode="yyyy&quot;-&quot;mm&quot;-&quot;dd"/>
  </numFmts>
  <fonts count="9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color rgb="FF38761D"/>
      <name val="Calibri"/>
      <scheme val="minor"/>
    </font>
    <font>
      <b/>
      <color rgb="FF1155CC"/>
      <name val="Calibri"/>
      <scheme val="minor"/>
    </font>
    <font>
      <b/>
      <color rgb="FFA4C2F4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14" xfId="0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3" fontId="1" numFmtId="0" xfId="0" applyAlignment="1" applyFill="1" applyFont="1">
      <alignment horizontal="left"/>
    </xf>
    <xf borderId="0" fillId="3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0" fontId="6" numFmtId="10" xfId="0" applyFont="1" applyNumberFormat="1"/>
    <xf borderId="0" fillId="0" fontId="7" numFmtId="10" xfId="0" applyFont="1" applyNumberFormat="1"/>
    <xf borderId="0" fillId="0" fontId="8" numFmtId="10" xfId="0" applyFont="1" applyNumberFormat="1"/>
    <xf borderId="0" fillId="5" fontId="4" numFmtId="0" xfId="0" applyAlignment="1" applyFill="1" applyFont="1">
      <alignment readingOrder="0"/>
    </xf>
    <xf borderId="0" fillId="6" fontId="3" numFmtId="164" xfId="0" applyAlignment="1" applyFill="1" applyFont="1" applyNumberFormat="1">
      <alignment readingOrder="0"/>
    </xf>
    <xf borderId="0" fillId="6" fontId="3" numFmtId="164" xfId="0" applyFont="1" applyNumberFormat="1"/>
    <xf borderId="0" fillId="6" fontId="2" numFmtId="0" xfId="0" applyFont="1"/>
    <xf borderId="0" fillId="6" fontId="2" numFmtId="0" xfId="0" applyAlignment="1" applyFont="1">
      <alignment readingOrder="0"/>
    </xf>
    <xf borderId="0" fillId="6" fontId="2" numFmtId="165" xfId="0" applyAlignment="1" applyFont="1" applyNumberFormat="1">
      <alignment readingOrder="0"/>
    </xf>
    <xf borderId="0" fillId="4" fontId="4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1">
    <dxf>
      <font/>
      <fill>
        <patternFill patternType="solid">
          <fgColor rgb="FFCC4125"/>
          <bgColor rgb="FFCC412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01" sheet="Raw Dataset"/>
  </cacheSource>
  <cacheFields>
    <cacheField name="ID_Proyek" numFmtId="0">
      <sharedItems>
        <s v="CN-0001-2023"/>
        <s v="CN-0001-2024"/>
        <s v="CN-0002-2023"/>
        <s v="CN-0002-2024"/>
        <s v="CN-0003-2023"/>
        <s v="CN-0003-2024"/>
        <s v="CN-0004-2023"/>
        <s v="CN-0004-2024"/>
        <s v="CN-0005-2023"/>
        <s v="CN-0005-2024"/>
        <s v="CN-0006-2023"/>
        <s v="CN-0006-2024"/>
        <s v="CN-0007-2023"/>
        <s v="CN-0007-2024"/>
        <s v="CN-0008-2023"/>
        <s v="CN-0008-2024"/>
        <s v="CN-0009-2023"/>
        <s v="CN-0009-2024"/>
        <s v="CN-0010-2023"/>
        <s v="CN-0010-2024"/>
        <s v="CN-0011-2023"/>
        <s v="CN-0011-2024"/>
        <s v="CN-0012-2023"/>
        <s v="CN-0012-2024"/>
        <s v="CN-0013-2023"/>
        <s v="CN-0013-2024"/>
        <s v="CN-0014-2023"/>
        <s v="CN-0014-2024"/>
        <s v="CN-0015-2023"/>
        <s v="CN-0015-2024"/>
        <s v="CN-0016-2023"/>
        <s v="CN-0016-2024"/>
        <s v="CN-0017-2023"/>
        <s v="CN-0017-2024"/>
        <s v="CN-0018-2023"/>
        <s v="CN-0018-2024"/>
        <s v="CN-0019-2023"/>
        <s v="CN-0019-2024"/>
        <s v="CN-0020-2023"/>
        <s v="CN-0020-2024"/>
        <s v="CN-0021-2023"/>
        <s v="CN-0022-2023"/>
        <s v="CN-0023-2023"/>
        <s v="CN-0024-2023"/>
        <s v="CN-0025-2023"/>
        <s v="CN-0026-2023"/>
        <s v="CN-0027-2023"/>
        <s v="CN-0028-2023"/>
        <s v="CN-0029-2023"/>
        <s v="CN-0030-2023"/>
        <s v="CN-0031-2023"/>
        <s v="CN-0032-2023"/>
        <s v="CN-0033-2023"/>
        <s v="CN-0034-2023"/>
        <s v="CN-0035-2023"/>
        <s v="CN-0036-2023"/>
        <s v="CN-0037-2023"/>
        <s v="CN-0038-2023"/>
        <s v="CN-0039-2023"/>
        <s v="CN-0040-2023"/>
        <s v="CN-0041-2023"/>
        <s v="CN-0042-2023"/>
        <s v="CN-0043-2023"/>
        <s v="CN-0044-2023"/>
        <s v="CN-0045-2023"/>
        <s v="CN-0046-2023"/>
        <s v="CN-0047-2023"/>
        <s v="CN-0048-2023"/>
        <s v="CN-0049-2023"/>
        <s v="CN-0050-2023"/>
        <s v="CN-0051-2023"/>
        <s v="CN-0052-2023"/>
        <s v="CN-0053-2023"/>
        <s v="CN-0054-2023"/>
        <s v="CN-0055-2023"/>
        <s v="CN-0056-2023"/>
        <s v="CN-0057-2023"/>
        <s v="CN-0058-2023"/>
        <s v="CN-0059-2023"/>
        <s v="CN-0060-2023"/>
        <s v="CN-0061-2023"/>
        <s v="CN-0062-2023"/>
        <s v="CN-0063-2023"/>
        <s v="CN-0064-2023"/>
        <s v="CN-0065-2023"/>
        <s v="CN-0066-2023"/>
        <s v="CN-0067-2023"/>
        <s v="CN-0068-2023"/>
        <s v="CN-0069-2023"/>
        <s v="CN-0070-2023"/>
        <s v="CN-0071-2023"/>
        <s v="CN-0072-2023"/>
        <s v="CN-0073-2023"/>
        <s v="CN-0074-2023"/>
        <s v="CN-0075-2023"/>
        <s v="CN-0076-2023"/>
        <s v="CN-0077-2023"/>
        <s v="CN-0078-2023"/>
        <s v="CN-0079-2023"/>
        <s v="CN-0080-2023"/>
        <s v="CN-0081-2023"/>
        <s v="CN-0082-2023"/>
        <s v="CN-0083-2023"/>
        <s v="CN-0084-2023"/>
        <s v="CN-0085-2023"/>
        <s v="CN-0086-2023"/>
        <s v="CN-0087-2023"/>
        <s v="CN-0088-2023"/>
        <s v="CN-0089-2023"/>
        <s v="CN-0090-2023"/>
        <s v="CN-0091-2023"/>
        <s v="CN-0092-2023"/>
        <s v="CN-0093-2023"/>
        <s v="CN-0094-2023"/>
        <s v="CN-0095-2023"/>
        <s v="CN-0096-2023"/>
        <s v="CN-0097-2023"/>
        <s v="CN-0098-2023"/>
        <s v="CN-0099-2023"/>
        <s v="CN-0100-2023"/>
        <s v="CN-0101-2023"/>
        <s v="CN-0102-2023"/>
        <s v="CN-0103-2023"/>
        <s v="CN-0104-2023"/>
        <s v="CN-0105-2023"/>
        <s v="CN-0106-2023"/>
        <s v="CN-0107-2023"/>
        <s v="CN-0108-2023"/>
        <s v="CN-0109-2023"/>
        <s v="CN-0110-2023"/>
        <s v="CN-0111-2023"/>
        <s v="CN-0112-2023"/>
        <s v="CN-0113-2023"/>
        <s v="CN-0114-2023"/>
        <s v="CN-0115-2023"/>
        <s v="CN-0116-2023"/>
        <s v="CN-0117-2023"/>
        <s v="CN-0118-2023"/>
        <s v="CN-0119-2023"/>
        <s v="CN-0120-2023"/>
        <s v="CN-0121-2023"/>
        <s v="CN-0122-2023"/>
        <s v="CN-0123-2023"/>
        <s v="CN-0124-2023"/>
        <s v="CN-0125-2023"/>
        <s v="CN-0126-2023"/>
        <s v="CN-0127-2023"/>
        <s v="CN-0128-2023"/>
        <s v="CN-0129-2023"/>
        <s v="CN-0130-2023"/>
        <s v="CN-0131-2023"/>
        <s v="CN-0132-2023"/>
        <s v="CN-0133-2023"/>
        <s v="CN-0134-2023"/>
        <s v="CN-0135-2023"/>
        <s v="CN-0136-2023"/>
        <s v="CN-0137-2023"/>
        <s v="CN-0138-2023"/>
        <s v="CN-0139-2023"/>
        <s v="CN-0140-2023"/>
        <s v="CN-0141-2023"/>
        <s v="CN-0142-2023"/>
        <s v="CN-0143-2023"/>
        <s v="CN-0144-2023"/>
        <s v="CN-0145-2023"/>
        <s v="CN-0146-2023"/>
        <s v="CN-0147-2023"/>
        <s v="CN-0148-2023"/>
        <s v="CN-0149-2023"/>
        <s v="CN-0150-2023"/>
        <s v="CN-0151-2023"/>
        <s v="CN-0152-2023"/>
        <s v="CN-0153-2023"/>
        <s v="CN-0154-2023"/>
        <s v="CN-0155-2023"/>
        <s v="CN-0156-2023"/>
        <s v="CN-0157-2023"/>
        <s v="CN-0158-2023"/>
        <s v="CN-0159-2023"/>
        <s v="CN-0160-2023"/>
        <s v="CN-0161-2023"/>
        <s v="CN-0162-2023"/>
        <s v="CN-0163-2023"/>
        <s v="CN-0164-2023"/>
        <s v="CN-0165-2023"/>
        <s v="CN-0166-2023"/>
        <s v="CN-0167-2023"/>
        <s v="CN-0168-2023"/>
        <s v="CN-0169-2023"/>
        <s v="CN-0170-2023"/>
        <s v="CN-0171-2023"/>
        <s v="CN-0172-2023"/>
        <s v="CN-0173-2023"/>
        <s v="CN-0174-2023"/>
        <s v="CN-0175-2023"/>
        <s v="CN-0176-2023"/>
        <s v="CN-0177-2023"/>
        <s v="CN-0178-2023"/>
        <s v="CN-0179-2023"/>
        <s v="CN-0180-2023"/>
        <s v="CN-0181-2023"/>
        <s v="CN-0182-2023"/>
        <s v="CN-0183-2023"/>
        <s v="CN-0184-2023"/>
        <s v="CN-0185-2023"/>
        <s v="CN-0186-2023"/>
        <s v="CN-0187-2023"/>
        <s v="CN-0188-2023"/>
        <s v="CN-0189-2023"/>
        <s v="CN-0190-2023"/>
        <s v="CN-0191-2023"/>
        <s v="CN-0192-2023"/>
        <s v="CN-0194-2023"/>
        <s v="CN-0195-2023"/>
        <s v="CN-0196-2023"/>
        <s v="CN-0197-2023"/>
        <s v="CN-0198-2023"/>
        <s v="CN-0199-2023"/>
        <s v="CN-0200-2023"/>
        <s v="CN-0201-2023"/>
        <s v="CN-0202-2023"/>
        <s v="CN-0203-2023"/>
        <s v="CN-0204-2023"/>
        <s v="CN-0205-2023"/>
        <s v="CN-0206-2023"/>
        <s v="CN-0207-2023"/>
        <s v="CN-0208-2023"/>
        <s v="CN-0209-2023"/>
        <s v="CN-0210-2023"/>
        <s v="CN-0211-2023"/>
        <s v="CN-0212-2023"/>
        <s v="CN-0213-2023"/>
        <s v="CN-0214-2023"/>
        <s v="CN-0215-2023"/>
        <s v="CN-0216-2023"/>
        <s v="CN-0217-2023"/>
        <s v="CN-0218-2023"/>
        <s v="CN-0219-2023"/>
        <s v="CN-0220-2023"/>
        <s v="CN-0221-2023"/>
        <s v="CN-0222-2023"/>
        <s v="CN-0223-2023"/>
        <s v="CN-0224-2023"/>
        <s v="CN-0225-2023"/>
        <s v="CN-0226-2023"/>
        <s v="CN-0227-2023"/>
        <s v="CN-0228-2023"/>
        <s v="CN-0229-2023"/>
        <s v="CN-0230-2023"/>
        <s v="CN-0231-2023"/>
        <s v="CN-0232-2023"/>
        <s v="CN-0233-2023"/>
        <s v="CN-0234-2023"/>
        <s v="CN-0235-2023"/>
        <s v="CN-0236-2023"/>
        <s v="CN-0237-2023"/>
        <s v="CN-0238-2023"/>
        <s v="CN-0239-2023"/>
        <s v="CN-0240-2023"/>
        <s v="CN-0241-2023"/>
        <s v="CN-0242-2023"/>
        <s v="CN-0243-2023"/>
        <s v="CN-0244-2023"/>
        <s v="CN-0245-2023"/>
        <s v="CN-0246-2023"/>
        <s v="CN-0247-2023"/>
        <s v="CN-0248-2023"/>
        <s v="CN-0249-2023"/>
        <s v="CN-0250-2023"/>
        <s v="CN-0251-2023"/>
        <s v="CN-0252-2023"/>
        <s v="CN-0253-2023"/>
        <s v="CN-0254-2023"/>
        <s v="CN-0255-2023"/>
        <s v="CN-0256-2023"/>
        <s v="CN-0257-2023"/>
        <s v="CN-0258-2023"/>
        <s v="CN-0259-2023"/>
        <s v="CN-0260-2023"/>
        <s v="CN-0261-2023"/>
        <s v="CN-0262-2023"/>
        <s v="CN-0263-2023"/>
        <s v="CN-0264-2023"/>
        <s v="CN-0265-2023"/>
        <s v="CN-0266-2023"/>
        <s v="CN-0267-2023"/>
        <s v="CN-0268-2023"/>
        <s v="CN-0269-2023"/>
        <s v="CN-0270-2023"/>
        <s v="CN-0271-2023"/>
        <s v="CN-0272-2023"/>
        <s v="CN-0273-2023"/>
        <s v="CN-0274-2023"/>
        <s v="CN-0275-2023"/>
        <s v="CN-0276-2023"/>
        <s v="CN-0277-2023"/>
        <s v="CN-0278-2023"/>
        <s v="CN-0279-2023"/>
        <s v="CN-0280-2023"/>
        <s v="CN-0281-2023"/>
        <s v="CN-0282-2023"/>
        <s v="CN-0283-2023"/>
        <s v="CN-0284-2023"/>
        <s v="CN-0285-2023"/>
        <s v="CN-0286-2023"/>
        <s v="CN-0287-2023"/>
        <s v="CN-0288-2023"/>
        <s v="CN-0289-2023"/>
        <s v="CN-0290-2023"/>
        <s v="CN-0291-2023"/>
        <s v="CN-0292-2023"/>
        <s v="CN-0293-2023"/>
        <s v="CN-0294-2023"/>
        <s v="CN-0295-2023"/>
        <s v="CN-0296-2023"/>
        <s v="CN-0297-2023"/>
        <s v="CN-0298-2023"/>
        <s v="CN-0299-2023"/>
        <s v="CN-0300-2023"/>
        <s v="CN-0301-2023"/>
        <s v="CN-0302-2023"/>
        <s v="CN-0303-2023"/>
        <s v="CN-0304-2023"/>
        <s v="CN-0305-2023"/>
        <s v="CN-0306-2023"/>
        <s v="CN-0307-2023"/>
        <s v="CN-0308-2023"/>
        <s v="CN-0309-2023"/>
        <s v="CN-0310-2023"/>
        <s v="CN-0311-2023"/>
        <s v="CN-0312-2023"/>
        <s v="CN-0313-2023"/>
        <s v="CN-0314-2023"/>
        <s v="CN-0315-2023"/>
        <s v="CN-0316-2023"/>
        <s v="CN-0317-2023"/>
        <s v="CN-0318-2023"/>
        <s v="CN-0319-2023"/>
        <s v="CN-0320-2023"/>
        <s v="CN-0321-2023"/>
        <s v="CN-0322-2023"/>
        <s v="CN-0323-2023"/>
        <s v="CN-0324-2023"/>
        <s v="CN-0325-2023"/>
        <s v="CN-0326-2023"/>
        <s v="CN-0327-2023"/>
        <s v="CN-0328-2023"/>
        <s v="CN-0329-2023"/>
        <s v="CN-0330-2023"/>
        <s v="CN-0331-2023"/>
        <s v="CN-0332-2023"/>
        <s v="CN-0333-2023"/>
        <s v="CN-0334-2023"/>
        <s v="CN-0335-2023"/>
        <s v="CN-0336-2023"/>
        <s v="CN-0337-2023"/>
        <s v="CN-0338-2023"/>
        <s v="CN-0339-2023"/>
        <s v="CN-0340-2023"/>
        <s v="CN-0341-2023"/>
        <s v="CN-0342-2023"/>
        <s v="CN-0343-2023"/>
        <s v="CN-0344-2023"/>
        <s v="CN-0345-2023"/>
        <s v="CN-0346-2023"/>
        <s v="CN-0347-2023"/>
        <s v="CN-0348-2023"/>
        <s v="CN-0349-2023"/>
        <s v="CN-0350-2023"/>
        <s v="CN-0351-2023"/>
        <s v="CN-0352-2023"/>
        <s v="CN-0353-2023"/>
        <s v="CN-0354-2023"/>
        <s v="CN-0355-2023"/>
        <s v="CN-0356-2023"/>
        <s v="CN-0357-2023"/>
        <s v="CN-0358-2023"/>
        <s v="CN-0359-2023"/>
        <s v="CN-0360-2023"/>
        <s v="CN-0361-2023"/>
        <s v="CN-0362-2023"/>
        <s v="CN-0363-2023"/>
        <s v="CN-0364-2023"/>
        <s v="CN-0365-2023"/>
        <s v="CN-0366-2023"/>
        <s v="CN-0367-2023"/>
        <s v="CN-0368-2023"/>
        <s v="CN-0369-2023"/>
        <s v="CN-0370-2023"/>
        <s v="CN-0371-2023"/>
        <s v="CN-0372-2023"/>
        <s v="CN-0373-2023"/>
        <s v="CN-0374-2023"/>
        <s v="CN-0375-2023"/>
        <s v="CN-0376-2023"/>
        <s v="CN-0377-2023"/>
        <s v="CN-0378-2023"/>
        <s v="CN-0379-2023"/>
        <s v="CN-0380-2023"/>
        <s v="CN-0381-2023"/>
        <s v="CN-0382-2023"/>
        <s v="CN-0383-2023"/>
        <s v="CN-0384-2023"/>
        <s v="CN-0385-2023"/>
        <s v="CN-0386-2023"/>
        <s v="CN-0387-2023"/>
        <s v="CN-0388-2023"/>
        <s v="CN-0389-2023"/>
        <s v="CN-0390-2023"/>
        <s v="CN-0391-2023"/>
        <s v="CN-0392-2023"/>
        <s v="CN-0393-2023"/>
        <s v="CN-0394-2023"/>
        <s v="CN-0395-2023"/>
        <s v="CN-0396-2023"/>
        <s v="CN-0397-2023"/>
        <s v="CN-0398-2023"/>
        <s v="CN-0399-2023"/>
        <s v="CN-0400-2023"/>
        <s v="CN-0401-2023"/>
        <s v="CN-0402-2023"/>
        <s v="CN-0403-2023"/>
        <s v="CN-0404-2023"/>
        <s v="CN-0405-2023"/>
        <s v="CN-0406-2023"/>
        <s v="CN-0407-2023"/>
        <s v="CN-0408-2023"/>
        <s v="CN-0409-2023"/>
        <s v="CN-0410-2023"/>
        <s v="CN-0411-2023"/>
        <s v="CN-0412-2023"/>
        <s v="CN-0413-2023"/>
        <s v="CN-0414-2023"/>
        <s v="CN-0415-2023"/>
        <s v="CN-0416-2023"/>
        <s v="CN-0417-2023"/>
        <s v="CN-0418-2023"/>
        <s v="CN-0419-2023"/>
        <s v="CN-0420-2023"/>
        <s v="CN-0421-2023"/>
        <s v="CN-0422-2023"/>
        <s v="CN-0423-2023"/>
        <s v="CN-0424-2023"/>
        <s v="CN-0425-2023"/>
        <s v="CN-0426-2023"/>
        <s v="CN-0427-2023"/>
        <s v="CN-0428-2023"/>
        <s v="CN-0429-2023"/>
        <s v="CN-0430-2023"/>
        <s v="CN-0431-2023"/>
        <s v="CN-0432-2023"/>
        <s v="CN-0433-2023"/>
        <s v="CN-0434-2023"/>
        <s v="CN-0435-2023"/>
        <s v="CN-0436-2023"/>
        <s v="CN-0437-2023"/>
        <s v="CN-0438-2023"/>
        <s v="CN-0439-2023"/>
        <s v="CN-0440-2023"/>
        <s v="CN-0441-2023"/>
        <s v="CN-0442-2023"/>
        <s v="CN-0443-2023"/>
        <s v="CN-0444-2023"/>
        <s v="CN-0445-2023"/>
        <s v="CN-0446-2023"/>
        <s v="CN-0447-2023"/>
        <s v="CN-0448-2023"/>
        <s v="CN-0449-2023"/>
        <s v="CN-0450-2023"/>
        <s v="CN-0451-2023"/>
        <s v="CN-0452-2023"/>
        <s v="CN-0453-2023"/>
        <s v="CN-0454-2023"/>
        <s v="CN-0455-2023"/>
        <s v="CN-0456-2023"/>
        <s v="CN-0457-2023"/>
        <s v="CN-0458-2023"/>
        <s v="CN-0459-2023"/>
        <s v="CN-0460-2023"/>
        <s v="CN-0461-2023"/>
        <s v="CN-0462-2023"/>
        <s v="CN-0463-2023"/>
        <s v="CN-0464-2023"/>
        <s v="CN-0465-2023"/>
        <s v="CN-0466-2023"/>
        <s v="CN-0467-2023"/>
        <s v="CN-0468-2023"/>
        <s v="CN-0469-2023"/>
        <s v="CN-0470-2023"/>
        <s v="CN-0471-2023"/>
        <s v="CN-0472-2023"/>
        <s v="CN-0473-2023"/>
        <s v="CN-0474-2023"/>
        <s v="CN-0475-2023"/>
        <s v="CN-0476-2023"/>
        <s v="CN-0477-2023"/>
        <s v="CN-0478-2023"/>
        <s v="CN-0479-2023"/>
        <s v="CN-9999-2024"/>
      </sharedItems>
    </cacheField>
    <cacheField name="Jenis_Proyek" numFmtId="0">
      <sharedItems containsBlank="1">
        <s v="Drainase"/>
        <s v="Flyover"/>
        <s v="Gedung"/>
        <s v="Jalan Raya"/>
        <s v="Jembatan"/>
        <m/>
      </sharedItems>
    </cacheField>
    <cacheField name="Lokasi" numFmtId="0">
      <sharedItems containsBlank="1">
        <s v="Bandung"/>
        <s v="Surabaya"/>
        <s v="Depok"/>
        <s v="Jakarta"/>
        <s v="Tomohon"/>
        <s v="Bau-Bau"/>
        <s v="Medan"/>
        <s v="Makassar"/>
        <m/>
      </sharedItems>
    </cacheField>
    <cacheField name="Nama_Proyek" numFmtId="0">
      <sharedItems containsBlank="1">
        <s v="Perbaikan Drainase Bandung"/>
        <s v="Perbaikan Drainase Surabaya"/>
        <s v="Pembuatan Flyover Depok"/>
        <s v="Perbaikan Gedung Pemerintah Jakarta"/>
        <s v="Perbaikan Jalan Raya Bandung"/>
        <s v="Perbaikan Gedung Pemerintah Tomohon"/>
        <s v="Pembuatan Flyover Tomohon"/>
        <s v="Perbaikan Drainase Jakarta"/>
        <s v="Perbaikan Jembatan Bau-Bau"/>
        <s v="Perbaikan Drainase Tomohon"/>
        <s v="Pembuatan Flyover Medan"/>
        <s v="Perbaikan Drainase Depok"/>
        <s v="Pembuatan Jembatan Jakarta"/>
        <s v="Perbaikan Jalan Raya Jakarta"/>
        <s v="Perbaikan Jalan Raya Bau-Bau"/>
        <s v="Pembuatan Jembatan Bau-Bau"/>
        <s v="Pembuatan Flyover Bandung"/>
        <s v="Perbaikan Drainase Medan"/>
        <s v="Pembuatan Flyover Bau-Bau"/>
        <s v="Perbaikan Jalan Raya Surabaya"/>
        <s v="Perbaikan Jalan Raya Medan"/>
        <s v="Perbaikan Jalan Raya Tomohon"/>
        <s v="Perbaikan Jalan Raya Depok"/>
        <s v="Pembuatan Jembatan Depok"/>
        <s v="Perbaikan Flyover Bau-Bau"/>
        <s v="Perbaikan Jembatan Bandung"/>
        <s v="Pembuatan Jembatan Surabaya"/>
        <s v="Pembuatan Flyover Makassar"/>
        <s v="Perbaikan Flyover Medan"/>
        <s v="Perbaikan Gedung Pemerintah Depok"/>
        <s v="Perbaikan Flyover Tomohon"/>
        <s v="Perbaikan Jembatan Surabaya"/>
        <s v="Perbaikan Drainase Bau-Bau"/>
        <s v="Perbaikan Gedung Pemerintah Medan"/>
        <s v="Perbaikan Flyover Surabaya"/>
        <s v="Pembuatan Jembatan Makassar"/>
        <s v="Perbaikan Jembatan Makassar"/>
        <s v="Pembuatan Flyover Surabaya"/>
        <s v="Pembuatan Flyover Jakarta"/>
        <m/>
        <s v="Perbaikan Jembatan Medan"/>
        <s v="Perbaikan Flyover Bandung"/>
        <s v="Perbaikan Gedung Pemerintah Surabaya"/>
        <s v="Perbaikan Jembatan Tomohon"/>
        <s v="Perbaikan Jalan Raya Makassar"/>
        <s v="Pembuatan Jembatan Medan"/>
        <s v="Perbaikan Gedung Pemerintah Makassar"/>
        <s v="Perbaikan Gedung Pemerintah Bandung"/>
        <s v="Perbaikan Flyover Makassar"/>
        <s v="Perbaikan Gedung Pemerintah Bau-Bau"/>
        <s v="Perbaikan Drainase Makassar"/>
        <s v="Perbaikan Jembatan Depok"/>
        <s v="Perbaikan Jembatan Jakarta"/>
        <s v="Pembuatan Jembatan Bandung"/>
        <s v="Perbaikan Flyover Depok"/>
        <s v="Pembuatan Jembatan Tomohon"/>
        <s v="Perbaikan Flyover Jakarta"/>
        <s v="Tes"/>
      </sharedItems>
    </cacheField>
    <cacheField name="Tanggal_Mulai" numFmtId="164">
      <sharedItems containsSemiMixedTypes="0" containsDate="1" containsString="0">
        <d v="2023-01-01T00:00:00Z"/>
        <d v="2024-01-28T00:00:00Z"/>
        <d v="2024-01-29T00:00:00Z"/>
        <d v="2023-01-02T00:00:00Z"/>
        <d v="2024-02-01T00:00:00Z"/>
        <d v="2024-02-03T00:00:00Z"/>
        <d v="2024-02-05T00:00:00Z"/>
        <d v="2023-01-03T00:00:00Z"/>
        <d v="2024-02-07T00:00:00Z"/>
        <d v="2024-02-08T00:00:00Z"/>
        <d v="2023-01-04T00:00:00Z"/>
        <d v="2024-02-12T00:00:00Z"/>
        <d v="2024-02-13T00:00:00Z"/>
        <d v="2023-01-05T00:00:00Z"/>
        <d v="2024-02-14T00:00:00Z"/>
        <d v="2023-01-06T00:00:00Z"/>
        <d v="2024-02-15T00:00:00Z"/>
        <d v="2023-01-09T00:00:00Z"/>
        <d v="2024-02-16T00:00:00Z"/>
        <d v="2023-01-10T00:00:00Z"/>
        <d v="2024-02-17T00:00:00Z"/>
        <d v="2023-01-12T00:00:00Z"/>
        <d v="2024-02-18T00:00:00Z"/>
        <d v="2024-02-19T00:00:00Z"/>
        <d v="2023-01-13T00:00:00Z"/>
        <d v="2023-01-14T00:00:00Z"/>
        <d v="2024-02-21T00:00:00Z"/>
        <d v="2023-01-15T00:00:00Z"/>
        <d v="2024-02-24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8T00:00:00Z"/>
        <d v="2023-01-29T00:00:00Z"/>
        <d v="2023-02-01T00:00:00Z"/>
        <d v="2023-02-02T00:00:00Z"/>
        <d v="2023-02-03T00:00:00Z"/>
        <d v="2023-02-04T00:00:00Z"/>
        <d v="2023-02-06T00:00:00Z"/>
        <d v="2023-02-08T00:00:00Z"/>
        <d v="2023-02-10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2T00:00:00Z"/>
        <d v="2023-02-25T00:00:00Z"/>
        <d v="2023-02-27T00:00:00Z"/>
        <d v="2023-02-28T00:00:00Z"/>
        <d v="2023-03-01T00:00:00Z"/>
        <d v="2023-03-02T00:00:00Z"/>
        <d v="2023-03-04T00:00:00Z"/>
        <d v="2023-03-05T00:00:00Z"/>
        <d v="2023-03-06T00:00:00Z"/>
        <d v="2023-03-07T00:00:00Z"/>
        <d v="2023-03-09T00:00:00Z"/>
        <d v="2023-03-11T00:00:00Z"/>
        <d v="2023-03-13T00:00:00Z"/>
        <d v="2023-03-15T00:00:00Z"/>
        <d v="2023-03-16T00:00:00Z"/>
        <d v="2023-03-18T00:00:00Z"/>
        <d v="2023-03-19T00:00:00Z"/>
        <d v="2023-03-21T00:00:00Z"/>
        <d v="2023-03-23T00:00:00Z"/>
        <d v="2023-03-24T00:00:00Z"/>
        <d v="2023-03-25T00:00:00Z"/>
        <d v="2023-03-26T00:00:00Z"/>
        <d v="2023-03-28T00:00:00Z"/>
        <d v="2023-03-30T00:00:00Z"/>
        <d v="2023-03-31T00:00:00Z"/>
        <d v="2023-04-01T00:00:00Z"/>
        <d v="2023-04-02T00:00:00Z"/>
        <d v="2023-04-04T00:00:00Z"/>
        <d v="2023-04-06T00:00:00Z"/>
        <d v="2023-04-07T00:00:00Z"/>
        <d v="2023-04-08T00:00:00Z"/>
        <d v="2023-04-10T00:00:00Z"/>
        <d v="2023-04-12T00:00:00Z"/>
        <d v="2023-04-15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9T00:00:00Z"/>
        <d v="2023-05-02T00:00:00Z"/>
        <d v="2023-05-03T00:00:00Z"/>
        <d v="2023-05-06T00:00:00Z"/>
        <d v="2023-05-07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20T00:00:00Z"/>
        <d v="2023-05-22T00:00:00Z"/>
        <d v="2023-05-23T00:00:00Z"/>
        <d v="2023-05-24T00:00:00Z"/>
        <d v="2023-05-26T00:00:00Z"/>
        <d v="2023-05-27T00:00:00Z"/>
        <d v="2023-05-28T00:00:00Z"/>
        <d v="2023-05-29T00:00:00Z"/>
        <d v="2023-05-30T00:00:00Z"/>
        <d v="2023-06-01T00:00:00Z"/>
        <d v="2023-06-03T00:00:00Z"/>
        <d v="2023-06-04T00:00:00Z"/>
        <d v="2023-06-05T00:00:00Z"/>
        <d v="2023-06-07T00:00:00Z"/>
        <d v="2023-06-11T00:00:00Z"/>
        <d v="2023-06-13T00:00:00Z"/>
        <d v="2023-06-14T00:00:00Z"/>
        <d v="2023-06-16T00:00:00Z"/>
        <d v="2023-06-18T00:00:00Z"/>
        <d v="2023-06-19T00:00:00Z"/>
        <d v="2023-06-20T00:00:00Z"/>
        <d v="2023-06-21T00:00:00Z"/>
        <d v="2023-06-22T00:00:00Z"/>
        <d v="2023-06-24T00:00:00Z"/>
        <d v="2023-06-25T00:00:00Z"/>
        <d v="2023-06-26T00:00:00Z"/>
        <d v="2023-06-27T00:00:00Z"/>
        <d v="2023-06-29T00:00:00Z"/>
        <d v="2023-06-30T00:00:00Z"/>
        <d v="2023-07-04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6T00:00:00Z"/>
        <d v="2023-07-17T00:00:00Z"/>
        <d v="2023-07-18T00:00:00Z"/>
        <d v="2023-07-19T00:00:00Z"/>
        <d v="2023-07-21T00:00:00Z"/>
        <d v="2023-07-22T00:00:00Z"/>
        <d v="2023-07-23T00:00:00Z"/>
        <d v="2023-07-24T00:00:00Z"/>
        <d v="2023-07-26T00:00:00Z"/>
        <d v="2023-07-28T00:00:00Z"/>
        <d v="2023-07-29T00:00:00Z"/>
        <d v="2023-07-30T00:00:00Z"/>
        <d v="2023-07-31T00:00:00Z"/>
        <d v="2023-08-02T00:00:00Z"/>
        <d v="2023-08-05T00:00:00Z"/>
        <d v="2023-08-06T00:00:00Z"/>
        <d v="2023-08-07T00:00:00Z"/>
        <d v="2023-08-09T00:00:00Z"/>
        <d v="2023-08-10T00:00:00Z"/>
        <d v="2023-08-11T00:00:00Z"/>
        <d v="2023-08-13T00:00:00Z"/>
        <d v="2023-08-15T00:00:00Z"/>
        <d v="2023-08-16T00:00:00Z"/>
        <d v="2023-08-17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6T00:00:00Z"/>
        <d v="2023-09-08T00:00:00Z"/>
        <d v="2023-09-09T00:00:00Z"/>
        <d v="2023-09-10T00:00:00Z"/>
        <d v="2023-09-11T00:00:00Z"/>
        <d v="2023-09-12T00:00:00Z"/>
        <d v="2023-09-14T00:00:00Z"/>
        <d v="2023-09-15T00:00:00Z"/>
        <d v="2023-09-16T00:00:00Z"/>
        <d v="2023-09-17T00:00:00Z"/>
        <d v="2023-09-18T00:00:00Z"/>
        <d v="2023-09-19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30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1T00:00:00Z"/>
        <d v="2023-10-12T00:00:00Z"/>
        <d v="2023-10-15T00:00:00Z"/>
        <d v="2023-10-18T00:00:00Z"/>
        <d v="2023-10-20T00:00:00Z"/>
        <d v="2023-10-21T00:00:00Z"/>
        <d v="2023-10-22T00:00:00Z"/>
        <d v="2023-10-23T00:00:00Z"/>
        <d v="2023-10-24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4T00:00:00Z"/>
        <d v="2023-11-05T00:00:00Z"/>
        <d v="2023-11-06T00:00:00Z"/>
        <d v="2023-11-07T00:00:00Z"/>
        <d v="2023-11-10T00:00:00Z"/>
        <d v="2023-11-11T00:00:00Z"/>
        <d v="2023-11-12T00:00:00Z"/>
        <d v="2023-11-13T00:00:00Z"/>
        <d v="2023-11-15T00:00:00Z"/>
        <d v="2023-11-16T00:00:00Z"/>
        <d v="2023-11-17T00:00:00Z"/>
        <d v="2023-11-18T00:00:00Z"/>
        <d v="2023-11-19T00:00:00Z"/>
        <d v="2023-11-22T00:00:00Z"/>
        <d v="2023-11-23T00:00:00Z"/>
        <d v="2023-11-24T00:00:00Z"/>
        <d v="2023-11-25T00:00:00Z"/>
        <d v="2023-11-28T00:00:00Z"/>
        <d v="2023-11-29T00:00:00Z"/>
        <d v="2023-11-30T00:00:00Z"/>
        <d v="2023-12-01T00:00:00Z"/>
        <d v="2023-12-02T00:00:00Z"/>
        <d v="2023-12-03T00:00:00Z"/>
        <d v="2023-12-05T00:00:00Z"/>
        <d v="2023-12-06T00:00:00Z"/>
        <d v="2023-12-08T00:00:00Z"/>
        <d v="2023-12-09T00:00:00Z"/>
        <d v="2023-12-11T00:00:00Z"/>
        <d v="2023-12-12T00:00:00Z"/>
        <d v="2023-12-13T00:00:00Z"/>
        <d v="2023-12-18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9T00:00:00Z"/>
        <d v="2023-12-30T00:00:00Z"/>
        <d v="2023-12-31T00:00:00Z"/>
        <d v="2024-01-01T00:00:00Z"/>
      </sharedItems>
    </cacheField>
    <cacheField name="Tanggal_Selesai" numFmtId="164">
      <sharedItems containsSemiMixedTypes="0" containsDate="1" containsString="0">
        <d v="2023-03-09T00:00:00Z"/>
        <d v="2024-02-01T00:00:00Z"/>
        <d v="2023-05-16T00:00:00Z"/>
        <d v="2024-02-14T00:00:00Z"/>
        <d v="2023-11-09T00:00:00Z"/>
        <d v="2024-02-21T00:00:00Z"/>
        <d v="2023-03-21T00:00:00Z"/>
        <d v="2024-02-20T00:00:00Z"/>
        <d v="2023-12-11T00:00:00Z"/>
        <d v="2024-03-02T00:00:00Z"/>
        <d v="2023-10-31T00:00:00Z"/>
        <d v="2024-03-09T00:00:00Z"/>
        <d v="2023-12-01T00:00:00Z"/>
        <d v="2024-02-15T00:00:00Z"/>
        <d v="2023-04-25T00:00:00Z"/>
        <d v="2024-04-04T00:00:00Z"/>
        <d v="2023-09-13T00:00:00Z"/>
        <d v="2024-02-29T00:00:00Z"/>
        <d v="2023-11-14T00:00:00Z"/>
        <d v="2023-02-11T00:00:00Z"/>
        <d v="2023-07-01T00:00:00Z"/>
        <d v="2023-02-14T00:00:00Z"/>
        <d v="2024-02-24T00:00:00Z"/>
        <d v="2024-01-04T00:00:00Z"/>
        <d v="2024-03-28T00:00:00Z"/>
        <d v="2023-02-28T00:00:00Z"/>
        <d v="2024-03-20T00:00:00Z"/>
        <d v="2023-12-02T00:00:00Z"/>
        <d v="2024-04-06T00:00:00Z"/>
        <d v="2023-09-16T00:00:00Z"/>
        <d v="2024-02-28T00:00:00Z"/>
        <d v="2023-04-27T00:00:00Z"/>
        <d v="2024-04-24T00:00:00Z"/>
        <d v="2023-10-07T00:00:00Z"/>
        <d v="2024-03-31T00:00:00Z"/>
        <d v="2023-09-19T00:00:00Z"/>
        <d v="2024-04-16T00:00:00Z"/>
        <d v="2023-12-30T00:00:00Z"/>
        <d v="2023-06-18T00:00:00Z"/>
        <d v="2023-04-18T00:00:00Z"/>
        <d v="2023-04-11T00:00:00Z"/>
        <d v="2023-07-29T00:00:00Z"/>
        <d v="2023-07-06T00:00:00Z"/>
        <d v="2023-12-24T00:00:00Z"/>
        <d v="2023-04-21T00:00:00Z"/>
        <d v="2023-06-28T00:00:00Z"/>
        <d v="2023-09-08T00:00:00Z"/>
        <d v="2023-05-08T00:00:00Z"/>
        <d v="2023-03-01T00:00:00Z"/>
        <d v="2023-06-01T00:00:00Z"/>
        <d v="2023-04-07T00:00:00Z"/>
        <d v="2023-09-18T00:00:00Z"/>
        <d v="2023-09-17T00:00:00Z"/>
        <d v="2023-10-21T00:00:00Z"/>
        <d v="2023-08-20T00:00:00Z"/>
        <d v="2023-07-09T00:00:00Z"/>
        <d v="2023-11-28T00:00:00Z"/>
        <d v="2023-08-12T00:00:00Z"/>
        <d v="2023-08-29T00:00:00Z"/>
        <d v="2024-01-12T00:00:00Z"/>
        <d v="2023-05-19T00:00:00Z"/>
        <d v="2023-05-02T00:00:00Z"/>
        <d v="2024-01-22T00:00:00Z"/>
        <d v="2023-12-07T00:00:00Z"/>
        <d v="2023-05-20T00:00:00Z"/>
        <d v="2023-11-30T00:00:00Z"/>
        <d v="2023-06-22T00:00:00Z"/>
        <d v="2024-02-07T00:00:00Z"/>
        <d v="2023-07-16T00:00:00Z"/>
        <d v="2023-04-14T00:00:00Z"/>
        <d v="2023-11-02T00:00:00Z"/>
        <d v="2023-10-29T00:00:00Z"/>
        <d v="2023-07-23T00:00:00Z"/>
        <d v="2023-12-29T00:00:00Z"/>
        <d v="2023-06-05T00:00:00Z"/>
        <d v="2023-07-05T00:00:00Z"/>
        <d v="2023-09-24T00:00:00Z"/>
        <d v="2023-11-26T00:00:00Z"/>
        <d v="2024-01-16T00:00:00Z"/>
        <d v="2024-01-27T00:00:00Z"/>
        <d v="2023-12-25T00:00:00Z"/>
        <d v="2023-11-03T00:00:00Z"/>
        <d v="2023-05-28T00:00:00Z"/>
        <d v="2023-05-12T00:00:00Z"/>
        <d v="2023-09-12T00:00:00Z"/>
        <d v="2024-02-02T00:00:00Z"/>
        <d v="2023-08-11T00:00:00Z"/>
        <d v="2023-11-04T00:00:00Z"/>
        <d v="2024-01-10T00:00:00Z"/>
        <d v="2023-07-13T00:00:00Z"/>
        <d v="2023-04-04T00:00:00Z"/>
        <d v="2024-01-20T00:00:00Z"/>
        <d v="2024-02-16T00:00:00Z"/>
        <d v="2023-12-09T00:00:00Z"/>
        <d v="2024-01-31T00:00:00Z"/>
        <d v="2023-11-11T00:00:00Z"/>
        <d v="2023-11-01T00:00:00Z"/>
        <d v="2023-10-04T00:00:00Z"/>
        <d v="2024-02-19T00:00:00Z"/>
        <d v="2023-04-22T00:00:00Z"/>
        <d v="2024-02-03T00:00:00Z"/>
        <d v="2023-12-08T00:00:00Z"/>
        <d v="2023-09-04T00:00:00Z"/>
        <d v="2023-08-27T00:00:00Z"/>
        <d v="2024-01-23T00:00:00Z"/>
        <d v="2023-07-14T00:00:00Z"/>
        <d v="2024-01-25T00:00:00Z"/>
        <d v="2023-12-20T00:00:00Z"/>
        <d v="2023-05-03T00:00:00Z"/>
        <d v="2023-06-14T00:00:00Z"/>
        <d v="2023-11-05T00:00:00Z"/>
        <d v="2023-08-23T00:00:00Z"/>
        <d v="2023-11-18T00:00:00Z"/>
        <d v="2023-08-24T00:00:00Z"/>
        <d v="2023-10-10T00:00:00Z"/>
        <d v="2024-03-21T00:00:00Z"/>
        <d v="2024-03-18T00:00:00Z"/>
        <d v="2023-05-07T00:00:00Z"/>
        <d v="2023-11-25T00:00:00Z"/>
        <d v="2023-06-07T00:00:00Z"/>
        <d v="2023-10-01T00:00:00Z"/>
        <d v="2024-03-30T00:00:00Z"/>
        <d v="2023-05-29T00:00:00Z"/>
        <d v="2023-11-23T00:00:00Z"/>
        <d v="2024-01-14T00:00:00Z"/>
        <d v="2024-01-29T00:00:00Z"/>
        <d v="2023-06-20T00:00:00Z"/>
        <d v="2023-10-12T00:00:00Z"/>
        <d v="2024-03-19T00:00:00Z"/>
        <d v="2023-12-31T00:00:00Z"/>
        <d v="2023-11-27T00:00:00Z"/>
        <d v="2024-02-17T00:00:00Z"/>
        <d v="2024-01-06T00:00:00Z"/>
        <d v="2023-09-10T00:00:00Z"/>
        <d v="2023-07-12T00:00:00Z"/>
        <d v="2024-04-02T00:00:00Z"/>
        <d v="2024-01-17T00:00:00Z"/>
        <d v="2024-02-11T00:00:00Z"/>
        <d v="2024-01-15T00:00:00Z"/>
        <d v="2023-12-14T00:00:00Z"/>
        <d v="2023-06-25T00:00:00Z"/>
        <d v="2024-03-08T00:00:00Z"/>
        <d v="2024-03-13T00:00:00Z"/>
        <d v="2024-04-12T00:00:00Z"/>
        <d v="2024-03-25T00:00:00Z"/>
        <d v="2024-04-22T00:00:00Z"/>
        <d v="2024-03-07T00:00:00Z"/>
        <d v="2024-04-19T00:00:00Z"/>
        <d v="2023-06-10T00:00:00Z"/>
        <d v="2024-01-30T00:00:00Z"/>
        <d v="2024-04-28T00:00:00Z"/>
        <d v="2023-01-24T00:00:00Z"/>
        <d v="2023-12-13T00:00:00Z"/>
        <d v="2023-10-11T00:00:00Z"/>
        <d v="2024-04-05T00:00:00Z"/>
        <d v="2023-08-07T00:00:00Z"/>
        <d v="2024-04-08T00:00:00Z"/>
        <d v="2024-01-03T00:00:00Z"/>
        <d v="2024-05-06T00:00:00Z"/>
        <d v="2023-10-16T00:00:00Z"/>
        <d v="2023-09-30T00:00:00Z"/>
        <d v="2023-06-24T00:00:00Z"/>
        <d v="2023-07-03T00:00:00Z"/>
        <d v="2024-05-01T00:00:00Z"/>
        <d v="2024-01-19T00:00:00Z"/>
        <d v="2024-04-18T00:00:00Z"/>
        <d v="2024-03-17T00:00:00Z"/>
        <d v="2024-02-04T00:00:00Z"/>
        <d v="2023-11-13T00:00:00Z"/>
        <d v="2023-12-16T00:00:00Z"/>
        <d v="2024-03-04T00:00:00Z"/>
        <d v="2023-08-15T00:00:00Z"/>
        <d v="2024-05-11T00:00:00Z"/>
        <d v="2024-04-11T00:00:00Z"/>
        <d v="2023-08-13T00:00:00Z"/>
        <d v="2023-08-04T00:00:00Z"/>
        <d v="2024-04-20T00:00:00Z"/>
        <d v="2023-11-29T00:00:00Z"/>
        <d v="2023-08-30T00:00:00Z"/>
        <d v="2024-05-13T00:00:00Z"/>
        <d v="2024-04-01T00:00:00Z"/>
        <d v="2024-05-16T00:00:00Z"/>
        <d v="2023-07-22T00:00:00Z"/>
        <d v="2024-01-01T00:00:00Z"/>
        <d v="2024-04-03T00:00:00Z"/>
        <d v="2023-08-16T00:00:00Z"/>
        <d v="2023-11-15T00:00:00Z"/>
        <d v="2023-11-24T00:00:00Z"/>
        <d v="2023-07-31T00:00:00Z"/>
        <d v="2024-03-24T00:00:00Z"/>
        <d v="2023-09-26T00:00:00Z"/>
        <d v="2023-08-06T00:00:00Z"/>
        <d v="2023-10-13T00:00:00Z"/>
        <d v="2023-10-22T00:00:00Z"/>
        <d v="2023-09-11T00:00:00Z"/>
        <d v="2023-08-18T00:00:00Z"/>
        <d v="2023-12-28T00:00:00Z"/>
        <d v="2024-06-09T00:00:00Z"/>
        <d v="2024-05-15T00:00:00Z"/>
        <d v="2023-10-19T00:00:00Z"/>
        <d v="2023-10-24T00:00:00Z"/>
        <d v="2023-09-07T00:00:00Z"/>
        <d v="2024-01-24T00:00:00Z"/>
        <d v="2024-05-09T00:00:00Z"/>
        <d v="2024-05-07T00:00:00Z"/>
        <d v="2024-01-26T00:00:00Z"/>
        <d v="2023-12-17T00:00:00Z"/>
        <d v="2024-02-05T00:00:00Z"/>
        <d v="2023-10-05T00:00:00Z"/>
        <d v="2023-12-15T00:00:00Z"/>
        <d v="2024-07-19T00:00:00Z"/>
        <d v="2023-12-04T00:00:00Z"/>
        <d v="2023-01-19T00:00:00Z"/>
        <d v="2024-06-02T00:00:00Z"/>
        <d v="2024-04-25T00:00:00Z"/>
        <d v="2024-06-22T00:00:00Z"/>
        <d v="2024-04-29T00:00:00Z"/>
        <d v="2024-05-17T00:00:00Z"/>
        <d v="2023-11-10T00:00:00Z"/>
        <d v="2024-03-06T00:00:00Z"/>
        <d v="2024-03-29T00:00:00Z"/>
        <d v="2024-06-03T00:00:00Z"/>
        <d v="2023-06-13T00:00:00Z"/>
        <d v="2024-06-30T00:00:00Z"/>
        <d v="2024-07-14T00:00:00Z"/>
        <d v="2023-10-02T00:00:00Z"/>
        <d v="2024-04-15T00:00:00Z"/>
        <d v="2023-10-23T00:00:00Z"/>
        <d v="2024-03-27T00:00:00Z"/>
        <d v="2023-12-12T00:00:00Z"/>
        <d v="2024-05-03T00:00:00Z"/>
        <d v="2024-07-23T00:00:00Z"/>
        <d v="2023-09-28T00:00:00Z"/>
        <d v="2023-06-23T00:00:00Z"/>
        <d v="2024-08-12T00:00:00Z"/>
        <d v="2023-10-20T00:00:00Z"/>
        <d v="2024-06-13T00:00:00Z"/>
        <d v="2024-06-10T00:00:00Z"/>
        <d v="2024-08-07T00:00:00Z"/>
        <d v="2024-08-26T00:00:00Z"/>
        <d v="2023-11-06T00:00:00Z"/>
        <d v="2024-06-11T00:00:00Z"/>
        <d v="2024-05-23T00:00:00Z"/>
        <d v="2024-02-18T00:00:00Z"/>
        <d v="2024-07-04T00:00:00Z"/>
        <d v="2024-06-06T00:00:00Z"/>
        <d v="2024-09-05T00:00:00Z"/>
        <d v="2024-06-14T00:00:00Z"/>
        <d v="2023-12-19T00:00:00Z"/>
        <d v="2023-12-10T00:00:00Z"/>
        <d v="2024-06-12T00:00:00Z"/>
        <d v="2024-08-30T00:00:00Z"/>
        <d v="2024-07-20T00:00:00Z"/>
        <d v="2024-02-06T00:00:00Z"/>
        <d v="2024-08-28T00:00:00Z"/>
        <d v="2024-03-10T00:00:00Z"/>
        <d v="2024-06-17T00:00:00Z"/>
        <d v="2024-08-29T00:00:00Z"/>
        <d v="2024-05-14T00:00:00Z"/>
        <d v="2024-07-26T00:00:00Z"/>
        <d v="2024-07-01T00:00:00Z"/>
        <d v="2024-09-16T00:00:00Z"/>
        <d v="2024-06-20T00:00:00Z"/>
        <d v="2024-07-30T00:00:00Z"/>
        <d v="2024-08-31T00:00:00Z"/>
        <d v="2023-12-23T00:00:00Z"/>
        <d v="2024-01-02T00:00:00Z"/>
        <d v="2023-08-03T00:00:00Z"/>
        <d v="2024-04-14T00:00:00Z"/>
        <d v="2024-10-07T00:00:00Z"/>
        <d v="2024-09-22T00:00:00Z"/>
        <d v="2024-07-15T00:00:00Z"/>
        <d v="2024-06-26T00:00:00Z"/>
        <d v="2024-08-20T00:00:00Z"/>
        <d v="2024-10-18T00:00:00Z"/>
        <d v="2024-10-21T00:00:00Z"/>
        <d v="2024-07-11T00:00:00Z"/>
        <d v="2024-04-21T00:00:00Z"/>
        <d v="2024-06-24T00:00:00Z"/>
        <d v="2024-07-05T00:00:00Z"/>
        <d v="2024-08-11T00:00:00Z"/>
        <d v="2024-02-12T00:00:00Z"/>
        <d v="2024-08-25T00:00:00Z"/>
        <d v="2024-05-22T00:00:00Z"/>
        <d v="2024-10-02T00:00:00Z"/>
        <d v="2024-02-26T00:00:00Z"/>
        <d v="2023-12-06T00:00:00Z"/>
        <d v="2023-03-10T00:00:00Z"/>
        <d v="2024-06-23T00:00:00Z"/>
        <d v="2024-08-01T00:00:00Z"/>
        <d v="2023-01-20T00:00:00Z"/>
        <d v="2024-05-27T00:00:00Z"/>
        <d v="2023-06-21T00:00:00Z"/>
        <d v="2024-02-23T00:00:00Z"/>
        <d v="2024-10-20T00:00:00Z"/>
        <d v="2024-04-07T00:00:00Z"/>
        <d v="2024-11-09T00:00:00Z"/>
        <d v="2024-07-08T00:00:00Z"/>
        <d v="2024-04-30T00:00:00Z"/>
        <d v="2024-10-25T00:00:00Z"/>
        <d v="2024-08-08T00:00:00Z"/>
        <d v="2024-02-09T00:00:00Z"/>
        <d v="2024-09-12T00:00:00Z"/>
        <d v="2024-06-18T00:00:00Z"/>
        <d v="2024-07-24T00:00:00Z"/>
        <d v="2024-10-14T00:00:00Z"/>
        <d v="2024-09-07T00:00:00Z"/>
        <d v="2024-08-21T00:00:00Z"/>
        <d v="2024-07-03T00:00:00Z"/>
        <d v="2024-11-24T00:00:00Z"/>
        <d v="2024-09-27T00:00:00Z"/>
        <d v="2024-10-29T00:00:00Z"/>
        <d v="2024-09-18T00:00:00Z"/>
        <d v="2024-12-08T00:00:00Z"/>
        <d v="2024-10-30T00:00:00Z"/>
        <d v="2024-10-23T00:00:00Z"/>
        <d v="2024-09-01T00:00:00Z"/>
        <d v="2024-10-05T00:00:00Z"/>
        <d v="2023-04-28T00:00:00Z"/>
        <d v="2024-11-28T00:00:00Z"/>
        <d v="2024-11-15T00:00:00Z"/>
        <d v="2024-09-28T00:00:00Z"/>
      </sharedItems>
    </cacheField>
    <cacheField name="Anggaran" numFmtId="165">
      <sharedItems containsSemiMixedTypes="0" containsString="0" containsNumber="1" containsInteger="1">
        <n v="6.49208256E8"/>
        <n v="3.26999652E8"/>
        <n v="3.474309188E9"/>
        <n v="8.58795151E9"/>
        <n v="1.91505827E8"/>
        <n v="8.016851785E9"/>
        <n v="3.979021821E9"/>
        <n v="2.153093275E9"/>
        <n v="6.83556997E8"/>
        <n v="4.63632409E9"/>
        <n v="6.63835414E8"/>
        <n v="6.98540517E8"/>
        <n v="2.423693734E9"/>
        <n v="3.13131839E8"/>
        <n v="2.81077623E8"/>
        <n v="9.21085536E8"/>
        <n v="2.41214887E8"/>
        <n v="4.25861681E8"/>
        <n v="7.49126801E8"/>
        <n v="6.584342537E9"/>
        <n v="5.36495065E8"/>
        <n v="3.981092285E9"/>
        <n v="3.41629572E8"/>
        <n v="6.03837273E8"/>
        <n v="4.534202846E9"/>
        <n v="2.57898943E8"/>
        <n v="4.89065831E8"/>
        <n v="5.45662746E8"/>
        <n v="4.86357978E8"/>
        <n v="8.10414368E8"/>
        <n v="3.41929482E8"/>
        <n v="5.99466235E8"/>
        <n v="4.929333305E9"/>
        <n v="3.33089653E8"/>
        <n v="5.23689841E8"/>
        <n v="3.757312666E9"/>
        <n v="3.894709817E9"/>
        <n v="4.6287632E8"/>
        <n v="4.532376815E9"/>
        <n v="3.82111714E9"/>
        <n v="4.159855566E9"/>
        <n v="4.492886828E9"/>
        <n v="1.424729417E9"/>
        <n v="1.425616276E9"/>
        <n v="3.07413755E8"/>
        <n v="6.929733135E9"/>
        <n v="1.56771217E9"/>
        <n v="3.020860458E9"/>
        <n v="4.43234047E8"/>
        <n v="4.609627E9"/>
        <n v="9.95204213E8"/>
        <n v="3.867579335E9"/>
        <n v="8.428412586E9"/>
        <n v="2.004784321E9"/>
        <n v="2.364631347E9"/>
        <n v="7.177546505E9"/>
        <n v="4.20827734E8"/>
        <n v="3.8226621E8"/>
        <n v="1.545241955E9"/>
        <n v="6.831252497E9"/>
        <n v="3.703277131E9"/>
        <n v="3.6783916E9"/>
        <n v="8.88014731E8"/>
        <n v="5.9362902E8"/>
        <n v="5.835541492E9"/>
        <n v="2.1345744E8"/>
        <n v="3.27569561E8"/>
        <n v="7.05483967E8"/>
        <n v="3.447782131E9"/>
        <n v="2.635808219E9"/>
        <n v="2.011712412E9"/>
        <n v="3.202495526E9"/>
        <n v="1.655558865E9"/>
        <n v="4.806787932E9"/>
        <n v="6.99551361E8"/>
        <n v="3.63997813E8"/>
        <n v="9.26922328E8"/>
        <n v="3.1469007E8"/>
        <n v="7.08312743E8"/>
        <n v="4.19037113E8"/>
        <n v="5.00841363E8"/>
        <n v="2.0930411E8"/>
        <n v="3.686469051E9"/>
        <n v="3.53290709E8"/>
        <n v="8.935017863E9"/>
        <n v="5.518454926E9"/>
        <n v="3.367495384E9"/>
        <n v="2.293993253E9"/>
        <n v="1.790927128E9"/>
        <n v="7.432359735E9"/>
        <n v="7.645065116E9"/>
        <n v="5.52231232E9"/>
        <n v="9.3432556E8"/>
        <n v="1.21142623E8"/>
        <n v="1.493231996E9"/>
        <n v="5.860997586E9"/>
        <n v="5.51513519E8"/>
        <n v="3.59783228E8"/>
        <n v="4.429242773E9"/>
        <n v="2.034415367E9"/>
        <n v="1.597122511E9"/>
        <n v="9.66519099E8"/>
        <n v="8.81938572E8"/>
        <n v="4.50812299E9"/>
        <n v="1.863372939E9"/>
        <n v="5.12883235E8"/>
        <n v="4.679669631E9"/>
        <n v="4.513453864E9"/>
        <n v="7.126604362E9"/>
        <n v="4.952427692E9"/>
        <n v="5.4275981E8"/>
        <n v="5.059161734E9"/>
        <n v="5.462259142E9"/>
        <n v="3.922070251E9"/>
        <n v="9.404668499E9"/>
        <n v="6.049021945E9"/>
        <n v="9.89197622E8"/>
        <n v="9.23609376E8"/>
        <n v="7.00082207E9"/>
        <n v="4.006400142E9"/>
        <n v="7.054924571E9"/>
        <n v="7.494641055E9"/>
        <n v="7.221183664E9"/>
        <n v="8.7087675E8"/>
        <n v="2.164051592E9"/>
        <n v="3.746270294E9"/>
        <n v="3.094147448E9"/>
        <n v="2.960912774E9"/>
        <n v="4.2185923E8"/>
        <n v="7.76411814E8"/>
        <n v="5.326254824E9"/>
        <n v="7.37874671E8"/>
        <n v="6.410731228E9"/>
        <n v="5.84530717E8"/>
        <n v="5.399904068E9"/>
        <n v="6.2052543E8"/>
        <n v="2.278233533E9"/>
        <n v="2.425304687E9"/>
        <n v="3.263728734E9"/>
        <n v="7.299558365E9"/>
        <n v="3.04540977E8"/>
        <n v="5.043663492E9"/>
        <n v="3.438414318E9"/>
        <n v="5.38173778E8"/>
        <n v="4.142478037E9"/>
        <n v="4.552866676E9"/>
        <n v="9.02216985E8"/>
        <n v="6.582376288E9"/>
        <n v="2.04769884E8"/>
        <n v="1.00103542E8"/>
        <n v="5.67827038E8"/>
        <n v="7.38261394E9"/>
        <n v="3.840273247E9"/>
        <n v="5.10276507E8"/>
        <n v="8.06848236E8"/>
        <n v="3.687967195E9"/>
        <n v="4.409857336E9"/>
        <n v="6.03531905E8"/>
        <n v="6.4873219E8"/>
        <n v="8.72561312E8"/>
        <n v="4.61667131E8"/>
        <n v="2.65879074E8"/>
        <n v="3.39042702E8"/>
        <n v="9.295259236E9"/>
        <n v="7.601913991E9"/>
        <n v="3.07072675E8"/>
        <n v="3.190510162E9"/>
        <n v="7.24043833E8"/>
        <n v="3.094852115E9"/>
        <n v="4.33880373E8"/>
        <n v="5.094791554E9"/>
        <n v="4.07950829E8"/>
        <n v="1.692019622E9"/>
        <n v="4.909765412E9"/>
        <n v="3.396315626E9"/>
        <n v="2.665194797E9"/>
        <n v="2.586947699E9"/>
        <n v="1.89032296E8"/>
        <n v="4.84231869E8"/>
        <n v="1.552182554E9"/>
        <n v="2.12901636E8"/>
        <n v="8.62295964E8"/>
        <n v="6.36437813E8"/>
        <n v="2.299354314E10"/>
        <n v="5.097478222E9"/>
        <n v="6.825404228E9"/>
        <n v="7.11908536E8"/>
        <n v="4.488626883E9"/>
        <n v="8.33760455E8"/>
        <n v="7.96873116E8"/>
        <n v="2.65841157E8"/>
        <n v="2.403144972E9"/>
        <n v="2.353183969E9"/>
        <n v="3.010188959E9"/>
        <n v="3.270056272E9"/>
        <n v="2.737545275E9"/>
        <n v="4.35396392E8"/>
        <n v="8.62972191E8"/>
        <n v="5.40011263E8"/>
        <n v="1.029500364E9"/>
        <n v="6.41123605E8"/>
        <n v="3.739543587E9"/>
        <n v="1.989239519E9"/>
        <n v="7.51081465E8"/>
        <n v="3.96170576E8"/>
        <n v="3.86727841E9"/>
        <n v="1.475452617E9"/>
        <n v="8.372699981E9"/>
        <n v="4.67726708E8"/>
        <n v="3.277415006E9"/>
        <n v="6.36468503E8"/>
        <n v="1.206249778E9"/>
        <n v="6.06080757E9"/>
        <n v="2.544644297E9"/>
        <n v="6.557069994E9"/>
        <n v="4.526013687E9"/>
        <n v="1.746655E9"/>
        <n v="8.46453122E8"/>
        <n v="2.03965243E8"/>
        <n v="1.0119728525E10"/>
        <n v="4.915550556E9"/>
        <n v="4.90931117E8"/>
        <n v="3.45656676E8"/>
        <n v="2.994383941E9"/>
        <n v="6.364217108E9"/>
        <n v="3.757150419E9"/>
        <n v="4.655083177E9"/>
        <n v="6.12637613E8"/>
        <n v="7.65288058E8"/>
        <n v="9.96933795E8"/>
        <n v="6.355661362E9"/>
        <n v="6.951220052E9"/>
        <n v="2.57229348E8"/>
        <n v="1.258024298E9"/>
        <n v="3.75761303E8"/>
        <n v="6.540978129E9"/>
        <n v="3.42017973E8"/>
        <n v="4.806164886E9"/>
        <n v="9.209856007E9"/>
        <n v="2.69400319E8"/>
        <n v="3.09898686E9"/>
        <n v="2.873619122E9"/>
        <n v="7.35575459E8"/>
        <n v="2.354261081E9"/>
        <n v="2.697497947E9"/>
        <n v="2.77801695E8"/>
        <n v="5.36537192E9"/>
        <n v="7.37701834E8"/>
        <n v="2.498238869E9"/>
        <n v="3.43573944E8"/>
        <n v="8.0298087E8"/>
        <n v="1.132821017E9"/>
        <n v="6.46267645E8"/>
        <n v="1.091849633E9"/>
        <n v="9.69437655E8"/>
        <n v="3.165392319E9"/>
        <n v="5.204534546E9"/>
        <n v="3.942664693E9"/>
        <n v="1.996986704E9"/>
        <n v="1.005719572E9"/>
        <n v="4.155376448E9"/>
        <n v="6.519755129E9"/>
        <n v="5.09824821E8"/>
        <n v="4.249269902E9"/>
        <n v="2.236844121E9"/>
        <n v="3.69427315E8"/>
        <n v="3.688243132E9"/>
        <n v="3.81166441E8"/>
        <n v="6.04130639E8"/>
        <n v="2.83236486E8"/>
        <n v="2.88462185E8"/>
        <n v="7.06008565E8"/>
        <n v="3.442468253E9"/>
        <n v="2.233995238E9"/>
        <n v="5.79386663E8"/>
        <n v="2.89251248E9"/>
        <n v="1.731360253E9"/>
        <n v="4.702380798E9"/>
        <n v="1.321857853E9"/>
        <n v="4.256914338E9"/>
        <n v="2.02438902E8"/>
        <n v="7.153815573E9"/>
        <n v="2.21023244E9"/>
        <n v="2.045004222E9"/>
        <n v="6.07111213E8"/>
        <n v="3.78250495E8"/>
        <n v="2.25164187E8"/>
        <n v="4.178594822E9"/>
        <n v="6.60225526E8"/>
        <n v="6.255723631E9"/>
        <n v="1.935087556E9"/>
        <n v="6.639282641E9"/>
        <n v="1.341304566E9"/>
        <n v="1.482129947E9"/>
        <n v="5.13461094E9"/>
        <n v="3.44333067E8"/>
        <n v="2.34761931E9"/>
        <n v="2.42239766E9"/>
        <n v="5.93562614E8"/>
        <n v="3.507077254E9"/>
        <n v="7.83003102E9"/>
        <n v="3.76787596E9"/>
        <n v="8.403683934E9"/>
        <n v="4.381657926E9"/>
        <n v="1.717899076E9"/>
        <n v="2.31308784E8"/>
        <n v="1.694502492E9"/>
        <n v="6.044403214E9"/>
        <n v="4.486128429E9"/>
        <n v="8.73718114E8"/>
        <n v="2.30467768E8"/>
        <n v="6.88191398E8"/>
        <n v="2.697606072E9"/>
        <n v="9.90744889E8"/>
        <n v="3.212613392E9"/>
        <n v="8.43044899E8"/>
        <n v="4.42886883E8"/>
        <n v="8.993425036E9"/>
        <n v="4.764842863E9"/>
        <n v="6.16245876E8"/>
        <n v="2.466228274E9"/>
        <n v="3.270114898E9"/>
        <n v="2.841617618E9"/>
        <n v="2.178901994E9"/>
        <n v="4.033563886E9"/>
        <n v="9.65725164E8"/>
        <n v="6.47397365E8"/>
        <n v="7.75460621E8"/>
        <n v="7.165201683E9"/>
        <n v="5.57418865E8"/>
        <n v="4.732793482E9"/>
        <n v="2.993133974E9"/>
        <n v="4.720470438E9"/>
        <n v="3.999421618E9"/>
        <n v="1.118159098E9"/>
        <n v="9.891638971E9"/>
        <n v="2.46997207E8"/>
        <n v="4.163473786E9"/>
        <n v="2.007900262E9"/>
        <n v="9.92149876E9"/>
        <n v="2.56273331E9"/>
        <n v="8.94294565E8"/>
        <n v="6.61378979E8"/>
        <n v="2.081376801E9"/>
        <n v="6.09956841E8"/>
        <n v="4.372183615E9"/>
        <n v="7.734024053E9"/>
        <n v="2.23729528E9"/>
        <n v="4.595910673E9"/>
        <n v="5.159672072E9"/>
        <n v="6.721798052E9"/>
        <n v="4.769425566E9"/>
        <n v="1.336819118E9"/>
        <n v="4.71750376E8"/>
        <n v="6.28901605E8"/>
        <n v="1.251866235E9"/>
        <n v="3.21020182E8"/>
        <n v="4.533278952E9"/>
        <n v="4.814287975E9"/>
        <n v="5.011848562E9"/>
        <n v="2.187444281E9"/>
        <n v="3.086567364E9"/>
        <n v="3.308514312E9"/>
        <n v="2.83571018E8"/>
        <n v="7.071217769E9"/>
        <n v="5.103380941E9"/>
        <n v="4.342819473E9"/>
        <n v="6.977377591E9"/>
        <n v="5.457855102E9"/>
        <n v="2.054160295E9"/>
        <n v="2.343750073E9"/>
        <n v="1.02526981E9"/>
        <n v="3.50434222E8"/>
        <n v="4.97218843E8"/>
        <n v="8.72130533E8"/>
        <n v="4.90701278E9"/>
        <n v="3.253936748E9"/>
        <n v="1.125747425E9"/>
        <n v="1.635038686E9"/>
        <n v="9.829087531E9"/>
        <n v="1.057037862E9"/>
        <n v="5.469982538E9"/>
        <n v="5.05551529E9"/>
        <n v="2.556364237E9"/>
        <n v="6.904869726E9"/>
        <n v="3.882607118E9"/>
        <n v="8.88436167E8"/>
        <n v="1.354806627E9"/>
        <n v="9.84605716E8"/>
        <n v="3.71601786E8"/>
        <n v="5.16197294E8"/>
        <n v="5.40697362E8"/>
        <n v="6.374609108E9"/>
        <n v="2.805083829E9"/>
        <n v="7.779607484E9"/>
        <n v="1.204572808E9"/>
        <n v="9.09945479E8"/>
        <n v="5.167811974E9"/>
        <n v="3.20968841E8"/>
        <n v="2.879285863E9"/>
        <n v="4.595916165E9"/>
        <n v="1.29984874E9"/>
        <n v="3.206827076E9"/>
        <n v="5.59804949E8"/>
        <n v="5.82067969E8"/>
        <n v="6.85929486E8"/>
        <n v="2.626084542E9"/>
        <n v="8.93411259E8"/>
        <n v="2.64833844E8"/>
        <n v="5.88269229E8"/>
        <n v="6.91409314E8"/>
        <n v="2.42272002E8"/>
        <n v="1.906777116E9"/>
        <n v="3.25400177E8"/>
        <n v="1.31415829E8"/>
        <n v="4.35534089E8"/>
        <n v="1.107624052E9"/>
        <n v="4.91363432E9"/>
        <n v="2.100848894E9"/>
        <n v="5.05388172E8"/>
        <n v="5.74563455E8"/>
        <n v="4.45199395E8"/>
        <n v="8.49005913E8"/>
        <n v="3.09836496E9"/>
        <n v="1.607071599E9"/>
        <n v="2.771182474E9"/>
        <n v="1.53884086E8"/>
        <n v="5.45725479E8"/>
        <n v="4.659030076E9"/>
        <n v="2.661560994E9"/>
        <n v="1.652872648E9"/>
        <n v="7.444707554E9"/>
        <n v="3.0800941E8"/>
        <n v="2.851933896E9"/>
        <n v="5.932217911E9"/>
        <n v="3.94459258E8"/>
        <n v="3.343026784E9"/>
        <n v="4.651361592E9"/>
        <n v="2.87244799E8"/>
        <n v="1.941923313E9"/>
        <n v="1.897092669E9"/>
        <n v="2.304818789E9"/>
        <n v="6.42644763E8"/>
        <n v="5.716503787E9"/>
        <n v="5.37845909E8"/>
        <n v="8.00732653E8"/>
        <n v="6.76299944E8"/>
        <n v="5.621717823E9"/>
        <n v="1.652704535E9"/>
        <n v="2.69627612E9"/>
        <n v="3.44399927E8"/>
        <n v="6.24334418E8"/>
        <n v="7.036506058E9"/>
        <n v="4.458001292E9"/>
        <n v="6.553637483E9"/>
        <n v="5.694242987E9"/>
        <n v="2.266697296E9"/>
        <n v="4.49824902E8"/>
        <n v="6.87256096E8"/>
        <n v="5.29398283E8"/>
        <n v="4.710182773E9"/>
        <n v="7.44960204E8"/>
        <n v="3.580995628E9"/>
        <n v="3.57450773E9"/>
        <n v="2.640159197E9"/>
        <n v="8.57010798E8"/>
        <n v="3.902836313E9"/>
        <n v="3.13061138E8"/>
        <n v="3.704994376E9"/>
        <n v="6.935528254E9"/>
        <n v="1.827330534E9"/>
        <n v="6.43095755E8"/>
        <n v="1.95287277E8"/>
        <n v="6.786324237E9"/>
        <n v="4.99105719E8"/>
        <n v="4.61111964E8"/>
        <n v="3.310535255E9"/>
        <n v="1.639451183E9"/>
        <n v="2.042593058E9"/>
        <n v="2.4382268E9"/>
        <n v="7.40887892E8"/>
        <n v="3.502390822E9"/>
        <n v="6.3329943E8"/>
        <n v="5.18578528E8"/>
        <n v="2.716743578E9"/>
        <n v="3.55836617E9"/>
        <n v="3.504700319E9"/>
        <n v="8.473123375E9"/>
        <n v="4.07605972E8"/>
        <n v="3.697961455E9"/>
        <n v="9.185210892E9"/>
        <n v="5.7743407E8"/>
        <n v="9.221677626E9"/>
        <n v="4.616485762E9"/>
        <n v="4.101514487E9"/>
        <n v="4.19613481E8"/>
        <n v="2.71658499E8"/>
        <n v="3.282339654E9"/>
        <n v="2.974669932E9"/>
        <n v="1.05133426E8"/>
      </sharedItems>
    </cacheField>
    <cacheField name="Kontraktor" numFmtId="0">
      <sharedItems containsBlank="1">
        <s v="PT.  Lailasari Hariyah (Persero) Tbk"/>
        <s v="CV Sihombing"/>
        <m/>
        <s v="PT.  Yuniar Hakim Tbk"/>
        <s v="PT D"/>
        <s v="PT A"/>
        <s v="PT B"/>
        <s v="PT C"/>
        <s v="x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501" sheet="Data Quality"/>
  </cacheSource>
  <cacheFields>
    <cacheField name="ID_Proyek" numFmtId="0">
      <sharedItems>
        <s v="CN-0164-2023"/>
        <s v="CN-0200-2023"/>
        <s v="CN-9999-2024"/>
        <s v="CN-0192-2023"/>
        <s v="CN-0188-2023"/>
        <s v="CN-0108-2023"/>
        <s v="CN-0058-2023"/>
        <s v="CN-0003-2023"/>
        <s v="CN-0015-2023"/>
        <s v="CN-0019-2024"/>
        <s v="CN-0038-2023"/>
        <s v="CN-0041-2023"/>
        <s v="CN-0045-2023"/>
        <s v="CN-0067-2023"/>
        <s v="CN-0070-2023"/>
        <s v="CN-0071-2023"/>
        <s v="CN-0095-2023"/>
        <s v="CN-0102-2023"/>
        <s v="CN-0109-2023"/>
        <s v="CN-0137-2023"/>
        <s v="CN-0142-2023"/>
        <s v="CN-0150-2023"/>
        <s v="CN-0152-2023"/>
        <s v="CN-0156-2023"/>
        <s v="CN-0157-2023"/>
        <s v="CN-0158-2023"/>
        <s v="CN-0194-2023"/>
        <s v="CN-0211-2023"/>
        <s v="CN-0213-2023"/>
        <s v="CN-0229-2023"/>
        <s v="CN-0244-2023"/>
        <s v="CN-0249-2023"/>
        <s v="CN-0267-2023"/>
        <s v="CN-0282-2023"/>
        <s v="CN-0289-2023"/>
        <s v="CN-0297-2023"/>
        <s v="CN-0300-2023"/>
        <s v="CN-0304-2023"/>
        <s v="CN-0305-2023"/>
        <s v="CN-0306-2023"/>
        <s v="CN-0310-2023"/>
        <s v="CN-0316-2023"/>
        <s v="CN-0324-2023"/>
        <s v="CN-0331-2023"/>
        <s v="CN-0358-2023"/>
        <s v="CN-0364-2023"/>
        <s v="CN-0366-2023"/>
        <s v="CN-0376-2023"/>
        <s v="CN-0378-2023"/>
        <s v="CN-0385-2023"/>
        <s v="CN-0392-2023"/>
        <s v="CN-0394-2023"/>
        <s v="CN-0398-2023"/>
        <s v="CN-0408-2023"/>
        <s v="CN-0409-2023"/>
        <s v="CN-0410-2023"/>
        <s v="CN-0420-2023"/>
        <s v="CN-0421-2023"/>
        <s v="CN-0422-2023"/>
        <s v="CN-0434-2023"/>
        <s v="CN-0435-2023"/>
        <s v="CN-0437-2023"/>
        <s v="CN-0443-2023"/>
        <s v="CN-0461-2023"/>
        <s v="CN-0462-2023"/>
        <s v="CN-0469-2023"/>
        <s v="CN-0475-2023"/>
        <s v="CN-0001-2023"/>
        <s v="CN-0001-2024"/>
        <s v="CN-0002-2023"/>
        <s v="CN-0002-2024"/>
        <s v="CN-0003-2024"/>
        <s v="CN-0004-2023"/>
        <s v="CN-0004-2024"/>
        <s v="CN-0005-2023"/>
        <s v="CN-0005-2024"/>
        <s v="CN-0006-2023"/>
        <s v="CN-0006-2024"/>
        <s v="CN-0007-2023"/>
        <s v="CN-0007-2024"/>
        <s v="CN-0008-2023"/>
        <s v="CN-0008-2024"/>
        <s v="CN-0009-2023"/>
        <s v="CN-0009-2024"/>
        <s v="CN-0010-2023"/>
        <s v="CN-0010-2024"/>
        <s v="CN-0011-2023"/>
        <s v="CN-0011-2024"/>
        <s v="CN-0012-2023"/>
        <s v="CN-0012-2024"/>
        <s v="CN-0013-2023"/>
        <s v="CN-0013-2024"/>
        <s v="CN-0014-2023"/>
        <s v="CN-0014-2024"/>
        <s v="CN-0015-2024"/>
        <s v="CN-0016-2023"/>
        <s v="CN-0016-2024"/>
        <s v="CN-0017-2023"/>
        <s v="CN-0017-2024"/>
        <s v="CN-0018-2023"/>
        <s v="CN-0018-2024"/>
        <s v="CN-0019-2023"/>
        <s v="CN-0020-2023"/>
        <s v="CN-0020-2024"/>
        <s v="CN-0021-2023"/>
        <s v="CN-0022-2023"/>
        <s v="CN-0023-2023"/>
        <s v="CN-0024-2023"/>
        <s v="CN-0025-2023"/>
        <s v="CN-0026-2023"/>
        <s v="CN-0027-2023"/>
        <s v="CN-0028-2023"/>
        <s v="CN-0029-2023"/>
        <s v="CN-0030-2023"/>
        <s v="CN-0031-2023"/>
        <s v="CN-0032-2023"/>
        <s v="CN-0033-2023"/>
        <s v="CN-0034-2023"/>
        <s v="CN-0035-2023"/>
        <s v="CN-0036-2023"/>
        <s v="CN-0037-2023"/>
        <s v="CN-0039-2023"/>
        <s v="CN-0040-2023"/>
        <s v="CN-0042-2023"/>
        <s v="CN-0043-2023"/>
        <s v="CN-0044-2023"/>
        <s v="CN-0046-2023"/>
        <s v="CN-0047-2023"/>
        <s v="CN-0048-2023"/>
        <s v="CN-0049-2023"/>
        <s v="CN-0050-2023"/>
        <s v="CN-0051-2023"/>
        <s v="CN-0052-2023"/>
        <s v="CN-0053-2023"/>
        <s v="CN-0054-2023"/>
        <s v="CN-0055-2023"/>
        <s v="CN-0056-2023"/>
        <s v="CN-0057-2023"/>
        <s v="CN-0059-2023"/>
        <s v="CN-0060-2023"/>
        <s v="CN-0061-2023"/>
        <s v="CN-0062-2023"/>
        <s v="CN-0063-2023"/>
        <s v="CN-0064-2023"/>
        <s v="CN-0065-2023"/>
        <s v="CN-0066-2023"/>
        <s v="CN-0068-2023"/>
        <s v="CN-0069-2023"/>
        <s v="CN-0072-2023"/>
        <s v="CN-0073-2023"/>
        <s v="CN-0074-2023"/>
        <s v="CN-0075-2023"/>
        <s v="CN-0076-2023"/>
        <s v="CN-0077-2023"/>
        <s v="CN-0078-2023"/>
        <s v="CN-0079-2023"/>
        <s v="CN-0080-2023"/>
        <s v="CN-0081-2023"/>
        <s v="CN-0082-2023"/>
        <s v="CN-0083-2023"/>
        <s v="CN-0084-2023"/>
        <s v="CN-0085-2023"/>
        <s v="CN-0086-2023"/>
        <s v="CN-0087-2023"/>
        <s v="CN-0088-2023"/>
        <s v="CN-0089-2023"/>
        <s v="CN-0090-2023"/>
        <s v="CN-0091-2023"/>
        <s v="CN-0092-2023"/>
        <s v="CN-0093-2023"/>
        <s v="CN-0094-2023"/>
        <s v="CN-0096-2023"/>
        <s v="CN-0097-2023"/>
        <s v="CN-0098-2023"/>
        <s v="CN-0099-2023"/>
        <s v="CN-0100-2023"/>
        <s v="CN-0101-2023"/>
        <s v="CN-0103-2023"/>
        <s v="CN-0104-2023"/>
        <s v="CN-0105-2023"/>
        <s v="CN-0106-2023"/>
        <s v="CN-0107-2023"/>
        <s v="CN-0110-2023"/>
        <s v="CN-0111-2023"/>
        <s v="CN-0112-2023"/>
        <s v="CN-0113-2023"/>
        <s v="CN-0114-2023"/>
        <s v="CN-0115-2023"/>
        <s v="CN-0116-2023"/>
        <s v="CN-0117-2023"/>
        <s v="CN-0118-2023"/>
        <s v="CN-0119-2023"/>
        <s v="CN-0120-2023"/>
        <s v="CN-0121-2023"/>
        <s v="CN-0122-2023"/>
        <s v="CN-0123-2023"/>
        <s v="CN-0124-2023"/>
        <s v="CN-0125-2023"/>
        <s v="CN-0126-2023"/>
        <s v="CN-0127-2023"/>
        <s v="CN-0128-2023"/>
        <s v="CN-0129-2023"/>
        <s v="CN-0130-2023"/>
        <s v="CN-0131-2023"/>
        <s v="CN-0132-2023"/>
        <s v="CN-0133-2023"/>
        <s v="CN-0134-2023"/>
        <s v="CN-0135-2023"/>
        <s v="CN-0136-2023"/>
        <s v="CN-0138-2023"/>
        <s v="CN-0139-2023"/>
        <s v="CN-0140-2023"/>
        <s v="CN-0141-2023"/>
        <s v="CN-0143-2023"/>
        <s v="CN-0144-2023"/>
        <s v="CN-0145-2023"/>
        <s v="CN-0146-2023"/>
        <s v="CN-0147-2023"/>
        <s v="CN-0148-2023"/>
        <s v="CN-0149-2023"/>
        <s v="CN-0151-2023"/>
        <s v="CN-0153-2023"/>
        <s v="CN-0154-2023"/>
        <s v="CN-0155-2023"/>
        <s v="CN-0159-2023"/>
        <s v="CN-0160-2023"/>
        <s v="CN-0161-2023"/>
        <s v="CN-0162-2023"/>
        <s v="CN-0163-2023"/>
        <s v="CN-0165-2023"/>
        <s v="CN-0166-2023"/>
        <s v="CN-0167-2023"/>
        <s v="CN-0168-2023"/>
        <s v="CN-0169-2023"/>
        <s v="CN-0170-2023"/>
        <s v="CN-0171-2023"/>
        <s v="CN-0172-2023"/>
        <s v="CN-0173-2023"/>
        <s v="CN-0174-2023"/>
        <s v="CN-0175-2023"/>
        <s v="CN-0176-2023"/>
        <s v="CN-0177-2023"/>
        <s v="CN-0178-2023"/>
        <s v="CN-0179-2023"/>
        <s v="CN-0180-2023"/>
        <s v="CN-0181-2023"/>
        <s v="CN-0182-2023"/>
        <s v="CN-0183-2023"/>
        <s v="CN-0184-2023"/>
        <s v="CN-0185-2023"/>
        <s v="CN-0186-2023"/>
        <s v="CN-0187-2023"/>
        <s v="CN-0189-2023"/>
        <s v="CN-0190-2023"/>
        <s v="CN-0191-2023"/>
        <s v="CN-0195-2023"/>
        <s v="CN-0196-2023"/>
        <s v="CN-0197-2023"/>
        <s v="CN-0198-2023"/>
        <s v="CN-0199-2023"/>
        <s v="CN-0201-2023"/>
        <s v="CN-0202-2023"/>
        <s v="CN-0203-2023"/>
        <s v="CN-0204-2023"/>
        <s v="CN-0205-2023"/>
        <s v="CN-0206-2023"/>
        <s v="CN-0207-2023"/>
        <s v="CN-0208-2023"/>
        <s v="CN-0209-2023"/>
        <s v="CN-0210-2023"/>
        <s v="CN-0212-2023"/>
        <s v="CN-0214-2023"/>
        <s v="CN-0215-2023"/>
        <s v="CN-0216-2023"/>
        <s v="CN-0217-2023"/>
        <s v="CN-0218-2023"/>
        <s v="CN-0219-2023"/>
        <s v="CN-0220-2023"/>
        <s v="CN-0221-2023"/>
        <s v="CN-0222-2023"/>
        <s v="CN-0223-2023"/>
        <s v="CN-0224-2023"/>
        <s v="CN-0225-2023"/>
        <s v="CN-0226-2023"/>
        <s v="CN-0227-2023"/>
        <s v="CN-0228-2023"/>
        <s v="CN-0230-2023"/>
        <s v="CN-0231-2023"/>
        <s v="CN-0232-2023"/>
        <s v="CN-0233-2023"/>
        <s v="CN-0234-2023"/>
        <s v="CN-0235-2023"/>
        <s v="CN-0236-2023"/>
        <s v="CN-0237-2023"/>
        <s v="CN-0238-2023"/>
        <s v="CN-0239-2023"/>
        <s v="CN-0240-2023"/>
        <s v="CN-0241-2023"/>
        <s v="CN-0242-2023"/>
        <s v="CN-0243-2023"/>
        <s v="CN-0245-2023"/>
        <s v="CN-0246-2023"/>
        <s v="CN-0247-2023"/>
        <s v="CN-0248-2023"/>
        <s v="CN-0250-2023"/>
        <s v="CN-0251-2023"/>
        <s v="CN-0252-2023"/>
        <s v="CN-0253-2023"/>
        <s v="CN-0254-2023"/>
        <s v="CN-0255-2023"/>
        <s v="CN-0256-2023"/>
        <s v="CN-0257-2023"/>
        <s v="CN-0258-2023"/>
        <s v="CN-0259-2023"/>
        <s v="CN-0260-2023"/>
        <s v="CN-0261-2023"/>
        <s v="CN-0262-2023"/>
        <s v="CN-0263-2023"/>
        <s v="CN-0264-2023"/>
        <s v="CN-0265-2023"/>
        <s v="CN-0266-2023"/>
        <s v="CN-0268-2023"/>
        <s v="CN-0269-2023"/>
        <s v="CN-0270-2023"/>
        <s v="CN-0271-2023"/>
        <s v="CN-0272-2023"/>
        <s v="CN-0273-2023"/>
        <s v="CN-0274-2023"/>
        <s v="CN-0275-2023"/>
        <s v="CN-0276-2023"/>
        <s v="CN-0277-2023"/>
        <s v="CN-0278-2023"/>
        <s v="CN-0279-2023"/>
        <s v="CN-0280-2023"/>
        <s v="CN-0281-2023"/>
        <s v="CN-0283-2023"/>
        <s v="CN-0284-2023"/>
        <s v="CN-0285-2023"/>
        <s v="CN-0286-2023"/>
        <s v="CN-0287-2023"/>
        <s v="CN-0288-2023"/>
        <s v="CN-0290-2023"/>
        <s v="CN-0291-2023"/>
        <s v="CN-0292-2023"/>
        <s v="CN-0293-2023"/>
        <s v="CN-0294-2023"/>
        <s v="CN-0295-2023"/>
        <s v="CN-0296-2023"/>
        <s v="CN-0298-2023"/>
        <s v="CN-0299-2023"/>
        <s v="CN-0301-2023"/>
        <s v="CN-0302-2023"/>
        <s v="CN-0303-2023"/>
        <s v="CN-0307-2023"/>
        <s v="CN-0308-2023"/>
        <s v="CN-0309-2023"/>
        <s v="CN-0311-2023"/>
        <s v="CN-0312-2023"/>
        <s v="CN-0313-2023"/>
        <s v="CN-0314-2023"/>
        <s v="CN-0315-2023"/>
        <s v="CN-0317-2023"/>
        <s v="CN-0318-2023"/>
        <s v="CN-0319-2023"/>
        <s v="CN-0320-2023"/>
        <s v="CN-0321-2023"/>
        <s v="CN-0322-2023"/>
        <s v="CN-0323-2023"/>
        <s v="CN-0325-2023"/>
        <s v="CN-0326-2023"/>
        <s v="CN-0327-2023"/>
        <s v="CN-0328-2023"/>
        <s v="CN-0329-2023"/>
        <s v="CN-0330-2023"/>
        <s v="CN-0332-2023"/>
        <s v="CN-0333-2023"/>
        <s v="CN-0334-2023"/>
        <s v="CN-0335-2023"/>
        <s v="CN-0336-2023"/>
        <s v="CN-0337-2023"/>
        <s v="CN-0338-2023"/>
        <s v="CN-0339-2023"/>
        <s v="CN-0340-2023"/>
        <s v="CN-0341-2023"/>
        <s v="CN-0342-2023"/>
        <s v="CN-0343-2023"/>
        <s v="CN-0344-2023"/>
        <s v="CN-0345-2023"/>
        <s v="CN-0346-2023"/>
        <s v="CN-0347-2023"/>
        <s v="CN-0348-2023"/>
        <s v="CN-0349-2023"/>
        <s v="CN-0350-2023"/>
        <s v="CN-0351-2023"/>
        <s v="CN-0352-2023"/>
        <s v="CN-0353-2023"/>
        <s v="CN-0354-2023"/>
        <s v="CN-0355-2023"/>
        <s v="CN-0356-2023"/>
        <s v="CN-0357-2023"/>
        <s v="CN-0359-2023"/>
        <s v="CN-0360-2023"/>
        <s v="CN-0361-2023"/>
        <s v="CN-0362-2023"/>
        <s v="CN-0363-2023"/>
        <s v="CN-0365-2023"/>
        <s v="CN-0367-2023"/>
        <s v="CN-0368-2023"/>
        <s v="CN-0369-2023"/>
        <s v="CN-0370-2023"/>
        <s v="CN-0371-2023"/>
        <s v="CN-0372-2023"/>
        <s v="CN-0373-2023"/>
        <s v="CN-0374-2023"/>
        <s v="CN-0375-2023"/>
        <s v="CN-0377-2023"/>
        <s v="CN-0379-2023"/>
        <s v="CN-0380-2023"/>
        <s v="CN-0381-2023"/>
        <s v="CN-0382-2023"/>
        <s v="CN-0383-2023"/>
        <s v="CN-0384-2023"/>
        <s v="CN-0386-2023"/>
        <s v="CN-0387-2023"/>
        <s v="CN-0388-2023"/>
        <s v="CN-0389-2023"/>
        <s v="CN-0390-2023"/>
        <s v="CN-0391-2023"/>
        <s v="CN-0393-2023"/>
        <s v="CN-0395-2023"/>
        <s v="CN-0396-2023"/>
        <s v="CN-0397-2023"/>
        <s v="CN-0399-2023"/>
        <s v="CN-0400-2023"/>
        <s v="CN-0401-2023"/>
        <s v="CN-0402-2023"/>
        <s v="CN-0403-2023"/>
        <s v="CN-0404-2023"/>
        <s v="CN-0405-2023"/>
        <s v="CN-0406-2023"/>
        <s v="CN-0407-2023"/>
        <s v="CN-0411-2023"/>
        <s v="CN-0412-2023"/>
        <s v="CN-0413-2023"/>
        <s v="CN-0414-2023"/>
        <s v="CN-0415-2023"/>
        <s v="CN-0416-2023"/>
        <s v="CN-0417-2023"/>
        <s v="CN-0418-2023"/>
        <s v="CN-0419-2023"/>
        <s v="CN-0423-2023"/>
        <s v="CN-0424-2023"/>
        <s v="CN-0425-2023"/>
        <s v="CN-0426-2023"/>
        <s v="CN-0427-2023"/>
        <s v="CN-0428-2023"/>
        <s v="CN-0429-2023"/>
        <s v="CN-0430-2023"/>
        <s v="CN-0431-2023"/>
        <s v="CN-0432-2023"/>
        <s v="CN-0433-2023"/>
        <s v="CN-0436-2023"/>
        <s v="CN-0438-2023"/>
        <s v="CN-0439-2023"/>
        <s v="CN-0440-2023"/>
        <s v="CN-0441-2023"/>
        <s v="CN-0442-2023"/>
        <s v="CN-0444-2023"/>
        <s v="CN-0445-2023"/>
        <s v="CN-0446-2023"/>
        <s v="CN-0447-2023"/>
        <s v="CN-0448-2023"/>
        <s v="CN-0449-2023"/>
        <s v="CN-0450-2023"/>
        <s v="CN-0451-2023"/>
        <s v="CN-0452-2023"/>
        <s v="CN-0453-2023"/>
        <s v="CN-0454-2023"/>
        <s v="CN-0455-2023"/>
        <s v="CN-0456-2023"/>
        <s v="CN-0457-2023"/>
        <s v="CN-0458-2023"/>
        <s v="CN-0459-2023"/>
        <s v="CN-0460-2023"/>
        <s v="CN-0463-2023"/>
        <s v="CN-0464-2023"/>
        <s v="CN-0465-2023"/>
        <s v="CN-0466-2023"/>
        <s v="CN-0467-2023"/>
        <s v="CN-0468-2023"/>
        <s v="CN-0470-2023"/>
        <s v="CN-0471-2023"/>
        <s v="CN-0472-2023"/>
        <s v="CN-0473-2023"/>
        <s v="CN-0474-2023"/>
        <s v="CN-0476-2023"/>
        <s v="CN-0477-2023"/>
        <s v="CN-0478-2023"/>
        <s v="CN-0479-2023"/>
      </sharedItems>
    </cacheField>
    <cacheField name="Jenis_Proyek" numFmtId="0">
      <sharedItems containsBlank="1">
        <s v="Gedung"/>
        <s v="Flyover"/>
        <s v="Jalan Raya"/>
        <m/>
        <s v="Drainase"/>
        <s v="Jembatan"/>
      </sharedItems>
    </cacheField>
    <cacheField name="Lokasi" numFmtId="0">
      <sharedItems containsBlank="1">
        <s v="Makassar"/>
        <s v="Bau-Bau"/>
        <s v="Jakarta"/>
        <s v="Surabaya"/>
        <m/>
        <s v="Bandung"/>
        <s v="Medan"/>
        <s v="Depok"/>
        <s v="Tomohon"/>
      </sharedItems>
    </cacheField>
    <cacheField name="Nama_Proyek" numFmtId="0">
      <sharedItems containsBlank="1">
        <s v="Perbaikan Gedung Pemerintah Makassar"/>
        <s v="Perbaikan Flyover Bau-Bau"/>
        <s v="Tes"/>
        <s v="Perbaikan Gedung Pemerintah Surabaya"/>
        <m/>
        <s v="Perbaikan Jalan Raya Bandung"/>
        <s v="Perbaikan Jalan Raya Medan"/>
        <s v="Perbaikan Jalan Raya Depok"/>
        <s v="Perbaikan Drainase Tomohon"/>
        <s v="Perbaikan Jembatan Bau-Bau"/>
        <s v="Pembuatan Jembatan Makassar"/>
        <s v="Perbaikan Flyover Medan"/>
        <s v="Perbaikan Jembatan Medan"/>
        <s v="Perbaikan Drainase Makassar"/>
        <s v="Perbaikan Jembatan Jakarta"/>
        <s v="Perbaikan Drainase Bandung"/>
        <s v="Perbaikan Jalan Raya Surabaya"/>
        <s v="Pembuatan Flyover Bau-Bau"/>
        <s v="Pembuatan Flyover Medan"/>
        <s v="Perbaikan Gedung Pemerintah Jakarta"/>
        <s v="Perbaikan Jembatan Tomohon"/>
        <s v="Perbaikan Flyover Jakarta"/>
        <s v="Perbaikan Drainase Medan"/>
        <s v="Pembuatan Flyover Makassar"/>
        <s v="Pembuatan Flyover Jakarta"/>
        <s v="Perbaikan Flyover Depok"/>
        <s v="Perbaikan Gedung Pemerintah Bau-Bau"/>
        <s v="Perbaikan Jembatan Depok"/>
        <s v="Perbaikan Drainase Surabaya"/>
        <s v="Perbaikan Gedung Pemerintah Tomohon"/>
        <s v="Perbaikan Flyover Bandung"/>
        <s v="Perbaikan Drainase Depok"/>
        <s v="Perbaikan Jembatan Makassar"/>
        <s v="Pembuatan Jembatan Surabaya"/>
        <s v="Perbaikan Drainase Jakarta"/>
        <s v="Pembuatan Flyover Depok"/>
        <s v="Perbaikan Gedung Pemerintah Depok"/>
        <s v="Pembuatan Flyover Tomohon"/>
        <s v="Pembuatan Jembatan Jakarta"/>
        <s v="Perbaikan Jalan Raya Jakarta"/>
        <s v="Perbaikan Jalan Raya Bau-Bau"/>
        <s v="Pembuatan Jembatan Bau-Bau"/>
        <s v="Pembuatan Flyover Bandung"/>
        <s v="Perbaikan Jalan Raya Tomohon"/>
        <s v="Pembuatan Jembatan Depok"/>
        <s v="Perbaikan Jembatan Bandung"/>
        <s v="Perbaikan Flyover Tomohon"/>
        <s v="Perbaikan Jembatan Surabaya"/>
        <s v="Perbaikan Drainase Bau-Bau"/>
        <s v="Perbaikan Gedung Pemerintah Medan"/>
        <s v="Perbaikan Flyover Surabaya"/>
        <s v="Pembuatan Flyover Surabaya"/>
        <s v="Perbaikan Jalan Raya Makassar"/>
        <s v="Pembuatan Jembatan Medan"/>
        <s v="Perbaikan Gedung Pemerintah Bandung"/>
        <s v="Perbaikan Flyover Makassar"/>
        <s v="Pembuatan Jembatan Bandung"/>
        <s v="Pembuatan Jembatan Tomohon"/>
      </sharedItems>
    </cacheField>
    <cacheField name="Tanggal_Mulai" numFmtId="164">
      <sharedItems containsSemiMixedTypes="0" containsDate="1" containsString="0">
        <d v="2023-05-10T00:00:00Z"/>
        <d v="2023-06-04T00:00:00Z"/>
        <d v="2024-01-01T00:00:00Z"/>
        <d v="2023-06-01T00:00:00Z"/>
        <d v="2023-05-28T00:00:00Z"/>
        <d v="2023-03-25T00:00:00Z"/>
        <d v="2023-02-12T00:00:00Z"/>
        <d v="2023-01-02T00:00:00Z"/>
        <d v="2023-01-12T00:00:00Z"/>
        <d v="2024-02-21T00:00:00Z"/>
        <d v="2023-01-28T00:00:00Z"/>
        <d v="2023-01-29T00:00:00Z"/>
        <d v="2023-02-02T00:00:00Z"/>
        <d v="2023-02-18T00:00:00Z"/>
        <d v="2023-02-20T00:00:00Z"/>
        <d v="2023-03-13T00:00:00Z"/>
        <d v="2023-03-21T00:00:00Z"/>
        <d v="2023-03-26T00:00:00Z"/>
        <d v="2023-04-19T00:00:00Z"/>
        <d v="2023-04-20T00:00:00Z"/>
        <d v="2023-04-26T00:00:00Z"/>
        <d v="2023-04-29T00:00:00Z"/>
        <d v="2023-05-02T00:00:00Z"/>
        <d v="2023-05-03T00:00:00Z"/>
        <d v="2023-05-06T00:00:00Z"/>
        <d v="2023-06-16T00:00:00Z"/>
        <d v="2023-06-18T00:00:00Z"/>
        <d v="2023-06-29T00:00:00Z"/>
        <d v="2023-07-12T00:00:00Z"/>
        <d v="2023-07-17T00:00:00Z"/>
        <d v="2023-07-23T00:00:00Z"/>
        <d v="2023-07-31T00:00:00Z"/>
        <d v="2023-08-06T00:00:00Z"/>
        <d v="2023-08-16T00:00:00Z"/>
        <d v="2023-08-19T00:00:00Z"/>
        <d v="2023-08-22T00:00:00Z"/>
        <d v="2023-08-24T00:00:00Z"/>
        <d v="2023-08-30T00:00:00Z"/>
        <d v="2023-09-06T00:00:00Z"/>
        <d v="2023-09-11T00:00:00Z"/>
        <d v="2023-10-03T00:00:00Z"/>
        <d v="2023-10-06T00:00:00Z"/>
        <d v="2023-10-12T00:00:00Z"/>
        <d v="2023-10-15T00:00:00Z"/>
        <d v="2023-10-24T00:00:00Z"/>
        <d v="2023-10-29T00:00:00Z"/>
        <d v="2023-10-30T00:00:00Z"/>
        <d v="2023-11-01T00:00:00Z"/>
        <d v="2023-11-10T00:00:00Z"/>
        <d v="2023-11-15T00:00:00Z"/>
        <d v="2023-11-23T00:00:00Z"/>
        <d v="2023-11-24T00:00:00Z"/>
        <d v="2023-11-25T00:00:00Z"/>
        <d v="2023-11-30T00:00:00Z"/>
        <d v="2023-12-13T00:00:00Z"/>
        <d v="2023-12-18T00:00:00Z"/>
        <d v="2023-12-25T00:00:00Z"/>
        <d v="2023-12-27T00:00:00Z"/>
        <d v="2023-01-01T00:00:00Z"/>
        <d v="2024-01-28T00:00:00Z"/>
        <d v="2024-01-29T00:00:00Z"/>
        <d v="2024-02-01T00:00:00Z"/>
        <d v="2024-02-03T00:00:00Z"/>
        <d v="2024-02-05T00:00:00Z"/>
        <d v="2023-01-03T00:00:00Z"/>
        <d v="2024-02-07T00:00:00Z"/>
        <d v="2024-02-08T00:00:00Z"/>
        <d v="2023-01-04T00:00:00Z"/>
        <d v="2024-02-12T00:00:00Z"/>
        <d v="2024-02-13T00:00:00Z"/>
        <d v="2023-01-05T00:00:00Z"/>
        <d v="2024-02-14T00:00:00Z"/>
        <d v="2023-01-06T00:00:00Z"/>
        <d v="2024-02-15T00:00:00Z"/>
        <d v="2023-01-09T00:00:00Z"/>
        <d v="2024-02-16T00:00:00Z"/>
        <d v="2023-01-10T00:00:00Z"/>
        <d v="2024-02-17T00:00:00Z"/>
        <d v="2024-02-18T00:00:00Z"/>
        <d v="2024-02-19T00:00:00Z"/>
        <d v="2023-01-13T00:00:00Z"/>
        <d v="2023-01-14T00:00:00Z"/>
        <d v="2023-01-15T00:00:00Z"/>
        <d v="2024-02-24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2-01T00:00:00Z"/>
        <d v="2023-02-03T00:00:00Z"/>
        <d v="2023-02-04T00:00:00Z"/>
        <d v="2023-02-06T00:00:00Z"/>
        <d v="2023-02-08T00:00:00Z"/>
        <d v="2023-02-10T00:00:00Z"/>
        <d v="2023-02-11T00:00:00Z"/>
        <d v="2023-02-14T00:00:00Z"/>
        <d v="2023-02-15T00:00:00Z"/>
        <d v="2023-02-16T00:00:00Z"/>
        <d v="2023-02-17T00:00:00Z"/>
        <d v="2023-02-19T00:00:00Z"/>
        <d v="2023-02-22T00:00:00Z"/>
        <d v="2023-02-25T00:00:00Z"/>
        <d v="2023-02-27T00:00:00Z"/>
        <d v="2023-02-28T00:00:00Z"/>
        <d v="2023-03-01T00:00:00Z"/>
        <d v="2023-03-02T00:00:00Z"/>
        <d v="2023-03-04T00:00:00Z"/>
        <d v="2023-03-05T00:00:00Z"/>
        <d v="2023-03-06T00:00:00Z"/>
        <d v="2023-03-07T00:00:00Z"/>
        <d v="2023-03-09T00:00:00Z"/>
        <d v="2023-03-11T00:00:00Z"/>
        <d v="2023-03-15T00:00:00Z"/>
        <d v="2023-03-16T00:00:00Z"/>
        <d v="2023-03-18T00:00:00Z"/>
        <d v="2023-03-19T00:00:00Z"/>
        <d v="2023-03-23T00:00:00Z"/>
        <d v="2023-03-24T00:00:00Z"/>
        <d v="2023-03-28T00:00:00Z"/>
        <d v="2023-03-30T00:00:00Z"/>
        <d v="2023-03-31T00:00:00Z"/>
        <d v="2023-04-01T00:00:00Z"/>
        <d v="2023-04-02T00:00:00Z"/>
        <d v="2023-04-04T00:00:00Z"/>
        <d v="2023-04-06T00:00:00Z"/>
        <d v="2023-04-07T00:00:00Z"/>
        <d v="2023-04-08T00:00:00Z"/>
        <d v="2023-04-10T00:00:00Z"/>
        <d v="2023-04-12T00:00:00Z"/>
        <d v="2023-04-15T00:00:00Z"/>
        <d v="2023-04-17T00:00:00Z"/>
        <d v="2023-04-18T00:00:00Z"/>
        <d v="2023-04-21T00:00:00Z"/>
        <d v="2023-04-22T00:00:00Z"/>
        <d v="2023-04-23T00:00:00Z"/>
        <d v="2023-04-25T00:00:00Z"/>
        <d v="2023-05-07T00:00:00Z"/>
        <d v="2023-05-09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20T00:00:00Z"/>
        <d v="2023-05-22T00:00:00Z"/>
        <d v="2023-05-23T00:00:00Z"/>
        <d v="2023-05-24T00:00:00Z"/>
        <d v="2023-05-26T00:00:00Z"/>
        <d v="2023-05-27T00:00:00Z"/>
        <d v="2023-05-29T00:00:00Z"/>
        <d v="2023-05-30T00:00:00Z"/>
        <d v="2023-06-03T00:00:00Z"/>
        <d v="2023-06-05T00:00:00Z"/>
        <d v="2023-06-07T00:00:00Z"/>
        <d v="2023-06-11T00:00:00Z"/>
        <d v="2023-06-13T00:00:00Z"/>
        <d v="2023-06-14T00:00:00Z"/>
        <d v="2023-06-19T00:00:00Z"/>
        <d v="2023-06-20T00:00:00Z"/>
        <d v="2023-06-21T00:00:00Z"/>
        <d v="2023-06-22T00:00:00Z"/>
        <d v="2023-06-24T00:00:00Z"/>
        <d v="2023-06-25T00:00:00Z"/>
        <d v="2023-06-26T00:00:00Z"/>
        <d v="2023-06-27T00:00:00Z"/>
        <d v="2023-06-30T00:00:00Z"/>
        <d v="2023-07-04T00:00:00Z"/>
        <d v="2023-07-06T00:00:00Z"/>
        <d v="2023-07-07T00:00:00Z"/>
        <d v="2023-07-08T00:00:00Z"/>
        <d v="2023-07-09T00:00:00Z"/>
        <d v="2023-07-10T00:00:00Z"/>
        <d v="2023-07-11T00:00:00Z"/>
        <d v="2023-07-13T00:00:00Z"/>
        <d v="2023-07-14T00:00:00Z"/>
        <d v="2023-07-16T00:00:00Z"/>
        <d v="2023-07-18T00:00:00Z"/>
        <d v="2023-07-19T00:00:00Z"/>
        <d v="2023-07-21T00:00:00Z"/>
        <d v="2023-07-22T00:00:00Z"/>
        <d v="2023-07-24T00:00:00Z"/>
        <d v="2023-07-26T00:00:00Z"/>
        <d v="2023-07-28T00:00:00Z"/>
        <d v="2023-07-29T00:00:00Z"/>
        <d v="2023-07-30T00:00:00Z"/>
        <d v="2023-08-02T00:00:00Z"/>
        <d v="2023-08-05T00:00:00Z"/>
        <d v="2023-08-07T00:00:00Z"/>
        <d v="2023-08-09T00:00:00Z"/>
        <d v="2023-08-10T00:00:00Z"/>
        <d v="2023-08-11T00:00:00Z"/>
        <d v="2023-08-13T00:00:00Z"/>
        <d v="2023-08-15T00:00:00Z"/>
        <d v="2023-08-17T00:00:00Z"/>
        <d v="2023-08-20T00:00:00Z"/>
        <d v="2023-08-21T00:00:00Z"/>
        <d v="2023-08-23T00:00:00Z"/>
        <d v="2023-08-25T00:00:00Z"/>
        <d v="2023-08-26T00:00:00Z"/>
        <d v="2023-08-29T00:00:00Z"/>
        <d v="2023-08-31T00:00:00Z"/>
        <d v="2023-09-01T00:00:00Z"/>
        <d v="2023-09-02T00:00:00Z"/>
        <d v="2023-09-03T00:00:00Z"/>
        <d v="2023-09-04T00:00:00Z"/>
        <d v="2023-09-08T00:00:00Z"/>
        <d v="2023-09-09T00:00:00Z"/>
        <d v="2023-09-10T00:00:00Z"/>
        <d v="2023-09-12T00:00:00Z"/>
        <d v="2023-09-14T00:00:00Z"/>
        <d v="2023-09-15T00:00:00Z"/>
        <d v="2023-09-16T00:00:00Z"/>
        <d v="2023-09-17T00:00:00Z"/>
        <d v="2023-09-18T00:00:00Z"/>
        <d v="2023-09-19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30T00:00:00Z"/>
        <d v="2023-10-02T00:00:00Z"/>
        <d v="2023-10-04T00:00:00Z"/>
        <d v="2023-10-05T00:00:00Z"/>
        <d v="2023-10-07T00:00:00Z"/>
        <d v="2023-10-08T00:00:00Z"/>
        <d v="2023-10-09T00:00:00Z"/>
        <d v="2023-10-11T00:00:00Z"/>
        <d v="2023-10-18T00:00:00Z"/>
        <d v="2023-10-20T00:00:00Z"/>
        <d v="2023-10-21T00:00:00Z"/>
        <d v="2023-10-22T00:00:00Z"/>
        <d v="2023-10-23T00:00:00Z"/>
        <d v="2023-10-26T00:00:00Z"/>
        <d v="2023-10-27T00:00:00Z"/>
        <d v="2023-10-28T00:00:00Z"/>
        <d v="2023-10-31T00:00:00Z"/>
        <d v="2023-11-04T00:00:00Z"/>
        <d v="2023-11-05T00:00:00Z"/>
        <d v="2023-11-06T00:00:00Z"/>
        <d v="2023-11-07T00:00:00Z"/>
        <d v="2023-11-11T00:00:00Z"/>
        <d v="2023-11-12T00:00:00Z"/>
        <d v="2023-11-13T00:00:00Z"/>
        <d v="2023-11-16T00:00:00Z"/>
        <d v="2023-11-17T00:00:00Z"/>
        <d v="2023-11-18T00:00:00Z"/>
        <d v="2023-11-19T00:00:00Z"/>
        <d v="2023-11-22T00:00:00Z"/>
        <d v="2023-11-28T00:00:00Z"/>
        <d v="2023-11-29T00:00:00Z"/>
        <d v="2023-12-01T00:00:00Z"/>
        <d v="2023-12-02T00:00:00Z"/>
        <d v="2023-12-03T00:00:00Z"/>
        <d v="2023-12-05T00:00:00Z"/>
        <d v="2023-12-06T00:00:00Z"/>
        <d v="2023-12-08T00:00:00Z"/>
        <d v="2023-12-09T00:00:00Z"/>
        <d v="2023-12-11T00:00:00Z"/>
        <d v="2023-12-12T00:00:00Z"/>
        <d v="2023-12-21T00:00:00Z"/>
        <d v="2023-12-22T00:00:00Z"/>
        <d v="2023-12-23T00:00:00Z"/>
        <d v="2023-12-24T00:00:00Z"/>
        <d v="2023-12-26T00:00:00Z"/>
        <d v="2023-12-29T00:00:00Z"/>
        <d v="2023-12-30T00:00:00Z"/>
        <d v="2023-12-31T00:00:00Z"/>
      </sharedItems>
    </cacheField>
    <cacheField name="Tanggal_Selesai" numFmtId="164">
      <sharedItems containsSemiMixedTypes="0" containsDate="1" containsString="0">
        <d v="2023-10-11T00:00:00Z"/>
        <d v="2024-04-04T00:00:00Z"/>
        <d v="2024-01-01T00:00:00Z"/>
        <d v="2023-08-15T00:00:00Z"/>
        <d v="2023-11-13T00:00:00Z"/>
        <d v="2023-06-14T00:00:00Z"/>
        <d v="2023-04-14T00:00:00Z"/>
        <d v="2023-11-09T00:00:00Z"/>
        <d v="2023-02-28T00:00:00Z"/>
        <d v="2024-03-31T00:00:00Z"/>
        <d v="2023-09-17T00:00:00Z"/>
        <d v="2023-07-09T00:00:00Z"/>
        <d v="2023-08-29T00:00:00Z"/>
        <d v="2023-11-26T00:00:00Z"/>
        <d v="2023-12-25T00:00:00Z"/>
        <d v="2023-11-03T00:00:00Z"/>
        <d v="2024-02-19T00:00:00Z"/>
        <d v="2023-11-04T00:00:00Z"/>
        <d v="2023-11-05T00:00:00Z"/>
        <d v="2024-02-17T00:00:00Z"/>
        <d v="2024-01-22T00:00:00Z"/>
        <d v="2024-03-13T00:00:00Z"/>
        <d v="2024-02-02T00:00:00Z"/>
        <d v="2024-03-07T00:00:00Z"/>
        <d v="2024-04-19T00:00:00Z"/>
        <d v="2023-06-10T00:00:00Z"/>
        <d v="2023-10-21T00:00:00Z"/>
        <d v="2023-12-20T00:00:00Z"/>
        <d v="2024-05-11T00:00:00Z"/>
        <d v="2023-10-13T00:00:00Z"/>
        <d v="2023-10-19T00:00:00Z"/>
        <d v="2024-05-09T00:00:00Z"/>
        <d v="2023-12-17T00:00:00Z"/>
        <d v="2023-11-30T00:00:00Z"/>
        <d v="2023-09-18T00:00:00Z"/>
        <d v="2024-01-14T00:00:00Z"/>
        <d v="2024-05-03T00:00:00Z"/>
        <d v="2024-07-23T00:00:00Z"/>
        <d v="2023-09-28T00:00:00Z"/>
        <d v="2023-11-24T00:00:00Z"/>
        <d v="2024-08-26T00:00:00Z"/>
        <d v="2024-01-25T00:00:00Z"/>
        <d v="2023-12-10T00:00:00Z"/>
        <d v="2024-07-01T00:00:00Z"/>
        <d v="2024-06-20T00:00:00Z"/>
        <d v="2024-07-30T00:00:00Z"/>
        <d v="2024-01-06T00:00:00Z"/>
        <d v="2024-04-28T00:00:00Z"/>
        <d v="2024-10-21T00:00:00Z"/>
        <d v="2024-10-18T00:00:00Z"/>
        <d v="2024-02-12T00:00:00Z"/>
        <d v="2024-05-22T00:00:00Z"/>
        <d v="2023-05-28T00:00:00Z"/>
        <d v="2024-06-23T00:00:00Z"/>
        <d v="2024-08-28T00:00:00Z"/>
        <d v="2024-02-11T00:00:00Z"/>
        <d v="2024-02-26T00:00:00Z"/>
        <d v="2024-08-08T00:00:00Z"/>
        <d v="2024-02-09T00:00:00Z"/>
        <d v="2024-06-18T00:00:00Z"/>
        <d v="2024-04-02T00:00:00Z"/>
        <d v="2024-08-20T00:00:00Z"/>
        <d v="2024-12-08T00:00:00Z"/>
        <d v="2024-01-27T00:00:00Z"/>
        <d v="2024-02-21T00:00:00Z"/>
        <d v="2023-03-09T00:00:00Z"/>
        <d v="2024-02-01T00:00:00Z"/>
        <d v="2023-05-16T00:00:00Z"/>
        <d v="2024-02-14T00:00:00Z"/>
        <d v="2023-03-21T00:00:00Z"/>
        <d v="2024-02-20T00:00:00Z"/>
        <d v="2023-12-11T00:00:00Z"/>
        <d v="2024-03-02T00:00:00Z"/>
        <d v="2023-10-31T00:00:00Z"/>
        <d v="2024-03-09T00:00:00Z"/>
        <d v="2023-12-01T00:00:00Z"/>
        <d v="2024-02-15T00:00:00Z"/>
        <d v="2023-04-25T00:00:00Z"/>
        <d v="2023-09-13T00:00:00Z"/>
        <d v="2024-02-29T00:00:00Z"/>
        <d v="2023-11-14T00:00:00Z"/>
        <d v="2023-02-11T00:00:00Z"/>
        <d v="2023-07-01T00:00:00Z"/>
        <d v="2023-02-14T00:00:00Z"/>
        <d v="2024-02-24T00:00:00Z"/>
        <d v="2024-01-04T00:00:00Z"/>
        <d v="2024-03-28T00:00:00Z"/>
        <d v="2024-03-20T00:00:00Z"/>
        <d v="2023-12-02T00:00:00Z"/>
        <d v="2024-04-06T00:00:00Z"/>
        <d v="2023-09-16T00:00:00Z"/>
        <d v="2024-02-28T00:00:00Z"/>
        <d v="2023-04-27T00:00:00Z"/>
        <d v="2024-04-24T00:00:00Z"/>
        <d v="2023-10-07T00:00:00Z"/>
        <d v="2023-09-19T00:00:00Z"/>
        <d v="2024-04-16T00:00:00Z"/>
        <d v="2023-12-30T00:00:00Z"/>
        <d v="2023-06-18T00:00:00Z"/>
        <d v="2023-04-18T00:00:00Z"/>
        <d v="2023-04-11T00:00:00Z"/>
        <d v="2023-07-29T00:00:00Z"/>
        <d v="2023-07-06T00:00:00Z"/>
        <d v="2023-12-24T00:00:00Z"/>
        <d v="2023-04-21T00:00:00Z"/>
        <d v="2023-06-28T00:00:00Z"/>
        <d v="2023-09-08T00:00:00Z"/>
        <d v="2023-05-08T00:00:00Z"/>
        <d v="2023-03-01T00:00:00Z"/>
        <d v="2023-06-01T00:00:00Z"/>
        <d v="2023-04-07T00:00:00Z"/>
        <d v="2023-08-20T00:00:00Z"/>
        <d v="2023-11-28T00:00:00Z"/>
        <d v="2023-08-12T00:00:00Z"/>
        <d v="2024-01-12T00:00:00Z"/>
        <d v="2023-05-19T00:00:00Z"/>
        <d v="2023-05-02T00:00:00Z"/>
        <d v="2023-12-07T00:00:00Z"/>
        <d v="2023-05-20T00:00:00Z"/>
        <d v="2023-06-22T00:00:00Z"/>
        <d v="2024-02-07T00:00:00Z"/>
        <d v="2023-07-16T00:00:00Z"/>
        <d v="2023-11-02T00:00:00Z"/>
        <d v="2023-10-29T00:00:00Z"/>
        <d v="2023-07-23T00:00:00Z"/>
        <d v="2023-12-29T00:00:00Z"/>
        <d v="2023-06-05T00:00:00Z"/>
        <d v="2023-07-05T00:00:00Z"/>
        <d v="2023-09-24T00:00:00Z"/>
        <d v="2024-01-16T00:00:00Z"/>
        <d v="2023-05-12T00:00:00Z"/>
        <d v="2023-09-12T00:00:00Z"/>
        <d v="2023-08-11T00:00:00Z"/>
        <d v="2024-01-10T00:00:00Z"/>
        <d v="2023-07-13T00:00:00Z"/>
        <d v="2023-04-04T00:00:00Z"/>
        <d v="2024-01-20T00:00:00Z"/>
        <d v="2024-02-16T00:00:00Z"/>
        <d v="2023-12-09T00:00:00Z"/>
        <d v="2024-01-31T00:00:00Z"/>
        <d v="2023-11-11T00:00:00Z"/>
        <d v="2023-11-01T00:00:00Z"/>
        <d v="2023-10-04T00:00:00Z"/>
        <d v="2023-04-22T00:00:00Z"/>
        <d v="2024-02-03T00:00:00Z"/>
        <d v="2023-12-08T00:00:00Z"/>
        <d v="2023-09-04T00:00:00Z"/>
        <d v="2023-08-27T00:00:00Z"/>
        <d v="2024-01-23T00:00:00Z"/>
        <d v="2023-07-14T00:00:00Z"/>
        <d v="2023-05-03T00:00:00Z"/>
        <d v="2023-08-23T00:00:00Z"/>
        <d v="2023-11-18T00:00:00Z"/>
        <d v="2023-08-24T00:00:00Z"/>
        <d v="2023-10-10T00:00:00Z"/>
        <d v="2024-03-21T00:00:00Z"/>
        <d v="2024-03-18T00:00:00Z"/>
        <d v="2023-05-07T00:00:00Z"/>
        <d v="2023-11-25T00:00:00Z"/>
        <d v="2023-06-07T00:00:00Z"/>
        <d v="2023-10-01T00:00:00Z"/>
        <d v="2024-03-30T00:00:00Z"/>
        <d v="2023-05-29T00:00:00Z"/>
        <d v="2023-11-23T00:00:00Z"/>
        <d v="2024-01-29T00:00:00Z"/>
        <d v="2023-06-20T00:00:00Z"/>
        <d v="2023-10-12T00:00:00Z"/>
        <d v="2024-03-19T00:00:00Z"/>
        <d v="2023-12-31T00:00:00Z"/>
        <d v="2023-11-27T00:00:00Z"/>
        <d v="2023-09-10T00:00:00Z"/>
        <d v="2023-07-12T00:00:00Z"/>
        <d v="2024-01-17T00:00:00Z"/>
        <d v="2024-01-15T00:00:00Z"/>
        <d v="2023-12-14T00:00:00Z"/>
        <d v="2023-06-25T00:00:00Z"/>
        <d v="2024-03-08T00:00:00Z"/>
        <d v="2024-04-12T00:00:00Z"/>
        <d v="2024-03-25T00:00:00Z"/>
        <d v="2024-04-22T00:00:00Z"/>
        <d v="2024-01-30T00:00:00Z"/>
        <d v="2023-01-24T00:00:00Z"/>
        <d v="2023-12-13T00:00:00Z"/>
        <d v="2024-04-05T00:00:00Z"/>
        <d v="2023-08-07T00:00:00Z"/>
        <d v="2024-04-08T00:00:00Z"/>
        <d v="2024-01-03T00:00:00Z"/>
        <d v="2024-05-06T00:00:00Z"/>
        <d v="2023-10-16T00:00:00Z"/>
        <d v="2023-09-30T00:00:00Z"/>
        <d v="2023-06-24T00:00:00Z"/>
        <d v="2023-07-03T00:00:00Z"/>
        <d v="2024-05-01T00:00:00Z"/>
        <d v="2024-01-19T00:00:00Z"/>
        <d v="2024-04-18T00:00:00Z"/>
        <d v="2024-03-17T00:00:00Z"/>
        <d v="2024-02-04T00:00:00Z"/>
        <d v="2023-12-16T00:00:00Z"/>
        <d v="2024-03-04T00:00:00Z"/>
        <d v="2024-04-11T00:00:00Z"/>
        <d v="2023-08-13T00:00:00Z"/>
        <d v="2023-08-04T00:00:00Z"/>
        <d v="2024-04-20T00:00:00Z"/>
        <d v="2023-11-29T00:00:00Z"/>
        <d v="2023-08-30T00:00:00Z"/>
        <d v="2024-05-13T00:00:00Z"/>
        <d v="2024-04-01T00:00:00Z"/>
        <d v="2024-05-16T00:00:00Z"/>
        <d v="2023-07-22T00:00:00Z"/>
        <d v="2024-04-03T00:00:00Z"/>
        <d v="2023-08-16T00:00:00Z"/>
        <d v="2023-11-15T00:00:00Z"/>
        <d v="2023-07-31T00:00:00Z"/>
        <d v="2024-03-24T00:00:00Z"/>
        <d v="2023-09-26T00:00:00Z"/>
        <d v="2023-08-06T00:00:00Z"/>
        <d v="2023-10-22T00:00:00Z"/>
        <d v="2023-09-11T00:00:00Z"/>
        <d v="2023-08-18T00:00:00Z"/>
        <d v="2023-12-28T00:00:00Z"/>
        <d v="2024-06-09T00:00:00Z"/>
        <d v="2024-05-15T00:00:00Z"/>
        <d v="2023-10-24T00:00:00Z"/>
        <d v="2023-09-07T00:00:00Z"/>
        <d v="2024-01-24T00:00:00Z"/>
        <d v="2024-05-07T00:00:00Z"/>
        <d v="2024-01-26T00:00:00Z"/>
        <d v="2024-02-05T00:00:00Z"/>
        <d v="2023-10-05T00:00:00Z"/>
        <d v="2023-12-15T00:00:00Z"/>
        <d v="2024-07-19T00:00:00Z"/>
        <d v="2023-12-04T00:00:00Z"/>
        <d v="2023-01-19T00:00:00Z"/>
        <d v="2024-06-02T00:00:00Z"/>
        <d v="2024-04-25T00:00:00Z"/>
        <d v="2024-06-22T00:00:00Z"/>
        <d v="2024-04-29T00:00:00Z"/>
        <d v="2024-05-17T00:00:00Z"/>
        <d v="2023-11-10T00:00:00Z"/>
        <d v="2024-03-06T00:00:00Z"/>
        <d v="2024-03-29T00:00:00Z"/>
        <d v="2024-06-03T00:00:00Z"/>
        <d v="2023-06-13T00:00:00Z"/>
        <d v="2024-06-30T00:00:00Z"/>
        <d v="2024-07-14T00:00:00Z"/>
        <d v="2023-10-02T00:00:00Z"/>
        <d v="2024-04-15T00:00:00Z"/>
        <d v="2023-10-23T00:00:00Z"/>
        <d v="2024-03-27T00:00:00Z"/>
        <d v="2023-12-12T00:00:00Z"/>
        <d v="2023-06-23T00:00:00Z"/>
        <d v="2024-08-12T00:00:00Z"/>
        <d v="2023-10-20T00:00:00Z"/>
        <d v="2024-06-13T00:00:00Z"/>
        <d v="2024-06-10T00:00:00Z"/>
        <d v="2024-08-07T00:00:00Z"/>
        <d v="2023-11-06T00:00:00Z"/>
        <d v="2024-06-11T00:00:00Z"/>
        <d v="2024-05-23T00:00:00Z"/>
        <d v="2024-02-18T00:00:00Z"/>
        <d v="2024-07-04T00:00:00Z"/>
        <d v="2024-06-06T00:00:00Z"/>
        <d v="2024-09-05T00:00:00Z"/>
        <d v="2024-06-14T00:00:00Z"/>
        <d v="2023-12-19T00:00:00Z"/>
        <d v="2024-06-12T00:00:00Z"/>
        <d v="2024-08-30T00:00:00Z"/>
        <d v="2024-07-20T00:00:00Z"/>
        <d v="2024-02-06T00:00:00Z"/>
        <d v="2024-03-10T00:00:00Z"/>
        <d v="2024-06-17T00:00:00Z"/>
        <d v="2024-08-29T00:00:00Z"/>
        <d v="2024-05-14T00:00:00Z"/>
        <d v="2024-07-26T00:00:00Z"/>
        <d v="2024-09-16T00:00:00Z"/>
        <d v="2024-08-31T00:00:00Z"/>
        <d v="2023-12-23T00:00:00Z"/>
        <d v="2024-01-02T00:00:00Z"/>
        <d v="2023-08-03T00:00:00Z"/>
        <d v="2024-04-14T00:00:00Z"/>
        <d v="2024-10-07T00:00:00Z"/>
        <d v="2024-09-22T00:00:00Z"/>
        <d v="2024-07-15T00:00:00Z"/>
        <d v="2024-06-26T00:00:00Z"/>
        <d v="2024-07-11T00:00:00Z"/>
        <d v="2024-04-21T00:00:00Z"/>
        <d v="2024-06-24T00:00:00Z"/>
        <d v="2024-07-05T00:00:00Z"/>
        <d v="2024-08-11T00:00:00Z"/>
        <d v="2024-08-25T00:00:00Z"/>
        <d v="2024-10-02T00:00:00Z"/>
        <d v="2023-12-06T00:00:00Z"/>
        <d v="2023-03-10T00:00:00Z"/>
        <d v="2024-08-01T00:00:00Z"/>
        <d v="2023-01-20T00:00:00Z"/>
        <d v="2024-05-27T00:00:00Z"/>
        <d v="2023-06-21T00:00:00Z"/>
        <d v="2024-02-23T00:00:00Z"/>
        <d v="2024-10-20T00:00:00Z"/>
        <d v="2024-04-07T00:00:00Z"/>
        <d v="2024-11-09T00:00:00Z"/>
        <d v="2024-07-08T00:00:00Z"/>
        <d v="2024-04-30T00:00:00Z"/>
        <d v="2024-10-25T00:00:00Z"/>
        <d v="2024-09-12T00:00:00Z"/>
        <d v="2024-07-24T00:00:00Z"/>
        <d v="2024-10-14T00:00:00Z"/>
        <d v="2024-09-07T00:00:00Z"/>
        <d v="2024-08-21T00:00:00Z"/>
        <d v="2024-07-03T00:00:00Z"/>
        <d v="2024-11-24T00:00:00Z"/>
        <d v="2024-09-27T00:00:00Z"/>
        <d v="2024-10-29T00:00:00Z"/>
        <d v="2024-09-18T00:00:00Z"/>
        <d v="2024-10-30T00:00:00Z"/>
        <d v="2024-10-23T00:00:00Z"/>
        <d v="2024-09-01T00:00:00Z"/>
        <d v="2024-10-05T00:00:00Z"/>
        <d v="2023-04-28T00:00:00Z"/>
        <d v="2024-11-28T00:00:00Z"/>
        <d v="2024-11-15T00:00:00Z"/>
        <d v="2024-09-28T00:00:00Z"/>
      </sharedItems>
    </cacheField>
    <cacheField name="Anggaran" numFmtId="165">
      <sharedItems containsSemiMixedTypes="0" containsString="0" containsNumber="1" containsInteger="1">
        <n v="2.299354314E10"/>
        <n v="1.0119728525E10"/>
        <n v="1.05133426E8"/>
        <n v="1.206249778E9"/>
        <n v="6.06080757E9"/>
        <n v="8.372699981E9"/>
        <n v="2.960912774E9"/>
        <n v="3.1469007E8"/>
        <n v="1.91505827E8"/>
        <n v="4.86357978E8"/>
        <n v="4.6287632E8"/>
        <n v="3.8226621E8"/>
        <n v="3.703277131E9"/>
        <n v="5.835541492E9"/>
        <n v="3.367495384E9"/>
        <n v="7.432359735E9"/>
        <n v="7.645065116E9"/>
        <n v="9.404668499E9"/>
        <n v="7.494641055E9"/>
        <n v="4.2185923E8"/>
        <n v="4.409857336E9"/>
        <n v="2.65879074E8"/>
        <n v="4.33880373E8"/>
        <n v="4.07950829E8"/>
        <n v="2.665194797E9"/>
        <n v="2.586947699E9"/>
        <n v="1.89032296E8"/>
        <n v="2.544644297E9"/>
        <n v="6.355661362E9"/>
        <n v="2.57229348E8"/>
        <n v="2.498238869E9"/>
        <n v="4.249269902E9"/>
        <n v="6.04130639E8"/>
        <n v="2.25164187E8"/>
        <n v="3.76787596E9"/>
        <n v="4.486128429E9"/>
        <n v="4.42886883E8"/>
        <n v="6.16245876E8"/>
        <n v="2.178901994E9"/>
        <n v="4.033563886E9"/>
        <n v="9.65725164E8"/>
        <n v="5.57418865E8"/>
        <n v="9.891638971E9"/>
        <n v="2.081376801E9"/>
        <n v="6.721798052E9"/>
        <n v="1.125747425E9"/>
        <n v="2.556364237E9"/>
        <n v="3.882607118E9"/>
        <n v="1.204572808E9"/>
        <n v="5.167811974E9"/>
        <n v="5.82067969E8"/>
        <n v="2.42272002E8"/>
        <n v="3.25400177E8"/>
        <n v="4.91363432E9"/>
        <n v="5.45725479E8"/>
        <n v="4.659030076E9"/>
        <n v="2.661560994E9"/>
        <n v="1.941923313E9"/>
        <n v="1.897092669E9"/>
        <n v="2.304818789E9"/>
        <n v="4.458001292E9"/>
        <n v="6.553637483E9"/>
        <n v="2.266697296E9"/>
        <n v="3.580995628E9"/>
        <n v="7.40887892E8"/>
        <n v="3.502390822E9"/>
        <n v="4.07605972E8"/>
        <n v="4.101514487E9"/>
        <n v="6.49208256E8"/>
        <n v="3.26999652E8"/>
        <n v="3.474309188E9"/>
        <n v="8.58795151E9"/>
        <n v="8.016851785E9"/>
        <n v="3.979021821E9"/>
        <n v="2.153093275E9"/>
        <n v="6.83556997E8"/>
        <n v="4.63632409E9"/>
        <n v="6.63835414E8"/>
        <n v="6.98540517E8"/>
        <n v="2.423693734E9"/>
        <n v="3.13131839E8"/>
        <n v="2.81077623E8"/>
        <n v="9.21085536E8"/>
        <n v="2.41214887E8"/>
        <n v="4.25861681E8"/>
        <n v="7.49126801E8"/>
        <n v="6.584342537E9"/>
        <n v="5.36495065E8"/>
        <n v="3.981092285E9"/>
        <n v="3.41629572E8"/>
        <n v="6.03837273E8"/>
        <n v="4.534202846E9"/>
        <n v="2.57898943E8"/>
        <n v="4.89065831E8"/>
        <n v="5.45662746E8"/>
        <n v="8.10414368E8"/>
        <n v="3.41929482E8"/>
        <n v="5.99466235E8"/>
        <n v="4.929333305E9"/>
        <n v="3.33089653E8"/>
        <n v="5.23689841E8"/>
        <n v="3.757312666E9"/>
        <n v="3.894709817E9"/>
        <n v="4.532376815E9"/>
        <n v="3.82111714E9"/>
        <n v="4.159855566E9"/>
        <n v="4.492886828E9"/>
        <n v="1.424729417E9"/>
        <n v="1.425616276E9"/>
        <n v="3.07413755E8"/>
        <n v="6.929733135E9"/>
        <n v="1.56771217E9"/>
        <n v="3.020860458E9"/>
        <n v="4.43234047E8"/>
        <n v="4.609627E9"/>
        <n v="9.95204213E8"/>
        <n v="3.867579335E9"/>
        <n v="8.428412586E9"/>
        <n v="2.004784321E9"/>
        <n v="2.364631347E9"/>
        <n v="7.177546505E9"/>
        <n v="4.20827734E8"/>
        <n v="1.545241955E9"/>
        <n v="6.831252497E9"/>
        <n v="3.6783916E9"/>
        <n v="8.88014731E8"/>
        <n v="5.9362902E8"/>
        <n v="2.1345744E8"/>
        <n v="3.27569561E8"/>
        <n v="7.05483967E8"/>
        <n v="3.447782131E9"/>
        <n v="2.635808219E9"/>
        <n v="2.011712412E9"/>
        <n v="3.202495526E9"/>
        <n v="1.655558865E9"/>
        <n v="4.806787932E9"/>
        <n v="6.99551361E8"/>
        <n v="3.63997813E8"/>
        <n v="9.26922328E8"/>
        <n v="7.08312743E8"/>
        <n v="4.19037113E8"/>
        <n v="5.00841363E8"/>
        <n v="2.0930411E8"/>
        <n v="3.686469051E9"/>
        <n v="3.53290709E8"/>
        <n v="8.935017863E9"/>
        <n v="5.518454926E9"/>
        <n v="2.293993253E9"/>
        <n v="1.790927128E9"/>
        <n v="5.52231232E9"/>
        <n v="9.3432556E8"/>
        <n v="1.21142623E8"/>
        <n v="1.493231996E9"/>
        <n v="5.860997586E9"/>
        <n v="5.51513519E8"/>
        <n v="3.59783228E8"/>
        <n v="4.429242773E9"/>
        <n v="2.034415367E9"/>
        <n v="1.597122511E9"/>
        <n v="9.66519099E8"/>
        <n v="8.81938572E8"/>
        <n v="4.50812299E9"/>
        <n v="1.863372939E9"/>
        <n v="5.12883235E8"/>
        <n v="4.679669631E9"/>
        <n v="4.513453864E9"/>
        <n v="7.126604362E9"/>
        <n v="4.952427692E9"/>
        <n v="5.4275981E8"/>
        <n v="5.059161734E9"/>
        <n v="5.462259142E9"/>
        <n v="3.922070251E9"/>
        <n v="6.049021945E9"/>
        <n v="9.89197622E8"/>
        <n v="9.23609376E8"/>
        <n v="7.00082207E9"/>
        <n v="4.006400142E9"/>
        <n v="7.054924571E9"/>
        <n v="7.221183664E9"/>
        <n v="8.7087675E8"/>
        <n v="2.164051592E9"/>
        <n v="3.746270294E9"/>
        <n v="3.094147448E9"/>
        <n v="7.76411814E8"/>
        <n v="5.326254824E9"/>
        <n v="7.37874671E8"/>
        <n v="6.410731228E9"/>
        <n v="5.84530717E8"/>
        <n v="5.399904068E9"/>
        <n v="6.2052543E8"/>
        <n v="2.278233533E9"/>
        <n v="2.425304687E9"/>
        <n v="3.263728734E9"/>
        <n v="7.299558365E9"/>
        <n v="3.04540977E8"/>
        <n v="5.043663492E9"/>
        <n v="3.438414318E9"/>
        <n v="5.38173778E8"/>
        <n v="4.142478037E9"/>
        <n v="4.552866676E9"/>
        <n v="9.02216985E8"/>
        <n v="6.582376288E9"/>
        <n v="2.04769884E8"/>
        <n v="1.00103542E8"/>
        <n v="5.67827038E8"/>
        <n v="7.38261394E9"/>
        <n v="3.840273247E9"/>
        <n v="5.10276507E8"/>
        <n v="8.06848236E8"/>
        <n v="3.687967195E9"/>
        <n v="6.03531905E8"/>
        <n v="6.4873219E8"/>
        <n v="8.72561312E8"/>
        <n v="4.61667131E8"/>
        <n v="3.39042702E8"/>
        <n v="9.295259236E9"/>
        <n v="7.601913991E9"/>
        <n v="3.07072675E8"/>
        <n v="3.190510162E9"/>
        <n v="7.24043833E8"/>
        <n v="3.094852115E9"/>
        <n v="5.094791554E9"/>
        <n v="1.692019622E9"/>
        <n v="4.909765412E9"/>
        <n v="3.396315626E9"/>
        <n v="4.84231869E8"/>
        <n v="1.552182554E9"/>
        <n v="2.12901636E8"/>
        <n v="8.62295964E8"/>
        <n v="6.36437813E8"/>
        <n v="5.097478222E9"/>
        <n v="6.825404228E9"/>
        <n v="7.11908536E8"/>
        <n v="4.488626883E9"/>
        <n v="8.33760455E8"/>
        <n v="7.96873116E8"/>
        <n v="2.65841157E8"/>
        <n v="2.403144972E9"/>
        <n v="2.353183969E9"/>
        <n v="3.010188959E9"/>
        <n v="3.270056272E9"/>
        <n v="2.737545275E9"/>
        <n v="4.35396392E8"/>
        <n v="8.62972191E8"/>
        <n v="5.40011263E8"/>
        <n v="1.029500364E9"/>
        <n v="6.41123605E8"/>
        <n v="3.739543587E9"/>
        <n v="1.989239519E9"/>
        <n v="7.51081465E8"/>
        <n v="3.96170576E8"/>
        <n v="3.86727841E9"/>
        <n v="1.475452617E9"/>
        <n v="4.67726708E8"/>
        <n v="3.277415006E9"/>
        <n v="6.36468503E8"/>
        <n v="6.557069994E9"/>
        <n v="4.526013687E9"/>
        <n v="1.746655E9"/>
        <n v="8.46453122E8"/>
        <n v="2.03965243E8"/>
        <n v="4.915550556E9"/>
        <n v="4.90931117E8"/>
        <n v="3.45656676E8"/>
        <n v="2.994383941E9"/>
        <n v="6.364217108E9"/>
        <n v="3.757150419E9"/>
        <n v="4.655083177E9"/>
        <n v="6.12637613E8"/>
        <n v="7.65288058E8"/>
        <n v="9.96933795E8"/>
        <n v="6.951220052E9"/>
        <n v="1.258024298E9"/>
        <n v="3.75761303E8"/>
        <n v="6.540978129E9"/>
        <n v="3.42017973E8"/>
        <n v="4.806164886E9"/>
        <n v="9.209856007E9"/>
        <n v="2.69400319E8"/>
        <n v="3.09898686E9"/>
        <n v="2.873619122E9"/>
        <n v="7.35575459E8"/>
        <n v="2.354261081E9"/>
        <n v="2.697497947E9"/>
        <n v="2.77801695E8"/>
        <n v="5.36537192E9"/>
        <n v="7.37701834E8"/>
        <n v="3.43573944E8"/>
        <n v="8.0298087E8"/>
        <n v="1.132821017E9"/>
        <n v="6.46267645E8"/>
        <n v="1.091849633E9"/>
        <n v="9.69437655E8"/>
        <n v="3.165392319E9"/>
        <n v="5.204534546E9"/>
        <n v="3.942664693E9"/>
        <n v="1.996986704E9"/>
        <n v="1.005719572E9"/>
        <n v="4.155376448E9"/>
        <n v="6.519755129E9"/>
        <n v="5.09824821E8"/>
        <n v="2.236844121E9"/>
        <n v="3.69427315E8"/>
        <n v="3.688243132E9"/>
        <n v="3.81166441E8"/>
        <n v="2.83236486E8"/>
        <n v="2.88462185E8"/>
        <n v="7.06008565E8"/>
        <n v="3.442468253E9"/>
        <n v="2.233995238E9"/>
        <n v="5.79386663E8"/>
        <n v="2.89251248E9"/>
        <n v="1.731360253E9"/>
        <n v="4.702380798E9"/>
        <n v="1.321857853E9"/>
        <n v="4.256914338E9"/>
        <n v="2.02438902E8"/>
        <n v="7.153815573E9"/>
        <n v="2.21023244E9"/>
        <n v="2.045004222E9"/>
        <n v="6.07111213E8"/>
        <n v="3.78250495E8"/>
        <n v="4.178594822E9"/>
        <n v="6.60225526E8"/>
        <n v="6.255723631E9"/>
        <n v="1.935087556E9"/>
        <n v="6.639282641E9"/>
        <n v="1.341304566E9"/>
        <n v="1.482129947E9"/>
        <n v="5.13461094E9"/>
        <n v="3.44333067E8"/>
        <n v="2.34761931E9"/>
        <n v="2.42239766E9"/>
        <n v="5.93562614E8"/>
        <n v="3.507077254E9"/>
        <n v="7.83003102E9"/>
        <n v="8.403683934E9"/>
        <n v="4.381657926E9"/>
        <n v="1.717899076E9"/>
        <n v="2.31308784E8"/>
        <n v="1.694502492E9"/>
        <n v="6.044403214E9"/>
        <n v="8.73718114E8"/>
        <n v="2.30467768E8"/>
        <n v="6.88191398E8"/>
        <n v="2.697606072E9"/>
        <n v="9.90744889E8"/>
        <n v="3.212613392E9"/>
        <n v="8.43044899E8"/>
        <n v="8.993425036E9"/>
        <n v="4.764842863E9"/>
        <n v="2.466228274E9"/>
        <n v="3.270114898E9"/>
        <n v="2.841617618E9"/>
        <n v="6.47397365E8"/>
        <n v="7.75460621E8"/>
        <n v="7.165201683E9"/>
        <n v="4.732793482E9"/>
        <n v="2.993133974E9"/>
        <n v="4.720470438E9"/>
        <n v="3.999421618E9"/>
        <n v="1.118159098E9"/>
        <n v="2.46997207E8"/>
        <n v="4.163473786E9"/>
        <n v="2.007900262E9"/>
        <n v="9.92149876E9"/>
        <n v="2.56273331E9"/>
        <n v="8.94294565E8"/>
        <n v="6.61378979E8"/>
        <n v="6.09956841E8"/>
        <n v="4.372183615E9"/>
        <n v="7.734024053E9"/>
        <n v="2.23729528E9"/>
        <n v="4.595910673E9"/>
        <n v="5.159672072E9"/>
        <n v="4.769425566E9"/>
        <n v="1.336819118E9"/>
        <n v="4.71750376E8"/>
        <n v="6.28901605E8"/>
        <n v="1.251866235E9"/>
        <n v="3.21020182E8"/>
        <n v="4.533278952E9"/>
        <n v="4.814287975E9"/>
        <n v="5.011848562E9"/>
        <n v="2.187444281E9"/>
        <n v="3.086567364E9"/>
        <n v="3.308514312E9"/>
        <n v="2.83571018E8"/>
        <n v="7.071217769E9"/>
        <n v="5.103380941E9"/>
        <n v="4.342819473E9"/>
        <n v="6.977377591E9"/>
        <n v="5.457855102E9"/>
        <n v="2.054160295E9"/>
        <n v="2.343750073E9"/>
        <n v="1.02526981E9"/>
        <n v="3.50434222E8"/>
        <n v="4.97218843E8"/>
        <n v="8.72130533E8"/>
        <n v="4.90701278E9"/>
        <n v="3.253936748E9"/>
        <n v="1.635038686E9"/>
        <n v="9.829087531E9"/>
        <n v="1.057037862E9"/>
        <n v="5.469982538E9"/>
        <n v="5.05551529E9"/>
        <n v="6.904869726E9"/>
        <n v="8.88436167E8"/>
        <n v="1.354806627E9"/>
        <n v="9.84605716E8"/>
        <n v="3.71601786E8"/>
        <n v="5.16197294E8"/>
        <n v="5.40697362E8"/>
        <n v="6.374609108E9"/>
        <n v="2.805083829E9"/>
        <n v="7.779607484E9"/>
        <n v="9.09945479E8"/>
        <n v="3.20968841E8"/>
        <n v="2.879285863E9"/>
        <n v="4.595916165E9"/>
        <n v="1.29984874E9"/>
        <n v="3.206827076E9"/>
        <n v="5.59804949E8"/>
        <n v="6.85929486E8"/>
        <n v="2.626084542E9"/>
        <n v="8.93411259E8"/>
        <n v="2.64833844E8"/>
        <n v="5.88269229E8"/>
        <n v="6.91409314E8"/>
        <n v="1.906777116E9"/>
        <n v="1.31415829E8"/>
        <n v="4.35534089E8"/>
        <n v="1.107624052E9"/>
        <n v="2.100848894E9"/>
        <n v="5.05388172E8"/>
        <n v="5.74563455E8"/>
        <n v="4.45199395E8"/>
        <n v="8.49005913E8"/>
        <n v="3.09836496E9"/>
        <n v="1.607071599E9"/>
        <n v="2.771182474E9"/>
        <n v="1.53884086E8"/>
        <n v="1.652872648E9"/>
        <n v="7.444707554E9"/>
        <n v="3.0800941E8"/>
        <n v="2.851933896E9"/>
        <n v="5.932217911E9"/>
        <n v="3.94459258E8"/>
        <n v="3.343026784E9"/>
        <n v="4.651361592E9"/>
        <n v="2.87244799E8"/>
        <n v="6.42644763E8"/>
        <n v="5.716503787E9"/>
        <n v="5.37845909E8"/>
        <n v="8.00732653E8"/>
        <n v="6.76299944E8"/>
        <n v="5.621717823E9"/>
        <n v="1.652704535E9"/>
        <n v="2.69627612E9"/>
        <n v="3.44399927E8"/>
        <n v="6.24334418E8"/>
        <n v="7.036506058E9"/>
        <n v="5.694242987E9"/>
        <n v="4.49824902E8"/>
        <n v="6.87256096E8"/>
        <n v="5.29398283E8"/>
        <n v="4.710182773E9"/>
        <n v="7.44960204E8"/>
        <n v="3.57450773E9"/>
        <n v="2.640159197E9"/>
        <n v="8.57010798E8"/>
        <n v="3.902836313E9"/>
        <n v="3.13061138E8"/>
        <n v="3.704994376E9"/>
        <n v="6.935528254E9"/>
        <n v="1.827330534E9"/>
        <n v="6.43095755E8"/>
        <n v="1.95287277E8"/>
        <n v="6.786324237E9"/>
        <n v="4.99105719E8"/>
        <n v="4.61111964E8"/>
        <n v="3.310535255E9"/>
        <n v="1.639451183E9"/>
        <n v="2.042593058E9"/>
        <n v="2.4382268E9"/>
        <n v="6.3329943E8"/>
        <n v="5.18578528E8"/>
        <n v="2.716743578E9"/>
        <n v="3.55836617E9"/>
        <n v="3.504700319E9"/>
        <n v="8.473123375E9"/>
        <n v="3.697961455E9"/>
        <n v="9.185210892E9"/>
        <n v="5.7743407E8"/>
        <n v="9.221677626E9"/>
        <n v="4.616485762E9"/>
        <n v="4.19613481E8"/>
        <n v="2.71658499E8"/>
        <n v="3.282339654E9"/>
        <n v="2.974669932E9"/>
      </sharedItems>
    </cacheField>
    <cacheField name="Kontraktor" numFmtId="0">
      <sharedItems containsBlank="1">
        <s v="PT A"/>
        <s v="PT B"/>
        <s v="x"/>
        <s v="PT.  Yuniar Hakim Tbk"/>
        <m/>
        <s v="CV Sihombing"/>
        <s v="PT.  Lailasari Hariyah (Persero) Tbk"/>
        <s v="PT D"/>
        <s v="PT C"/>
      </sharedItems>
    </cacheField>
    <cacheField name="CPT_ID_Proyek" numFmtId="0">
      <sharedItems containsSemiMixedTypes="0" containsString="0" containsNumber="1" containsInteger="1">
        <n v="1.0"/>
      </sharedItems>
    </cacheField>
    <cacheField name="CPT_Jenis_Proyek" numFmtId="0">
      <sharedItems containsSemiMixedTypes="0" containsString="0" containsNumber="1" containsInteger="1">
        <n v="1.0"/>
        <n v="0.0"/>
      </sharedItems>
    </cacheField>
    <cacheField name="CPT_Lokasi" numFmtId="0">
      <sharedItems containsSemiMixedTypes="0" containsString="0" containsNumber="1" containsInteger="1">
        <n v="1.0"/>
        <n v="0.0"/>
      </sharedItems>
    </cacheField>
    <cacheField name="CPT_Nama_Proyek" numFmtId="0">
      <sharedItems containsSemiMixedTypes="0" containsString="0" containsNumber="1" containsInteger="1">
        <n v="1.0"/>
        <n v="0.0"/>
      </sharedItems>
    </cacheField>
    <cacheField name="CPT_Tanggal_Mulai" numFmtId="0">
      <sharedItems containsSemiMixedTypes="0" containsString="0" containsNumber="1" containsInteger="1">
        <n v="1.0"/>
      </sharedItems>
    </cacheField>
    <cacheField name="CPT_Tanggal_Selesai" numFmtId="0">
      <sharedItems containsSemiMixedTypes="0" containsString="0" containsNumber="1" containsInteger="1">
        <n v="1.0"/>
      </sharedItems>
    </cacheField>
    <cacheField name="CPT_Anggaran" numFmtId="0">
      <sharedItems containsSemiMixedTypes="0" containsString="0" containsNumber="1" containsInteger="1">
        <n v="1.0"/>
      </sharedItems>
    </cacheField>
    <cacheField name="CPT_Kontraktor" numFmtId="0">
      <sharedItems containsSemiMixedTypes="0" containsString="0" containsNumber="1" containsInteger="1">
        <n v="1.0"/>
        <n v="0.0"/>
      </sharedItems>
    </cacheField>
    <cacheField name="UNQ_ID_Proyek" numFmtId="0">
      <sharedItems containsSemiMixedTypes="0" containsString="0" containsNumber="1" containsInteger="1">
        <n v="1.0"/>
        <n v="0.0"/>
      </sharedItems>
    </cacheField>
    <cacheField name="VLD_ID_Proyek" numFmtId="0">
      <sharedItems containsSemiMixedTypes="0" containsString="0" containsNumber="1" containsInteger="1">
        <n v="1.0"/>
        <n v="0.0"/>
      </sharedItems>
    </cacheField>
    <cacheField name="CNS_Nama_Proyek" numFmtId="0">
      <sharedItems containsSemiMixedTypes="0" containsString="0" containsNumber="1" containsInteger="1">
        <n v="1.0"/>
        <n v="0.0"/>
      </sharedItems>
    </cacheField>
    <cacheField name="FSB_Tanggal_Mulai" numFmtId="0">
      <sharedItems containsSemiMixedTypes="0" containsString="0" containsNumber="1" containsInteger="1">
        <n v="1.0"/>
      </sharedItems>
    </cacheField>
    <cacheField name="FSB_Tanggal_Selesai" numFmtId="0">
      <sharedItems containsSemiMixedTypes="0" containsString="0" containsNumber="1" containsInteger="1">
        <n v="1.0"/>
        <n v="0.0"/>
      </sharedItems>
    </cacheField>
    <cacheField name="FSB_Anggaran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D8" firstHeaderRow="0" firstDataRow="2" firstDataCol="0"/>
  <pivotFields>
    <pivotField name="ID_Proy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Jenis_Proyek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_Proy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anggal_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Tanggal_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Anggaran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Kontrak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colFields>
    <field x="-2"/>
  </colFields>
  <dataFields>
    <dataField name="MIN of Anggaran" fld="6" subtotal="min" baseField="0"/>
    <dataField name="MAX of Anggaran" fld="6" subtotal="max" baseField="0"/>
    <dataField name="AVERAGE of Anggaran" fld="6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F1:S2" firstHeaderRow="0" firstDataRow="1" firstDataCol="0"/>
  <pivotFields>
    <pivotField name="ID_Proy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Jenis_Proy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_Proy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anggal_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Tanggal_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Anggar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Kontrak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PT_ID_Proyek" dataField="1" compact="0" outline="0" multipleItemSelectionAllowed="1" showAll="0">
      <items>
        <item x="0"/>
        <item t="default"/>
      </items>
    </pivotField>
    <pivotField name="CPT_Jenis_Proyek" dataField="1" compact="0" outline="0" multipleItemSelectionAllowed="1" showAll="0">
      <items>
        <item x="0"/>
        <item x="1"/>
        <item t="default"/>
      </items>
    </pivotField>
    <pivotField name="CPT_Lokasi" dataField="1" compact="0" outline="0" multipleItemSelectionAllowed="1" showAll="0">
      <items>
        <item x="0"/>
        <item x="1"/>
        <item t="default"/>
      </items>
    </pivotField>
    <pivotField name="CPT_Nama_Proyek" dataField="1" compact="0" outline="0" multipleItemSelectionAllowed="1" showAll="0">
      <items>
        <item x="0"/>
        <item x="1"/>
        <item t="default"/>
      </items>
    </pivotField>
    <pivotField name="CPT_Tanggal_Mulai" dataField="1" compact="0" outline="0" multipleItemSelectionAllowed="1" showAll="0">
      <items>
        <item x="0"/>
        <item t="default"/>
      </items>
    </pivotField>
    <pivotField name="CPT_Tanggal_Selesai" dataField="1" compact="0" outline="0" multipleItemSelectionAllowed="1" showAll="0">
      <items>
        <item x="0"/>
        <item t="default"/>
      </items>
    </pivotField>
    <pivotField name="CPT_Anggaran" dataField="1" compact="0" outline="0" multipleItemSelectionAllowed="1" showAll="0">
      <items>
        <item x="0"/>
        <item t="default"/>
      </items>
    </pivotField>
    <pivotField name="CPT_Kontraktor" dataField="1" compact="0" outline="0" multipleItemSelectionAllowed="1" showAll="0">
      <items>
        <item x="0"/>
        <item x="1"/>
        <item t="default"/>
      </items>
    </pivotField>
    <pivotField name="UNQ_ID_Proyek" dataField="1" compact="0" outline="0" multipleItemSelectionAllowed="1" showAll="0">
      <items>
        <item x="0"/>
        <item x="1"/>
        <item t="default"/>
      </items>
    </pivotField>
    <pivotField name="VLD_ID_Proyek" dataField="1" compact="0" outline="0" multipleItemSelectionAllowed="1" showAll="0">
      <items>
        <item x="0"/>
        <item x="1"/>
        <item t="default"/>
      </items>
    </pivotField>
    <pivotField name="CNS_Nama_Proyek" dataField="1" compact="0" outline="0" multipleItemSelectionAllowed="1" showAll="0">
      <items>
        <item x="0"/>
        <item x="1"/>
        <item t="default"/>
      </items>
    </pivotField>
    <pivotField name="FSB_Tanggal_Mulai" dataField="1" compact="0" outline="0" multipleItemSelectionAllowed="1" showAll="0">
      <items>
        <item x="0"/>
        <item t="default"/>
      </items>
    </pivotField>
    <pivotField name="FSB_Tanggal_Selesai" dataField="1" compact="0" outline="0" multipleItemSelectionAllowed="1" showAll="0">
      <items>
        <item x="0"/>
        <item x="1"/>
        <item t="default"/>
      </items>
    </pivotField>
    <pivotField name="FSB_Anggaran" dataField="1" compact="0" outline="0" multipleItemSelectionAllowed="1" showAll="0">
      <items>
        <item x="0"/>
        <item x="1"/>
        <item t="default"/>
      </items>
    </pivotField>
  </pivotFields>
  <colFields>
    <field x="-2"/>
  </colFields>
  <dataFields>
    <dataField name="SUM of CPT_ID_Proyek" fld="8" baseField="0"/>
    <dataField name="SUM of CPT_Jenis_Proyek" fld="9" baseField="0"/>
    <dataField name="SUM of CPT_Lokasi" fld="10" baseField="0"/>
    <dataField name="SUM of CPT_Nama_Proyek" fld="11" baseField="0"/>
    <dataField name="SUM of CPT_Tanggal_Mulai" fld="12" baseField="0"/>
    <dataField name="SUM of CPT_Tanggal_Selesai" fld="13" baseField="0"/>
    <dataField name="SUM of CPT_Anggaran" fld="14" baseField="0"/>
    <dataField name="SUM of CPT_Kontraktor" fld="15" baseField="0"/>
    <dataField name="SUM of UNQ_ID_Proyek" fld="16" baseField="0"/>
    <dataField name="SUM of VLD_ID_Proyek" fld="17" baseField="0"/>
    <dataField name="SUM of CNS_Nama_Proyek" fld="18" baseField="0"/>
    <dataField name="SUM of FSB_Tanggal_Mulai" fld="19" baseField="0"/>
    <dataField name="SUM of FSB_Tanggal_Selesai" fld="20" baseField="0"/>
    <dataField name="SUM of FSB_Anggaran" fld="21" baseField="0"/>
  </dataFields>
</pivotTableDefinition>
</file>

<file path=xl/pivotTables/pivotTable3.xml><?xml version="1.0" encoding="utf-8"?>
<pivotTableDefinition xmlns="http://schemas.openxmlformats.org/spreadsheetml/2006/main" name="Descriptive Stats" cacheId="0" dataCaption="" compact="0" compactData="0">
  <location ref="A2:B12" firstHeaderRow="0" firstDataRow="1" firstDataCol="0"/>
  <pivotFields>
    <pivotField name="ID_Proye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Jenis_Proy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_Proy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anggal_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Tanggal_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Anggar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Kontrakto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7"/>
  </rowFields>
  <dataFields>
    <dataField name="COUNTA of ID_Proyek" fld="0" subtotal="count" baseField="0"/>
  </dataFields>
</pivotTableDefinition>
</file>

<file path=xl/pivotTables/pivotTable4.xml><?xml version="1.0" encoding="utf-8"?>
<pivotTableDefinition xmlns="http://schemas.openxmlformats.org/spreadsheetml/2006/main" name="Descriptive Stats 2" cacheId="0" dataCaption="" compact="0" compactData="0">
  <location ref="D2:E61" firstHeaderRow="0" firstDataRow="1" firstDataCol="0"/>
  <pivotFields>
    <pivotField name="ID_Proye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Jenis_Proye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_Proyek" axis="axisRow" compact="0" outline="0" multipleItemSelectionAllowed="1" showAll="0" sortType="ascending">
      <items>
        <item x="39"/>
        <item x="16"/>
        <item x="18"/>
        <item x="2"/>
        <item x="38"/>
        <item x="27"/>
        <item x="10"/>
        <item x="37"/>
        <item x="6"/>
        <item x="53"/>
        <item x="15"/>
        <item x="23"/>
        <item x="12"/>
        <item x="35"/>
        <item x="45"/>
        <item x="26"/>
        <item x="55"/>
        <item x="0"/>
        <item x="32"/>
        <item x="11"/>
        <item x="7"/>
        <item x="50"/>
        <item x="17"/>
        <item x="1"/>
        <item x="9"/>
        <item x="41"/>
        <item x="24"/>
        <item x="54"/>
        <item x="56"/>
        <item x="48"/>
        <item x="28"/>
        <item x="34"/>
        <item x="30"/>
        <item x="47"/>
        <item x="49"/>
        <item x="29"/>
        <item x="3"/>
        <item x="46"/>
        <item x="33"/>
        <item x="42"/>
        <item x="5"/>
        <item x="4"/>
        <item x="14"/>
        <item x="22"/>
        <item x="13"/>
        <item x="44"/>
        <item x="20"/>
        <item x="19"/>
        <item x="21"/>
        <item x="25"/>
        <item x="8"/>
        <item x="51"/>
        <item x="52"/>
        <item x="36"/>
        <item x="40"/>
        <item x="31"/>
        <item x="43"/>
        <item x="57"/>
        <item t="default"/>
      </items>
    </pivotField>
    <pivotField name="Tanggal_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Tanggal_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Anggar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Kontrak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dataFields>
    <dataField name="COUNTA of ID_Proyek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43"/>
    <col customWidth="1" min="2" max="2" width="15.29"/>
    <col customWidth="1" min="3" max="3" width="9.43"/>
    <col customWidth="1" min="4" max="4" width="39.43"/>
    <col customWidth="1" min="5" max="5" width="16.43"/>
    <col customWidth="1" min="6" max="6" width="16.57"/>
    <col customWidth="1" min="7" max="7" width="17.57"/>
    <col customWidth="1" min="8" max="8" width="16.57"/>
    <col customWidth="1" min="9" max="9" width="12.29"/>
    <col customWidth="1" min="10" max="10" width="32.86"/>
    <col customWidth="1" min="11" max="11" width="16.29"/>
    <col customWidth="1" min="12" max="26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 t="s">
        <v>13</v>
      </c>
      <c r="D2" s="2" t="s">
        <v>14</v>
      </c>
      <c r="E2" s="2">
        <v>31.76</v>
      </c>
      <c r="F2" s="3">
        <v>45064.0</v>
      </c>
      <c r="G2" s="3">
        <v>45199.0</v>
      </c>
      <c r="H2" s="2">
        <v>135.0</v>
      </c>
      <c r="I2" s="2">
        <v>4.887210098E9</v>
      </c>
      <c r="J2" s="2" t="s">
        <v>15</v>
      </c>
      <c r="K2" s="2" t="s">
        <v>16</v>
      </c>
    </row>
    <row r="3" ht="14.25" customHeight="1">
      <c r="A3" s="2" t="s">
        <v>17</v>
      </c>
      <c r="B3" s="2" t="s">
        <v>18</v>
      </c>
      <c r="C3" s="2" t="s">
        <v>19</v>
      </c>
      <c r="D3" s="2" t="s">
        <v>20</v>
      </c>
      <c r="F3" s="3">
        <v>45118.0</v>
      </c>
      <c r="G3" s="3">
        <v>45288.0</v>
      </c>
      <c r="H3" s="2">
        <v>170.0</v>
      </c>
      <c r="I3" s="2">
        <v>2.534374084E9</v>
      </c>
      <c r="J3" s="2" t="s">
        <v>21</v>
      </c>
      <c r="K3" s="2" t="s">
        <v>22</v>
      </c>
    </row>
    <row r="4" ht="14.25" customHeight="1">
      <c r="A4" s="2" t="s">
        <v>23</v>
      </c>
      <c r="B4" s="2" t="s">
        <v>12</v>
      </c>
      <c r="C4" s="2" t="s">
        <v>24</v>
      </c>
      <c r="D4" s="2" t="s">
        <v>25</v>
      </c>
      <c r="E4" s="2">
        <v>46.32</v>
      </c>
      <c r="F4" s="3">
        <v>45017.0</v>
      </c>
      <c r="G4" s="3">
        <v>45162.0</v>
      </c>
      <c r="H4" s="2">
        <v>145.0</v>
      </c>
      <c r="I4" s="2">
        <v>7.18301152E8</v>
      </c>
      <c r="J4" s="2" t="s">
        <v>26</v>
      </c>
      <c r="K4" s="2" t="s">
        <v>22</v>
      </c>
    </row>
    <row r="5" ht="14.25" customHeight="1">
      <c r="A5" s="2" t="s">
        <v>27</v>
      </c>
      <c r="B5" s="2" t="s">
        <v>12</v>
      </c>
      <c r="C5" s="2" t="s">
        <v>19</v>
      </c>
      <c r="D5" s="2" t="s">
        <v>28</v>
      </c>
      <c r="E5" s="2">
        <v>20.81</v>
      </c>
      <c r="F5" s="3">
        <v>45263.0</v>
      </c>
      <c r="G5" s="3">
        <v>45413.0</v>
      </c>
      <c r="H5" s="2">
        <v>150.0</v>
      </c>
      <c r="I5" s="2">
        <v>1.402997498E9</v>
      </c>
      <c r="J5" s="2" t="s">
        <v>21</v>
      </c>
      <c r="K5" s="2" t="s">
        <v>16</v>
      </c>
    </row>
    <row r="6" ht="14.25" customHeight="1">
      <c r="A6" s="2" t="s">
        <v>29</v>
      </c>
      <c r="B6" s="2" t="s">
        <v>30</v>
      </c>
      <c r="C6" s="2" t="s">
        <v>31</v>
      </c>
      <c r="D6" s="2" t="s">
        <v>32</v>
      </c>
      <c r="F6" s="3">
        <v>45063.0</v>
      </c>
      <c r="G6" s="3">
        <v>45233.0</v>
      </c>
      <c r="H6" s="2">
        <v>170.0</v>
      </c>
      <c r="I6" s="2">
        <v>9.73230661E8</v>
      </c>
      <c r="J6" s="2" t="s">
        <v>33</v>
      </c>
      <c r="K6" s="2" t="s">
        <v>22</v>
      </c>
    </row>
    <row r="7" ht="14.25" customHeight="1">
      <c r="A7" s="2" t="s">
        <v>34</v>
      </c>
      <c r="B7" s="2" t="s">
        <v>35</v>
      </c>
      <c r="C7" s="2" t="s">
        <v>36</v>
      </c>
      <c r="D7" s="2" t="s">
        <v>37</v>
      </c>
      <c r="E7" s="2">
        <v>1.34</v>
      </c>
      <c r="F7" s="3">
        <v>44927.0</v>
      </c>
      <c r="G7" s="3">
        <v>44994.0</v>
      </c>
      <c r="H7" s="2">
        <v>67.0</v>
      </c>
      <c r="I7" s="2">
        <v>5.67100601E8</v>
      </c>
      <c r="J7" s="2" t="s">
        <v>15</v>
      </c>
      <c r="K7" s="2" t="s">
        <v>22</v>
      </c>
    </row>
    <row r="8" ht="14.25" customHeight="1">
      <c r="A8" s="2" t="s">
        <v>38</v>
      </c>
      <c r="B8" s="2" t="s">
        <v>30</v>
      </c>
      <c r="C8" s="2" t="s">
        <v>39</v>
      </c>
      <c r="D8" s="2" t="s">
        <v>40</v>
      </c>
      <c r="F8" s="3">
        <v>45035.0</v>
      </c>
      <c r="G8" s="3">
        <v>45339.0</v>
      </c>
      <c r="H8" s="2">
        <v>304.0</v>
      </c>
      <c r="I8" s="2">
        <v>4.695148263E9</v>
      </c>
      <c r="K8" s="2" t="s">
        <v>22</v>
      </c>
    </row>
    <row r="9" ht="14.25" customHeight="1">
      <c r="A9" s="2" t="s">
        <v>41</v>
      </c>
      <c r="B9" s="2" t="s">
        <v>30</v>
      </c>
      <c r="C9" s="2" t="s">
        <v>42</v>
      </c>
      <c r="D9" s="2" t="s">
        <v>43</v>
      </c>
      <c r="F9" s="3">
        <v>44989.0</v>
      </c>
      <c r="G9" s="3">
        <v>45301.0</v>
      </c>
      <c r="H9" s="2">
        <v>312.0</v>
      </c>
      <c r="I9" s="2">
        <v>1.359388722E9</v>
      </c>
      <c r="J9" s="2" t="s">
        <v>44</v>
      </c>
      <c r="K9" s="2" t="s">
        <v>22</v>
      </c>
    </row>
    <row r="10" ht="14.25" customHeight="1">
      <c r="A10" s="2" t="s">
        <v>45</v>
      </c>
      <c r="B10" s="2" t="s">
        <v>12</v>
      </c>
      <c r="C10" s="2" t="s">
        <v>36</v>
      </c>
      <c r="D10" s="2" t="s">
        <v>46</v>
      </c>
      <c r="E10" s="2">
        <v>37.14</v>
      </c>
      <c r="F10" s="3">
        <v>44948.0</v>
      </c>
      <c r="G10" s="3">
        <v>45054.0</v>
      </c>
      <c r="H10" s="2">
        <v>106.0</v>
      </c>
      <c r="I10" s="2">
        <v>4.866835678E9</v>
      </c>
      <c r="J10" s="2" t="s">
        <v>26</v>
      </c>
      <c r="K10" s="2" t="s">
        <v>22</v>
      </c>
    </row>
    <row r="11" ht="14.25" customHeight="1">
      <c r="A11" s="2" t="s">
        <v>47</v>
      </c>
      <c r="B11" s="2" t="s">
        <v>35</v>
      </c>
      <c r="C11" s="2" t="s">
        <v>48</v>
      </c>
      <c r="D11" s="2" t="s">
        <v>49</v>
      </c>
      <c r="E11" s="2">
        <v>1.17</v>
      </c>
      <c r="F11" s="3">
        <v>45036.0</v>
      </c>
      <c r="G11" s="3">
        <v>45119.0</v>
      </c>
      <c r="H11" s="2">
        <v>83.0</v>
      </c>
      <c r="I11" s="2">
        <v>2.094613916E9</v>
      </c>
      <c r="J11" s="2" t="s">
        <v>50</v>
      </c>
      <c r="K11" s="2" t="s">
        <v>16</v>
      </c>
    </row>
    <row r="12" ht="14.25" customHeight="1">
      <c r="A12" s="2" t="s">
        <v>51</v>
      </c>
      <c r="B12" s="2" t="s">
        <v>12</v>
      </c>
      <c r="C12" s="2" t="s">
        <v>24</v>
      </c>
      <c r="D12" s="2" t="s">
        <v>25</v>
      </c>
      <c r="E12" s="2">
        <v>24.95</v>
      </c>
      <c r="F12" s="3">
        <v>45226.0</v>
      </c>
      <c r="G12" s="3">
        <v>45403.0</v>
      </c>
      <c r="H12" s="2">
        <v>177.0</v>
      </c>
      <c r="I12" s="2">
        <v>4.695488551E9</v>
      </c>
      <c r="J12" s="2" t="s">
        <v>21</v>
      </c>
      <c r="K12" s="2" t="s">
        <v>22</v>
      </c>
    </row>
    <row r="13" ht="14.25" customHeight="1">
      <c r="A13" s="2" t="s">
        <v>52</v>
      </c>
      <c r="B13" s="2" t="s">
        <v>18</v>
      </c>
      <c r="C13" s="2" t="s">
        <v>39</v>
      </c>
      <c r="D13" s="2" t="s">
        <v>53</v>
      </c>
      <c r="F13" s="3">
        <v>45320.0</v>
      </c>
      <c r="G13" s="3">
        <v>45161.0</v>
      </c>
      <c r="H13" s="2">
        <v>-159.0</v>
      </c>
      <c r="I13" s="2">
        <v>1.108345388E9</v>
      </c>
      <c r="J13" s="2" t="s">
        <v>44</v>
      </c>
      <c r="K13" s="2" t="s">
        <v>16</v>
      </c>
    </row>
    <row r="14" ht="14.25" customHeight="1">
      <c r="A14" s="2" t="s">
        <v>54</v>
      </c>
      <c r="B14" s="2" t="s">
        <v>35</v>
      </c>
      <c r="C14" s="2" t="s">
        <v>36</v>
      </c>
      <c r="D14" s="2" t="s">
        <v>37</v>
      </c>
      <c r="E14" s="2">
        <v>3.51</v>
      </c>
      <c r="F14" s="3">
        <v>45338.0</v>
      </c>
      <c r="G14" s="3">
        <v>45128.0</v>
      </c>
      <c r="H14" s="2">
        <v>-210.0</v>
      </c>
      <c r="I14" s="2">
        <v>4.343883992E9</v>
      </c>
      <c r="J14" s="2" t="s">
        <v>21</v>
      </c>
      <c r="K14" s="2" t="s">
        <v>16</v>
      </c>
    </row>
    <row r="15" ht="14.25" customHeight="1">
      <c r="A15" s="2" t="s">
        <v>55</v>
      </c>
      <c r="B15" s="2" t="s">
        <v>30</v>
      </c>
      <c r="C15" s="2" t="s">
        <v>13</v>
      </c>
      <c r="D15" s="2" t="s">
        <v>56</v>
      </c>
      <c r="F15" s="3">
        <v>45249.0</v>
      </c>
      <c r="G15" s="3">
        <v>45590.0</v>
      </c>
      <c r="H15" s="2">
        <v>341.0</v>
      </c>
      <c r="I15" s="2">
        <v>3.933046847E9</v>
      </c>
      <c r="J15" s="2" t="s">
        <v>21</v>
      </c>
      <c r="K15" s="2" t="s">
        <v>22</v>
      </c>
    </row>
    <row r="16" ht="14.25" customHeight="1">
      <c r="A16" s="2" t="s">
        <v>57</v>
      </c>
      <c r="B16" s="2" t="s">
        <v>30</v>
      </c>
      <c r="C16" s="2" t="s">
        <v>19</v>
      </c>
      <c r="D16" s="2" t="s">
        <v>58</v>
      </c>
      <c r="F16" s="3">
        <v>45179.0</v>
      </c>
      <c r="G16" s="3">
        <v>45400.0</v>
      </c>
      <c r="H16" s="2">
        <v>221.0</v>
      </c>
      <c r="I16" s="2">
        <v>3.381767421E9</v>
      </c>
      <c r="J16" s="2" t="s">
        <v>44</v>
      </c>
      <c r="K16" s="2" t="s">
        <v>22</v>
      </c>
    </row>
    <row r="17" ht="14.25" customHeight="1">
      <c r="A17" s="2" t="s">
        <v>59</v>
      </c>
      <c r="B17" s="2" t="s">
        <v>60</v>
      </c>
      <c r="C17" s="2" t="s">
        <v>36</v>
      </c>
      <c r="D17" s="2" t="s">
        <v>61</v>
      </c>
      <c r="F17" s="3">
        <v>45128.0</v>
      </c>
      <c r="G17" s="3">
        <v>45204.0</v>
      </c>
      <c r="H17" s="2">
        <v>76.0</v>
      </c>
      <c r="I17" s="2">
        <v>4.180846335E9</v>
      </c>
      <c r="J17" s="2" t="s">
        <v>33</v>
      </c>
      <c r="K17" s="2" t="s">
        <v>16</v>
      </c>
    </row>
    <row r="18" ht="14.25" customHeight="1">
      <c r="A18" s="2" t="s">
        <v>62</v>
      </c>
      <c r="B18" s="2" t="s">
        <v>12</v>
      </c>
      <c r="C18" s="2" t="s">
        <v>42</v>
      </c>
      <c r="D18" s="2" t="s">
        <v>63</v>
      </c>
      <c r="E18" s="2">
        <v>35.31</v>
      </c>
      <c r="F18" s="3">
        <v>44938.0</v>
      </c>
      <c r="G18" s="3">
        <v>44985.0</v>
      </c>
      <c r="H18" s="2">
        <v>47.0</v>
      </c>
      <c r="I18" s="2">
        <v>2.760864114E9</v>
      </c>
      <c r="K18" s="2" t="s">
        <v>16</v>
      </c>
    </row>
    <row r="19" ht="14.25" customHeight="1">
      <c r="A19" s="2" t="s">
        <v>64</v>
      </c>
      <c r="B19" s="2" t="s">
        <v>12</v>
      </c>
      <c r="C19" s="2" t="s">
        <v>24</v>
      </c>
      <c r="D19" s="2" t="s">
        <v>25</v>
      </c>
      <c r="E19" s="2">
        <v>13.12</v>
      </c>
      <c r="F19" s="3">
        <v>44969.0</v>
      </c>
      <c r="G19" s="3">
        <v>45123.0</v>
      </c>
      <c r="H19" s="2">
        <v>154.0</v>
      </c>
      <c r="I19" s="2">
        <v>2.17698926E9</v>
      </c>
      <c r="J19" s="2" t="s">
        <v>33</v>
      </c>
      <c r="K19" s="2" t="s">
        <v>16</v>
      </c>
    </row>
    <row r="20" ht="14.25" customHeight="1">
      <c r="A20" s="2" t="s">
        <v>65</v>
      </c>
      <c r="B20" s="2" t="s">
        <v>60</v>
      </c>
      <c r="C20" s="2" t="s">
        <v>48</v>
      </c>
      <c r="D20" s="2" t="s">
        <v>66</v>
      </c>
      <c r="F20" s="3">
        <v>44967.0</v>
      </c>
      <c r="G20" s="3">
        <v>45260.0</v>
      </c>
      <c r="H20" s="2">
        <v>293.0</v>
      </c>
      <c r="I20" s="2">
        <v>4.50828984E9</v>
      </c>
      <c r="J20" s="2" t="s">
        <v>67</v>
      </c>
      <c r="K20" s="2" t="s">
        <v>22</v>
      </c>
    </row>
    <row r="21" ht="14.25" customHeight="1">
      <c r="A21" s="2" t="s">
        <v>68</v>
      </c>
      <c r="B21" s="2" t="s">
        <v>35</v>
      </c>
      <c r="C21" s="2" t="s">
        <v>42</v>
      </c>
      <c r="D21" s="2" t="s">
        <v>69</v>
      </c>
      <c r="E21" s="2">
        <v>3.69</v>
      </c>
      <c r="F21" s="3">
        <v>44936.0</v>
      </c>
      <c r="G21" s="3">
        <v>45295.0</v>
      </c>
      <c r="H21" s="2">
        <v>359.0</v>
      </c>
      <c r="I21" s="2">
        <v>8.11513657E8</v>
      </c>
      <c r="J21" s="2" t="s">
        <v>21</v>
      </c>
      <c r="K21" s="2" t="s">
        <v>16</v>
      </c>
    </row>
    <row r="22" ht="14.25" customHeight="1">
      <c r="A22" s="2" t="s">
        <v>70</v>
      </c>
      <c r="B22" s="2" t="s">
        <v>18</v>
      </c>
      <c r="C22" s="2" t="s">
        <v>36</v>
      </c>
      <c r="D22" s="2" t="s">
        <v>71</v>
      </c>
      <c r="F22" s="3">
        <v>45129.0</v>
      </c>
      <c r="G22" s="3">
        <v>45264.0</v>
      </c>
      <c r="H22" s="2">
        <v>135.0</v>
      </c>
      <c r="I22" s="2">
        <v>8.32981859E8</v>
      </c>
      <c r="J22" s="2" t="s">
        <v>44</v>
      </c>
      <c r="K22" s="2" t="s">
        <v>22</v>
      </c>
    </row>
    <row r="23" ht="14.25" customHeight="1">
      <c r="A23" s="2" t="s">
        <v>72</v>
      </c>
      <c r="B23" s="2" t="s">
        <v>18</v>
      </c>
      <c r="C23" s="2" t="s">
        <v>39</v>
      </c>
      <c r="D23" s="2" t="s">
        <v>53</v>
      </c>
      <c r="F23" s="3">
        <v>45074.0</v>
      </c>
      <c r="G23" s="3">
        <v>45326.0</v>
      </c>
      <c r="H23" s="2">
        <v>252.0</v>
      </c>
      <c r="I23" s="2">
        <v>3.757105268E9</v>
      </c>
      <c r="K23" s="2" t="s">
        <v>16</v>
      </c>
    </row>
    <row r="24" ht="14.25" customHeight="1">
      <c r="A24" s="2" t="s">
        <v>73</v>
      </c>
      <c r="B24" s="2" t="s">
        <v>18</v>
      </c>
      <c r="C24" s="2" t="s">
        <v>31</v>
      </c>
      <c r="D24" s="2" t="s">
        <v>74</v>
      </c>
      <c r="F24" s="3">
        <v>45128.0</v>
      </c>
      <c r="G24" s="3">
        <v>45275.0</v>
      </c>
      <c r="H24" s="2">
        <v>147.0</v>
      </c>
      <c r="I24" s="2">
        <v>4.790525232E9</v>
      </c>
      <c r="J24" s="2" t="s">
        <v>44</v>
      </c>
      <c r="K24" s="2" t="s">
        <v>16</v>
      </c>
    </row>
    <row r="25" ht="14.25" customHeight="1">
      <c r="A25" s="2" t="s">
        <v>75</v>
      </c>
      <c r="B25" s="2" t="s">
        <v>35</v>
      </c>
      <c r="C25" s="2" t="s">
        <v>42</v>
      </c>
      <c r="D25" s="2" t="s">
        <v>69</v>
      </c>
      <c r="E25" s="2">
        <v>1.7</v>
      </c>
      <c r="F25" s="3">
        <v>45041.0</v>
      </c>
      <c r="G25" s="3">
        <v>45102.0</v>
      </c>
      <c r="H25" s="2">
        <v>61.0</v>
      </c>
      <c r="I25" s="2">
        <v>1.383396199E9</v>
      </c>
      <c r="J25" s="2" t="s">
        <v>67</v>
      </c>
      <c r="K25" s="2" t="s">
        <v>16</v>
      </c>
    </row>
    <row r="26" ht="14.25" customHeight="1">
      <c r="A26" s="2" t="s">
        <v>76</v>
      </c>
      <c r="B26" s="2" t="s">
        <v>30</v>
      </c>
      <c r="C26" s="2" t="s">
        <v>42</v>
      </c>
      <c r="D26" s="2" t="s">
        <v>43</v>
      </c>
      <c r="F26" s="3">
        <v>44974.0</v>
      </c>
      <c r="G26" s="3">
        <v>45082.0</v>
      </c>
      <c r="H26" s="2">
        <v>108.0</v>
      </c>
      <c r="I26" s="2">
        <v>2.462450365E9</v>
      </c>
      <c r="J26" s="2" t="s">
        <v>26</v>
      </c>
      <c r="K26" s="2" t="s">
        <v>16</v>
      </c>
    </row>
    <row r="27" ht="14.25" customHeight="1">
      <c r="A27" s="2" t="s">
        <v>77</v>
      </c>
      <c r="B27" s="2" t="s">
        <v>35</v>
      </c>
      <c r="C27" s="2" t="s">
        <v>13</v>
      </c>
      <c r="D27" s="2" t="s">
        <v>78</v>
      </c>
      <c r="E27" s="2">
        <v>1.83</v>
      </c>
      <c r="F27" s="3">
        <v>45271.0</v>
      </c>
      <c r="G27" s="3">
        <v>45311.0</v>
      </c>
      <c r="H27" s="2">
        <v>40.0</v>
      </c>
      <c r="I27" s="2">
        <v>1.414817147E9</v>
      </c>
      <c r="J27" s="2" t="s">
        <v>44</v>
      </c>
      <c r="K27" s="2" t="s">
        <v>16</v>
      </c>
    </row>
    <row r="28" ht="14.25" customHeight="1">
      <c r="A28" s="2" t="s">
        <v>79</v>
      </c>
      <c r="B28" s="2" t="s">
        <v>60</v>
      </c>
      <c r="C28" s="2" t="s">
        <v>24</v>
      </c>
      <c r="D28" s="2" t="s">
        <v>80</v>
      </c>
      <c r="F28" s="3">
        <v>45160.0</v>
      </c>
      <c r="G28" s="3">
        <v>45415.0</v>
      </c>
      <c r="H28" s="2">
        <v>255.0</v>
      </c>
      <c r="I28" s="2">
        <v>4.665481372E9</v>
      </c>
      <c r="K28" s="2" t="s">
        <v>22</v>
      </c>
    </row>
    <row r="29" ht="14.25" customHeight="1">
      <c r="A29" s="2" t="s">
        <v>81</v>
      </c>
      <c r="B29" s="2" t="s">
        <v>30</v>
      </c>
      <c r="C29" s="2" t="s">
        <v>39</v>
      </c>
      <c r="D29" s="2" t="s">
        <v>40</v>
      </c>
      <c r="F29" s="3">
        <v>44945.0</v>
      </c>
      <c r="G29" s="3">
        <v>45037.0</v>
      </c>
      <c r="H29" s="2">
        <v>92.0</v>
      </c>
      <c r="I29" s="2">
        <v>3.016693972E9</v>
      </c>
      <c r="J29" s="2" t="s">
        <v>26</v>
      </c>
      <c r="K29" s="2" t="s">
        <v>16</v>
      </c>
    </row>
    <row r="30" ht="14.25" customHeight="1">
      <c r="A30" s="2" t="s">
        <v>82</v>
      </c>
      <c r="B30" s="2" t="s">
        <v>12</v>
      </c>
      <c r="C30" s="2" t="s">
        <v>31</v>
      </c>
      <c r="D30" s="2" t="s">
        <v>83</v>
      </c>
      <c r="E30" s="2">
        <v>40.5</v>
      </c>
      <c r="F30" s="3">
        <v>45033.0</v>
      </c>
      <c r="G30" s="3">
        <v>45370.0</v>
      </c>
      <c r="H30" s="2">
        <v>337.0</v>
      </c>
      <c r="I30" s="2">
        <v>2.18775849E9</v>
      </c>
      <c r="J30" s="2" t="s">
        <v>44</v>
      </c>
      <c r="K30" s="2" t="s">
        <v>22</v>
      </c>
    </row>
    <row r="31" ht="14.25" customHeight="1">
      <c r="A31" s="2" t="s">
        <v>84</v>
      </c>
      <c r="B31" s="2" t="s">
        <v>30</v>
      </c>
      <c r="C31" s="2" t="s">
        <v>24</v>
      </c>
      <c r="D31" s="2" t="s">
        <v>85</v>
      </c>
      <c r="F31" s="3">
        <v>45241.0</v>
      </c>
      <c r="G31" s="3">
        <v>45505.0</v>
      </c>
      <c r="H31" s="2">
        <v>264.0</v>
      </c>
      <c r="I31" s="2">
        <v>1.240232201E9</v>
      </c>
      <c r="J31" s="2" t="s">
        <v>26</v>
      </c>
      <c r="K31" s="2" t="s">
        <v>16</v>
      </c>
    </row>
    <row r="32" ht="14.25" customHeight="1">
      <c r="A32" s="2" t="s">
        <v>86</v>
      </c>
      <c r="B32" s="2" t="s">
        <v>60</v>
      </c>
      <c r="C32" s="2" t="s">
        <v>19</v>
      </c>
      <c r="D32" s="2" t="s">
        <v>87</v>
      </c>
      <c r="F32" s="3">
        <v>45118.0</v>
      </c>
      <c r="G32" s="3">
        <v>45256.0</v>
      </c>
      <c r="H32" s="2">
        <v>138.0</v>
      </c>
      <c r="I32" s="2">
        <v>4.866732289E9</v>
      </c>
      <c r="J32" s="2" t="s">
        <v>33</v>
      </c>
      <c r="K32" s="2" t="s">
        <v>22</v>
      </c>
    </row>
    <row r="33" ht="14.25" customHeight="1">
      <c r="A33" s="2" t="s">
        <v>88</v>
      </c>
      <c r="B33" s="2" t="s">
        <v>30</v>
      </c>
      <c r="C33" s="2" t="s">
        <v>31</v>
      </c>
      <c r="D33" s="2" t="s">
        <v>32</v>
      </c>
      <c r="F33" s="3">
        <v>44943.0</v>
      </c>
      <c r="G33" s="3">
        <v>45027.0</v>
      </c>
      <c r="H33" s="2">
        <v>84.0</v>
      </c>
      <c r="I33" s="2">
        <v>2.228528699E9</v>
      </c>
      <c r="J33" s="2" t="s">
        <v>44</v>
      </c>
      <c r="K33" s="2" t="s">
        <v>16</v>
      </c>
    </row>
    <row r="34" ht="14.25" customHeight="1">
      <c r="A34" s="2" t="s">
        <v>89</v>
      </c>
      <c r="B34" s="2" t="s">
        <v>35</v>
      </c>
      <c r="C34" s="2" t="s">
        <v>36</v>
      </c>
      <c r="D34" s="2" t="s">
        <v>37</v>
      </c>
      <c r="E34" s="2">
        <v>1.89</v>
      </c>
      <c r="F34" s="3">
        <v>45036.0</v>
      </c>
      <c r="G34" s="3">
        <v>45313.0</v>
      </c>
      <c r="H34" s="2">
        <v>277.0</v>
      </c>
      <c r="I34" s="2">
        <v>2.685215729E9</v>
      </c>
      <c r="K34" s="2" t="s">
        <v>16</v>
      </c>
    </row>
    <row r="35" ht="14.25" customHeight="1">
      <c r="A35" s="2" t="s">
        <v>90</v>
      </c>
      <c r="B35" s="2" t="s">
        <v>35</v>
      </c>
      <c r="C35" s="2" t="s">
        <v>31</v>
      </c>
      <c r="D35" s="2" t="s">
        <v>91</v>
      </c>
      <c r="E35" s="2">
        <v>1.49</v>
      </c>
      <c r="F35" s="3">
        <v>45076.0</v>
      </c>
      <c r="G35" s="3">
        <v>45355.0</v>
      </c>
      <c r="H35" s="2">
        <v>279.0</v>
      </c>
      <c r="I35" s="2">
        <v>1.491624045E9</v>
      </c>
      <c r="J35" s="2" t="s">
        <v>26</v>
      </c>
      <c r="K35" s="2" t="s">
        <v>22</v>
      </c>
    </row>
    <row r="36" ht="14.25" customHeight="1">
      <c r="A36" s="2" t="s">
        <v>92</v>
      </c>
      <c r="B36" s="2" t="s">
        <v>30</v>
      </c>
      <c r="C36" s="2" t="s">
        <v>36</v>
      </c>
      <c r="D36" s="2" t="s">
        <v>93</v>
      </c>
      <c r="F36" s="3">
        <v>45240.0</v>
      </c>
      <c r="G36" s="3">
        <v>44995.0</v>
      </c>
      <c r="H36" s="2">
        <v>-245.0</v>
      </c>
      <c r="I36" s="2">
        <v>2.006686424E9</v>
      </c>
      <c r="J36" s="2" t="s">
        <v>50</v>
      </c>
      <c r="K36" s="2" t="s">
        <v>16</v>
      </c>
    </row>
    <row r="37" ht="14.25" customHeight="1">
      <c r="A37" s="2" t="s">
        <v>94</v>
      </c>
      <c r="B37" s="2" t="s">
        <v>18</v>
      </c>
      <c r="C37" s="2" t="s">
        <v>24</v>
      </c>
      <c r="D37" s="2" t="s">
        <v>95</v>
      </c>
      <c r="F37" s="3">
        <v>45208.0</v>
      </c>
      <c r="G37" s="3">
        <v>45388.0</v>
      </c>
      <c r="H37" s="2">
        <v>180.0</v>
      </c>
      <c r="I37" s="2">
        <v>3.436590647E9</v>
      </c>
      <c r="J37" s="2" t="s">
        <v>21</v>
      </c>
      <c r="K37" s="2" t="s">
        <v>22</v>
      </c>
    </row>
    <row r="38" ht="14.25" customHeight="1">
      <c r="A38" s="2" t="s">
        <v>96</v>
      </c>
      <c r="B38" s="2" t="s">
        <v>35</v>
      </c>
      <c r="C38" s="2" t="s">
        <v>19</v>
      </c>
      <c r="D38" s="2" t="s">
        <v>97</v>
      </c>
      <c r="E38" s="2">
        <v>1.38</v>
      </c>
      <c r="F38" s="3">
        <v>45223.0</v>
      </c>
      <c r="G38" s="3">
        <v>45586.0</v>
      </c>
      <c r="H38" s="2">
        <v>363.0</v>
      </c>
      <c r="I38" s="2">
        <v>3.888778874E9</v>
      </c>
      <c r="K38" s="2" t="s">
        <v>16</v>
      </c>
    </row>
    <row r="39" ht="14.25" customHeight="1">
      <c r="A39" s="2" t="s">
        <v>98</v>
      </c>
      <c r="B39" s="2" t="s">
        <v>18</v>
      </c>
      <c r="C39" s="2" t="s">
        <v>36</v>
      </c>
      <c r="D39" s="2" t="s">
        <v>71</v>
      </c>
      <c r="F39" s="3">
        <v>45072.0</v>
      </c>
      <c r="G39" s="3">
        <v>45108.0</v>
      </c>
      <c r="H39" s="2">
        <v>36.0</v>
      </c>
      <c r="I39" s="2">
        <v>1.394109768E9</v>
      </c>
      <c r="J39" s="2" t="s">
        <v>67</v>
      </c>
      <c r="K39" s="2" t="s">
        <v>22</v>
      </c>
    </row>
    <row r="40" ht="14.25" customHeight="1">
      <c r="A40" s="2" t="s">
        <v>99</v>
      </c>
      <c r="B40" s="2" t="s">
        <v>35</v>
      </c>
      <c r="C40" s="2" t="s">
        <v>42</v>
      </c>
      <c r="D40" s="2" t="s">
        <v>69</v>
      </c>
      <c r="E40" s="2">
        <v>0.23</v>
      </c>
      <c r="F40" s="3">
        <v>44932.0</v>
      </c>
      <c r="G40" s="3">
        <v>45108.0</v>
      </c>
      <c r="H40" s="2">
        <v>176.0</v>
      </c>
      <c r="I40" s="2">
        <v>1.785906562E9</v>
      </c>
      <c r="J40" s="2" t="s">
        <v>44</v>
      </c>
      <c r="K40" s="2" t="s">
        <v>16</v>
      </c>
    </row>
    <row r="41" ht="14.25" customHeight="1">
      <c r="A41" s="2" t="s">
        <v>100</v>
      </c>
      <c r="B41" s="2" t="s">
        <v>30</v>
      </c>
      <c r="C41" s="2" t="s">
        <v>48</v>
      </c>
      <c r="D41" s="2" t="s">
        <v>101</v>
      </c>
      <c r="F41" s="3">
        <v>45248.0</v>
      </c>
      <c r="G41" s="3">
        <v>45605.0</v>
      </c>
      <c r="H41" s="2">
        <v>357.0</v>
      </c>
      <c r="I41" s="2">
        <v>1.397308023E9</v>
      </c>
      <c r="J41" s="2" t="s">
        <v>50</v>
      </c>
      <c r="K41" s="2" t="s">
        <v>22</v>
      </c>
    </row>
    <row r="42" ht="14.25" customHeight="1">
      <c r="A42" s="2" t="s">
        <v>102</v>
      </c>
      <c r="B42" s="2" t="s">
        <v>30</v>
      </c>
      <c r="C42" s="2" t="s">
        <v>36</v>
      </c>
      <c r="D42" s="2" t="s">
        <v>93</v>
      </c>
      <c r="F42" s="3">
        <v>45203.0</v>
      </c>
      <c r="G42" s="3">
        <v>45407.0</v>
      </c>
      <c r="H42" s="2">
        <v>204.0</v>
      </c>
      <c r="I42" s="2">
        <v>3.04922931E9</v>
      </c>
      <c r="J42" s="2" t="s">
        <v>44</v>
      </c>
      <c r="K42" s="2" t="s">
        <v>22</v>
      </c>
    </row>
    <row r="43" ht="14.25" customHeight="1">
      <c r="A43" s="2" t="s">
        <v>103</v>
      </c>
      <c r="B43" s="2" t="s">
        <v>60</v>
      </c>
      <c r="C43" s="2" t="s">
        <v>36</v>
      </c>
      <c r="D43" s="2" t="s">
        <v>61</v>
      </c>
      <c r="F43" s="3">
        <v>44976.0</v>
      </c>
      <c r="G43" s="3">
        <v>45307.0</v>
      </c>
      <c r="H43" s="2">
        <v>331.0</v>
      </c>
      <c r="I43" s="2">
        <v>1.256237673E9</v>
      </c>
      <c r="J43" s="2" t="s">
        <v>33</v>
      </c>
      <c r="K43" s="2" t="s">
        <v>22</v>
      </c>
    </row>
    <row r="44" ht="14.25" customHeight="1">
      <c r="A44" s="2" t="s">
        <v>104</v>
      </c>
      <c r="B44" s="2" t="s">
        <v>12</v>
      </c>
      <c r="C44" s="2" t="s">
        <v>36</v>
      </c>
      <c r="D44" s="2" t="s">
        <v>46</v>
      </c>
      <c r="E44" s="2">
        <v>34.53</v>
      </c>
      <c r="F44" s="3">
        <v>45052.0</v>
      </c>
      <c r="G44" s="3">
        <v>45087.0</v>
      </c>
      <c r="H44" s="2">
        <v>35.0</v>
      </c>
      <c r="I44" s="2">
        <v>4.746340156E9</v>
      </c>
      <c r="J44" s="2" t="s">
        <v>33</v>
      </c>
      <c r="K44" s="2" t="s">
        <v>16</v>
      </c>
    </row>
    <row r="45" ht="14.25" customHeight="1">
      <c r="A45" s="2" t="s">
        <v>105</v>
      </c>
      <c r="B45" s="2" t="s">
        <v>18</v>
      </c>
      <c r="C45" s="2" t="s">
        <v>36</v>
      </c>
      <c r="D45" s="2" t="s">
        <v>71</v>
      </c>
      <c r="F45" s="3">
        <v>45140.0</v>
      </c>
      <c r="G45" s="3">
        <v>45090.0</v>
      </c>
      <c r="H45" s="2">
        <v>-50.0</v>
      </c>
      <c r="I45" s="2">
        <v>2.769836383E9</v>
      </c>
      <c r="J45" s="2" t="s">
        <v>50</v>
      </c>
      <c r="K45" s="2" t="s">
        <v>22</v>
      </c>
    </row>
    <row r="46" ht="14.25" customHeight="1">
      <c r="A46" s="2" t="s">
        <v>106</v>
      </c>
      <c r="B46" s="2" t="s">
        <v>30</v>
      </c>
      <c r="C46" s="2" t="s">
        <v>13</v>
      </c>
      <c r="D46" s="2" t="s">
        <v>56</v>
      </c>
      <c r="F46" s="3">
        <v>45115.0</v>
      </c>
      <c r="G46" s="3">
        <v>45145.0</v>
      </c>
      <c r="H46" s="2">
        <v>30.0</v>
      </c>
      <c r="I46" s="2">
        <v>7.11812604E8</v>
      </c>
      <c r="J46" s="2" t="s">
        <v>33</v>
      </c>
      <c r="K46" s="2" t="s">
        <v>22</v>
      </c>
    </row>
    <row r="47" ht="14.25" customHeight="1">
      <c r="A47" s="2" t="s">
        <v>107</v>
      </c>
      <c r="B47" s="2" t="s">
        <v>30</v>
      </c>
      <c r="C47" s="2" t="s">
        <v>39</v>
      </c>
      <c r="D47" s="2" t="s">
        <v>40</v>
      </c>
      <c r="F47" s="3">
        <v>44941.0</v>
      </c>
      <c r="G47" s="3">
        <v>45188.0</v>
      </c>
      <c r="H47" s="2">
        <v>247.0</v>
      </c>
      <c r="I47" s="2">
        <v>4.49513251E9</v>
      </c>
      <c r="J47" s="2" t="s">
        <v>50</v>
      </c>
      <c r="K47" s="2" t="s">
        <v>22</v>
      </c>
    </row>
    <row r="48" ht="14.25" customHeight="1">
      <c r="A48" s="2" t="s">
        <v>108</v>
      </c>
      <c r="B48" s="2" t="s">
        <v>30</v>
      </c>
      <c r="C48" s="2" t="s">
        <v>31</v>
      </c>
      <c r="D48" s="2" t="s">
        <v>32</v>
      </c>
      <c r="F48" s="3">
        <v>45391.0</v>
      </c>
      <c r="G48" s="3">
        <v>45047.0</v>
      </c>
      <c r="H48" s="2">
        <v>-344.0</v>
      </c>
      <c r="I48" s="2">
        <v>1.385499186E9</v>
      </c>
      <c r="J48" s="2" t="s">
        <v>26</v>
      </c>
      <c r="K48" s="2" t="s">
        <v>22</v>
      </c>
    </row>
    <row r="49" ht="14.25" customHeight="1">
      <c r="A49" s="2" t="s">
        <v>109</v>
      </c>
      <c r="B49" s="2" t="s">
        <v>35</v>
      </c>
      <c r="C49" s="2" t="s">
        <v>48</v>
      </c>
      <c r="D49" s="2" t="s">
        <v>49</v>
      </c>
      <c r="E49" s="2">
        <v>3.76</v>
      </c>
      <c r="F49" s="3">
        <v>45319.0</v>
      </c>
      <c r="G49" s="3">
        <v>45257.0</v>
      </c>
      <c r="H49" s="2">
        <v>-62.0</v>
      </c>
      <c r="I49" s="2">
        <v>1.341653823E9</v>
      </c>
      <c r="J49" s="2" t="s">
        <v>44</v>
      </c>
      <c r="K49" s="2" t="s">
        <v>16</v>
      </c>
    </row>
    <row r="50" ht="14.25" customHeight="1">
      <c r="A50" s="2" t="s">
        <v>110</v>
      </c>
      <c r="B50" s="2" t="s">
        <v>60</v>
      </c>
      <c r="C50" s="2" t="s">
        <v>31</v>
      </c>
      <c r="D50" s="2" t="s">
        <v>111</v>
      </c>
      <c r="F50" s="3">
        <v>45159.0</v>
      </c>
      <c r="G50" s="3">
        <v>45378.0</v>
      </c>
      <c r="H50" s="2">
        <v>219.0</v>
      </c>
      <c r="I50" s="2">
        <v>3.047568779E9</v>
      </c>
      <c r="J50" s="2" t="s">
        <v>50</v>
      </c>
      <c r="K50" s="2" t="s">
        <v>22</v>
      </c>
    </row>
    <row r="51" ht="14.25" customHeight="1">
      <c r="A51" s="2" t="s">
        <v>112</v>
      </c>
      <c r="B51" s="2" t="s">
        <v>18</v>
      </c>
      <c r="C51" s="2" t="s">
        <v>24</v>
      </c>
      <c r="D51" s="2" t="s">
        <v>95</v>
      </c>
      <c r="F51" s="3">
        <v>45155.0</v>
      </c>
      <c r="G51" s="3">
        <v>45382.0</v>
      </c>
      <c r="H51" s="2">
        <v>227.0</v>
      </c>
      <c r="I51" s="2">
        <v>3.138461999E9</v>
      </c>
      <c r="J51" s="2" t="s">
        <v>50</v>
      </c>
      <c r="K51" s="2" t="s">
        <v>22</v>
      </c>
    </row>
    <row r="52" ht="14.25" customHeight="1">
      <c r="A52" s="2" t="s">
        <v>113</v>
      </c>
      <c r="B52" s="2" t="s">
        <v>30</v>
      </c>
      <c r="C52" s="2" t="s">
        <v>42</v>
      </c>
      <c r="D52" s="2" t="s">
        <v>43</v>
      </c>
      <c r="F52" s="3">
        <v>44982.0</v>
      </c>
      <c r="G52" s="3">
        <v>45181.0</v>
      </c>
      <c r="H52" s="2">
        <v>199.0</v>
      </c>
      <c r="I52" s="2">
        <v>4.864871386E9</v>
      </c>
      <c r="J52" s="2" t="s">
        <v>33</v>
      </c>
      <c r="K52" s="2" t="s">
        <v>22</v>
      </c>
    </row>
    <row r="53" ht="14.25" customHeight="1">
      <c r="A53" s="2" t="s">
        <v>114</v>
      </c>
      <c r="B53" s="2" t="s">
        <v>30</v>
      </c>
      <c r="C53" s="2" t="s">
        <v>48</v>
      </c>
      <c r="D53" s="2" t="s">
        <v>101</v>
      </c>
      <c r="F53" s="3">
        <v>45242.0</v>
      </c>
      <c r="G53" s="3">
        <v>45439.0</v>
      </c>
      <c r="H53" s="2">
        <v>197.0</v>
      </c>
      <c r="I53" s="2">
        <v>1.651434882E9</v>
      </c>
      <c r="J53" s="2" t="s">
        <v>50</v>
      </c>
      <c r="K53" s="2" t="s">
        <v>16</v>
      </c>
    </row>
    <row r="54" ht="14.25" customHeight="1">
      <c r="A54" s="2" t="s">
        <v>115</v>
      </c>
      <c r="B54" s="2" t="s">
        <v>30</v>
      </c>
      <c r="C54" s="2" t="s">
        <v>36</v>
      </c>
      <c r="D54" s="2" t="s">
        <v>93</v>
      </c>
      <c r="F54" s="3">
        <v>45093.0</v>
      </c>
      <c r="G54" s="3">
        <v>45425.0</v>
      </c>
      <c r="H54" s="2">
        <v>332.0</v>
      </c>
      <c r="I54" s="2">
        <v>4.096859172E9</v>
      </c>
      <c r="J54" s="2" t="s">
        <v>44</v>
      </c>
      <c r="K54" s="2" t="s">
        <v>16</v>
      </c>
    </row>
    <row r="55" ht="14.25" customHeight="1">
      <c r="A55" s="2" t="s">
        <v>116</v>
      </c>
      <c r="B55" s="2" t="s">
        <v>18</v>
      </c>
      <c r="C55" s="2" t="s">
        <v>31</v>
      </c>
      <c r="D55" s="2" t="s">
        <v>74</v>
      </c>
      <c r="F55" s="3">
        <v>45160.0</v>
      </c>
      <c r="G55" s="3">
        <v>45496.0</v>
      </c>
      <c r="H55" s="2">
        <v>336.0</v>
      </c>
      <c r="I55" s="2">
        <v>1.121826743E9</v>
      </c>
      <c r="J55" s="2" t="s">
        <v>21</v>
      </c>
      <c r="K55" s="2" t="s">
        <v>22</v>
      </c>
    </row>
    <row r="56" ht="14.25" customHeight="1">
      <c r="A56" s="2" t="s">
        <v>117</v>
      </c>
      <c r="B56" s="2" t="s">
        <v>12</v>
      </c>
      <c r="C56" s="2" t="s">
        <v>19</v>
      </c>
      <c r="D56" s="2" t="s">
        <v>28</v>
      </c>
      <c r="E56" s="2">
        <v>33.4</v>
      </c>
      <c r="F56" s="3">
        <v>45069.0</v>
      </c>
      <c r="G56" s="3">
        <v>45337.0</v>
      </c>
      <c r="H56" s="2">
        <v>268.0</v>
      </c>
      <c r="I56" s="2">
        <v>1.602168167E9</v>
      </c>
      <c r="J56" s="2" t="s">
        <v>44</v>
      </c>
      <c r="K56" s="2" t="s">
        <v>16</v>
      </c>
    </row>
    <row r="57" ht="14.25" customHeight="1">
      <c r="A57" s="2" t="s">
        <v>118</v>
      </c>
      <c r="B57" s="2" t="s">
        <v>12</v>
      </c>
      <c r="C57" s="2" t="s">
        <v>42</v>
      </c>
      <c r="D57" s="2" t="s">
        <v>63</v>
      </c>
      <c r="E57" s="2">
        <v>7.45</v>
      </c>
      <c r="F57" s="3">
        <v>45013.0</v>
      </c>
      <c r="G57" s="3">
        <v>45161.0</v>
      </c>
      <c r="H57" s="2">
        <v>148.0</v>
      </c>
      <c r="I57" s="2">
        <v>4.380765608E9</v>
      </c>
      <c r="J57" s="2" t="s">
        <v>44</v>
      </c>
      <c r="K57" s="2" t="s">
        <v>22</v>
      </c>
    </row>
    <row r="58" ht="14.25" customHeight="1">
      <c r="A58" s="2" t="s">
        <v>119</v>
      </c>
      <c r="B58" s="2" t="s">
        <v>35</v>
      </c>
      <c r="C58" s="2" t="s">
        <v>13</v>
      </c>
      <c r="D58" s="2" t="s">
        <v>78</v>
      </c>
      <c r="E58" s="2">
        <v>2.68</v>
      </c>
      <c r="F58" s="3">
        <v>44929.0</v>
      </c>
      <c r="G58" s="3">
        <v>45230.0</v>
      </c>
      <c r="H58" s="2">
        <v>301.0</v>
      </c>
      <c r="I58" s="2">
        <v>3.280347896E9</v>
      </c>
      <c r="K58" s="2" t="s">
        <v>22</v>
      </c>
    </row>
    <row r="59" ht="14.25" customHeight="1">
      <c r="A59" s="2" t="s">
        <v>120</v>
      </c>
      <c r="B59" s="2" t="s">
        <v>18</v>
      </c>
      <c r="C59" s="2" t="s">
        <v>48</v>
      </c>
      <c r="D59" s="2" t="s">
        <v>121</v>
      </c>
      <c r="F59" s="3">
        <v>45163.0</v>
      </c>
      <c r="G59" s="3">
        <v>45219.0</v>
      </c>
      <c r="H59" s="2">
        <v>56.0</v>
      </c>
      <c r="I59" s="2">
        <v>1.780704212E9</v>
      </c>
      <c r="J59" s="2" t="s">
        <v>67</v>
      </c>
      <c r="K59" s="2" t="s">
        <v>16</v>
      </c>
    </row>
    <row r="60" ht="14.25" customHeight="1">
      <c r="A60" s="2" t="s">
        <v>122</v>
      </c>
      <c r="B60" s="2" t="s">
        <v>30</v>
      </c>
      <c r="C60" s="2" t="s">
        <v>19</v>
      </c>
      <c r="D60" s="2" t="s">
        <v>58</v>
      </c>
      <c r="F60" s="3">
        <v>45168.0</v>
      </c>
      <c r="G60" s="3">
        <v>45511.0</v>
      </c>
      <c r="H60" s="2">
        <v>343.0</v>
      </c>
      <c r="I60" s="2">
        <v>3.440084778E9</v>
      </c>
      <c r="J60" s="2" t="s">
        <v>21</v>
      </c>
      <c r="K60" s="2" t="s">
        <v>22</v>
      </c>
    </row>
    <row r="61" ht="14.25" customHeight="1">
      <c r="A61" s="2" t="s">
        <v>123</v>
      </c>
      <c r="B61" s="2" t="s">
        <v>12</v>
      </c>
      <c r="C61" s="2" t="s">
        <v>36</v>
      </c>
      <c r="D61" s="2" t="s">
        <v>46</v>
      </c>
      <c r="E61" s="2">
        <v>8.95</v>
      </c>
      <c r="F61" s="3">
        <v>45033.0</v>
      </c>
      <c r="G61" s="3">
        <v>45291.0</v>
      </c>
      <c r="H61" s="2">
        <v>258.0</v>
      </c>
      <c r="I61" s="2">
        <v>4.763618682E9</v>
      </c>
      <c r="J61" s="2" t="s">
        <v>67</v>
      </c>
      <c r="K61" s="2" t="s">
        <v>16</v>
      </c>
    </row>
    <row r="62" ht="14.25" customHeight="1">
      <c r="A62" s="2" t="s">
        <v>124</v>
      </c>
      <c r="B62" s="2" t="s">
        <v>18</v>
      </c>
      <c r="C62" s="2" t="s">
        <v>48</v>
      </c>
      <c r="D62" s="2" t="s">
        <v>121</v>
      </c>
      <c r="F62" s="3">
        <v>45017.0</v>
      </c>
      <c r="G62" s="3">
        <v>45209.0</v>
      </c>
      <c r="H62" s="2">
        <v>192.0</v>
      </c>
      <c r="I62" s="2">
        <v>2.565754523E9</v>
      </c>
      <c r="J62" s="2" t="s">
        <v>33</v>
      </c>
      <c r="K62" s="2" t="s">
        <v>22</v>
      </c>
    </row>
    <row r="63" ht="14.25" customHeight="1">
      <c r="A63" s="2" t="s">
        <v>125</v>
      </c>
      <c r="B63" s="2" t="s">
        <v>35</v>
      </c>
      <c r="C63" s="2" t="s">
        <v>13</v>
      </c>
      <c r="D63" s="2" t="s">
        <v>78</v>
      </c>
      <c r="E63" s="2">
        <v>1.42</v>
      </c>
      <c r="F63" s="3">
        <v>44954.0</v>
      </c>
      <c r="G63" s="3">
        <v>45186.0</v>
      </c>
      <c r="H63" s="2">
        <v>232.0</v>
      </c>
      <c r="I63" s="2">
        <v>1.607202535E9</v>
      </c>
      <c r="K63" s="2" t="s">
        <v>16</v>
      </c>
    </row>
    <row r="64" ht="14.25" customHeight="1">
      <c r="A64" s="2" t="s">
        <v>126</v>
      </c>
      <c r="B64" s="2" t="s">
        <v>35</v>
      </c>
      <c r="C64" s="2" t="s">
        <v>36</v>
      </c>
      <c r="D64" s="2" t="s">
        <v>37</v>
      </c>
      <c r="E64" s="2">
        <v>0.11</v>
      </c>
      <c r="F64" s="3">
        <v>45091.0</v>
      </c>
      <c r="G64" s="3">
        <v>45414.0</v>
      </c>
      <c r="H64" s="2">
        <v>323.0</v>
      </c>
      <c r="I64" s="2">
        <v>2.892947623E9</v>
      </c>
      <c r="J64" s="2" t="s">
        <v>67</v>
      </c>
      <c r="K64" s="2" t="s">
        <v>22</v>
      </c>
    </row>
    <row r="65" ht="14.25" customHeight="1">
      <c r="A65" s="2" t="s">
        <v>127</v>
      </c>
      <c r="B65" s="2" t="s">
        <v>12</v>
      </c>
      <c r="C65" s="2" t="s">
        <v>31</v>
      </c>
      <c r="D65" s="2" t="s">
        <v>83</v>
      </c>
      <c r="E65" s="2">
        <v>36.79</v>
      </c>
      <c r="F65" s="3">
        <v>45058.0</v>
      </c>
      <c r="G65" s="3">
        <v>45145.0</v>
      </c>
      <c r="H65" s="2">
        <v>87.0</v>
      </c>
      <c r="I65" s="2">
        <v>3.849838166E9</v>
      </c>
      <c r="J65" s="2" t="s">
        <v>50</v>
      </c>
      <c r="K65" s="2" t="s">
        <v>16</v>
      </c>
    </row>
    <row r="66" ht="14.25" customHeight="1">
      <c r="A66" s="2" t="s">
        <v>128</v>
      </c>
      <c r="B66" s="2" t="s">
        <v>60</v>
      </c>
      <c r="C66" s="2" t="s">
        <v>31</v>
      </c>
      <c r="D66" s="2" t="s">
        <v>111</v>
      </c>
      <c r="F66" s="3">
        <v>44954.0</v>
      </c>
      <c r="G66" s="3">
        <v>45220.0</v>
      </c>
      <c r="H66" s="2">
        <v>266.0</v>
      </c>
      <c r="I66" s="2">
        <v>1.192980894E9</v>
      </c>
      <c r="J66" s="2" t="s">
        <v>44</v>
      </c>
      <c r="K66" s="2" t="s">
        <v>16</v>
      </c>
    </row>
    <row r="67" ht="14.25" customHeight="1">
      <c r="A67" s="2" t="s">
        <v>129</v>
      </c>
      <c r="B67" s="2" t="s">
        <v>60</v>
      </c>
      <c r="C67" s="2" t="s">
        <v>36</v>
      </c>
      <c r="D67" s="2" t="s">
        <v>61</v>
      </c>
      <c r="F67" s="3">
        <v>45175.0</v>
      </c>
      <c r="G67" s="3">
        <v>45316.0</v>
      </c>
      <c r="H67" s="2">
        <v>141.0</v>
      </c>
      <c r="I67" s="2">
        <v>4.399923082E9</v>
      </c>
      <c r="K67" s="2" t="s">
        <v>22</v>
      </c>
    </row>
    <row r="68" ht="14.25" customHeight="1">
      <c r="A68" s="2" t="s">
        <v>130</v>
      </c>
      <c r="B68" s="2" t="s">
        <v>18</v>
      </c>
      <c r="C68" s="2" t="s">
        <v>19</v>
      </c>
      <c r="D68" s="2" t="s">
        <v>20</v>
      </c>
      <c r="F68" s="3">
        <v>45056.0</v>
      </c>
      <c r="G68" s="3">
        <v>45210.0</v>
      </c>
      <c r="H68" s="2">
        <v>154.0</v>
      </c>
      <c r="I68" s="2">
        <v>3.401095591E9</v>
      </c>
      <c r="J68" s="2" t="s">
        <v>21</v>
      </c>
      <c r="K68" s="2" t="s">
        <v>22</v>
      </c>
    </row>
    <row r="69" ht="14.25" customHeight="1">
      <c r="A69" s="2" t="s">
        <v>131</v>
      </c>
      <c r="B69" s="2" t="s">
        <v>18</v>
      </c>
      <c r="C69" s="2" t="s">
        <v>36</v>
      </c>
      <c r="D69" s="2" t="s">
        <v>71</v>
      </c>
      <c r="F69" s="3">
        <v>45099.0</v>
      </c>
      <c r="G69" s="3">
        <v>45385.0</v>
      </c>
      <c r="H69" s="2">
        <v>286.0</v>
      </c>
      <c r="I69" s="2">
        <v>4.927332744E9</v>
      </c>
      <c r="J69" s="2" t="s">
        <v>21</v>
      </c>
      <c r="K69" s="2" t="s">
        <v>22</v>
      </c>
    </row>
    <row r="70" ht="14.25" customHeight="1">
      <c r="A70" s="2" t="s">
        <v>132</v>
      </c>
      <c r="B70" s="2" t="s">
        <v>35</v>
      </c>
      <c r="C70" s="2" t="s">
        <v>24</v>
      </c>
      <c r="D70" s="2" t="s">
        <v>133</v>
      </c>
      <c r="E70" s="2">
        <v>4.01</v>
      </c>
      <c r="F70" s="3">
        <v>45229.0</v>
      </c>
      <c r="G70" s="3">
        <v>45334.0</v>
      </c>
      <c r="H70" s="2">
        <v>105.0</v>
      </c>
      <c r="I70" s="2">
        <v>1.221429023E9</v>
      </c>
      <c r="J70" s="2" t="s">
        <v>33</v>
      </c>
      <c r="K70" s="2" t="s">
        <v>22</v>
      </c>
    </row>
    <row r="71" ht="14.25" customHeight="1">
      <c r="A71" s="2" t="s">
        <v>134</v>
      </c>
      <c r="B71" s="2" t="s">
        <v>18</v>
      </c>
      <c r="C71" s="2" t="s">
        <v>42</v>
      </c>
      <c r="D71" s="2" t="s">
        <v>135</v>
      </c>
      <c r="F71" s="3">
        <v>45038.0</v>
      </c>
      <c r="G71" s="3">
        <v>45308.0</v>
      </c>
      <c r="H71" s="2">
        <v>270.0</v>
      </c>
      <c r="I71" s="2">
        <v>1.413476471E9</v>
      </c>
      <c r="J71" s="2" t="s">
        <v>21</v>
      </c>
      <c r="K71" s="2" t="s">
        <v>16</v>
      </c>
    </row>
    <row r="72" ht="14.25" customHeight="1">
      <c r="A72" s="2" t="s">
        <v>136</v>
      </c>
      <c r="B72" s="2" t="s">
        <v>35</v>
      </c>
      <c r="C72" s="2" t="s">
        <v>13</v>
      </c>
      <c r="D72" s="2" t="s">
        <v>78</v>
      </c>
      <c r="E72" s="2">
        <v>0.76</v>
      </c>
      <c r="F72" s="3">
        <v>45401.0</v>
      </c>
      <c r="G72" s="3">
        <v>45183.0</v>
      </c>
      <c r="H72" s="2">
        <v>-218.0</v>
      </c>
      <c r="I72" s="2">
        <v>4.279256981E9</v>
      </c>
      <c r="J72" s="2" t="s">
        <v>67</v>
      </c>
      <c r="K72" s="2" t="s">
        <v>22</v>
      </c>
    </row>
    <row r="73" ht="14.25" customHeight="1">
      <c r="A73" s="2" t="s">
        <v>137</v>
      </c>
      <c r="B73" s="2" t="s">
        <v>30</v>
      </c>
      <c r="C73" s="2" t="s">
        <v>39</v>
      </c>
      <c r="D73" s="2" t="s">
        <v>40</v>
      </c>
      <c r="F73" s="3">
        <v>45128.0</v>
      </c>
      <c r="G73" s="3">
        <v>45188.0</v>
      </c>
      <c r="H73" s="2">
        <v>60.0</v>
      </c>
      <c r="I73" s="2">
        <v>2.887033546E9</v>
      </c>
      <c r="J73" s="2" t="s">
        <v>67</v>
      </c>
      <c r="K73" s="2" t="s">
        <v>16</v>
      </c>
    </row>
    <row r="74" ht="14.25" customHeight="1">
      <c r="A74" s="2" t="s">
        <v>138</v>
      </c>
      <c r="B74" s="2" t="s">
        <v>30</v>
      </c>
      <c r="C74" s="2" t="s">
        <v>42</v>
      </c>
      <c r="D74" s="2" t="s">
        <v>43</v>
      </c>
      <c r="F74" s="3">
        <v>45135.0</v>
      </c>
      <c r="G74" s="3">
        <v>45168.0</v>
      </c>
      <c r="H74" s="2">
        <v>33.0</v>
      </c>
      <c r="I74" s="2">
        <v>1.02301027E9</v>
      </c>
      <c r="J74" s="2" t="s">
        <v>50</v>
      </c>
      <c r="K74" s="2" t="s">
        <v>16</v>
      </c>
    </row>
    <row r="75" ht="14.25" customHeight="1">
      <c r="A75" s="2" t="s">
        <v>139</v>
      </c>
      <c r="B75" s="2" t="s">
        <v>12</v>
      </c>
      <c r="C75" s="2" t="s">
        <v>13</v>
      </c>
      <c r="D75" s="2" t="s">
        <v>14</v>
      </c>
      <c r="E75" s="2">
        <v>31.96</v>
      </c>
      <c r="F75" s="3">
        <v>45001.0</v>
      </c>
      <c r="G75" s="3">
        <v>45325.0</v>
      </c>
      <c r="H75" s="2">
        <v>324.0</v>
      </c>
      <c r="I75" s="2">
        <v>4.21393192E9</v>
      </c>
      <c r="K75" s="2" t="s">
        <v>16</v>
      </c>
    </row>
    <row r="76" ht="14.25" customHeight="1">
      <c r="A76" s="2" t="s">
        <v>140</v>
      </c>
      <c r="B76" s="2" t="s">
        <v>30</v>
      </c>
      <c r="C76" s="2" t="s">
        <v>42</v>
      </c>
      <c r="D76" s="2" t="s">
        <v>43</v>
      </c>
      <c r="F76" s="3">
        <v>45006.0</v>
      </c>
      <c r="G76" s="3">
        <v>45234.0</v>
      </c>
      <c r="H76" s="2">
        <v>228.0</v>
      </c>
      <c r="I76" s="2">
        <v>4.301541275E9</v>
      </c>
      <c r="K76" s="2" t="s">
        <v>22</v>
      </c>
    </row>
    <row r="77" ht="14.25" customHeight="1">
      <c r="A77" s="2" t="s">
        <v>141</v>
      </c>
      <c r="B77" s="2" t="s">
        <v>18</v>
      </c>
      <c r="C77" s="2" t="s">
        <v>48</v>
      </c>
      <c r="D77" s="2" t="s">
        <v>121</v>
      </c>
      <c r="F77" s="3">
        <v>45178.0</v>
      </c>
      <c r="G77" s="3">
        <v>45449.0</v>
      </c>
      <c r="H77" s="2">
        <v>271.0</v>
      </c>
      <c r="I77" s="2">
        <v>1.885779455E9</v>
      </c>
      <c r="J77" s="2" t="s">
        <v>50</v>
      </c>
      <c r="K77" s="2" t="s">
        <v>16</v>
      </c>
    </row>
    <row r="78" ht="14.25" customHeight="1">
      <c r="A78" s="2" t="s">
        <v>142</v>
      </c>
      <c r="B78" s="2" t="s">
        <v>18</v>
      </c>
      <c r="C78" s="2" t="s">
        <v>13</v>
      </c>
      <c r="D78" s="2" t="s">
        <v>143</v>
      </c>
      <c r="F78" s="3">
        <v>44987.0</v>
      </c>
      <c r="G78" s="3">
        <v>45234.0</v>
      </c>
      <c r="H78" s="2">
        <v>247.0</v>
      </c>
      <c r="I78" s="2">
        <v>4.564418343E9</v>
      </c>
      <c r="J78" s="2" t="s">
        <v>67</v>
      </c>
      <c r="K78" s="2" t="s">
        <v>22</v>
      </c>
    </row>
    <row r="79" ht="14.25" customHeight="1">
      <c r="A79" s="2" t="s">
        <v>144</v>
      </c>
      <c r="B79" s="2" t="s">
        <v>35</v>
      </c>
      <c r="C79" s="2" t="s">
        <v>39</v>
      </c>
      <c r="D79" s="2" t="s">
        <v>145</v>
      </c>
      <c r="E79" s="2">
        <v>1.86</v>
      </c>
      <c r="F79" s="3">
        <v>45289.0</v>
      </c>
      <c r="G79" s="3">
        <v>45611.0</v>
      </c>
      <c r="H79" s="2">
        <v>322.0</v>
      </c>
      <c r="I79" s="2">
        <v>3.758131763E9</v>
      </c>
      <c r="J79" s="2" t="s">
        <v>50</v>
      </c>
      <c r="K79" s="2" t="s">
        <v>22</v>
      </c>
    </row>
    <row r="80" ht="14.25" customHeight="1">
      <c r="A80" s="2" t="s">
        <v>146</v>
      </c>
      <c r="B80" s="2" t="s">
        <v>12</v>
      </c>
      <c r="C80" s="2" t="s">
        <v>13</v>
      </c>
      <c r="D80" s="2" t="s">
        <v>14</v>
      </c>
      <c r="E80" s="2">
        <v>35.51</v>
      </c>
      <c r="F80" s="3">
        <v>45131.0</v>
      </c>
      <c r="G80" s="3">
        <v>45228.0</v>
      </c>
      <c r="H80" s="2">
        <v>97.0</v>
      </c>
      <c r="I80" s="2">
        <v>4.474982856E9</v>
      </c>
      <c r="J80" s="2" t="s">
        <v>33</v>
      </c>
      <c r="K80" s="2" t="s">
        <v>22</v>
      </c>
    </row>
    <row r="81" ht="14.25" customHeight="1">
      <c r="A81" s="2" t="s">
        <v>147</v>
      </c>
      <c r="B81" s="2" t="s">
        <v>35</v>
      </c>
      <c r="C81" s="2" t="s">
        <v>24</v>
      </c>
      <c r="D81" s="2" t="s">
        <v>133</v>
      </c>
      <c r="E81" s="2">
        <v>1.89</v>
      </c>
      <c r="F81" s="3">
        <v>45101.0</v>
      </c>
      <c r="G81" s="3">
        <v>45138.0</v>
      </c>
      <c r="H81" s="2">
        <v>37.0</v>
      </c>
      <c r="I81" s="2">
        <v>2.000124543E9</v>
      </c>
      <c r="J81" s="2" t="s">
        <v>26</v>
      </c>
      <c r="K81" s="2" t="s">
        <v>22</v>
      </c>
    </row>
    <row r="82" ht="14.25" customHeight="1">
      <c r="A82" s="2" t="s">
        <v>148</v>
      </c>
      <c r="B82" s="2" t="s">
        <v>30</v>
      </c>
      <c r="C82" s="2" t="s">
        <v>48</v>
      </c>
      <c r="D82" s="2" t="s">
        <v>101</v>
      </c>
      <c r="F82" s="3">
        <v>45045.0</v>
      </c>
      <c r="G82" s="3">
        <v>45394.0</v>
      </c>
      <c r="H82" s="2">
        <v>349.0</v>
      </c>
      <c r="I82" s="2">
        <v>4.983131305E9</v>
      </c>
      <c r="K82" s="2" t="s">
        <v>22</v>
      </c>
    </row>
    <row r="83" ht="14.25" customHeight="1">
      <c r="A83" s="2" t="s">
        <v>149</v>
      </c>
      <c r="B83" s="2" t="s">
        <v>30</v>
      </c>
      <c r="C83" s="2" t="s">
        <v>19</v>
      </c>
      <c r="D83" s="2" t="s">
        <v>58</v>
      </c>
      <c r="F83" s="3">
        <v>45173.0</v>
      </c>
      <c r="G83" s="3">
        <v>45340.0</v>
      </c>
      <c r="H83" s="2">
        <v>167.0</v>
      </c>
      <c r="I83" s="2">
        <v>1.078411782E9</v>
      </c>
      <c r="J83" s="2" t="s">
        <v>26</v>
      </c>
      <c r="K83" s="2" t="s">
        <v>22</v>
      </c>
    </row>
    <row r="84" ht="14.25" customHeight="1">
      <c r="A84" s="2" t="s">
        <v>150</v>
      </c>
      <c r="B84" s="2" t="s">
        <v>60</v>
      </c>
      <c r="C84" s="2" t="s">
        <v>48</v>
      </c>
      <c r="D84" s="2" t="s">
        <v>66</v>
      </c>
      <c r="F84" s="3">
        <v>44965.0</v>
      </c>
      <c r="G84" s="3">
        <v>45267.0</v>
      </c>
      <c r="H84" s="2">
        <v>302.0</v>
      </c>
      <c r="I84" s="2">
        <v>6.25182097E8</v>
      </c>
      <c r="J84" s="2" t="s">
        <v>50</v>
      </c>
      <c r="K84" s="2" t="s">
        <v>22</v>
      </c>
    </row>
    <row r="85" ht="14.25" customHeight="1">
      <c r="A85" s="2" t="s">
        <v>151</v>
      </c>
      <c r="B85" s="2" t="s">
        <v>18</v>
      </c>
      <c r="C85" s="2" t="s">
        <v>48</v>
      </c>
      <c r="D85" s="2" t="s">
        <v>121</v>
      </c>
      <c r="F85" s="3">
        <v>45074.0</v>
      </c>
      <c r="G85" s="3">
        <v>45243.0</v>
      </c>
      <c r="H85" s="2">
        <v>169.0</v>
      </c>
      <c r="I85" s="2">
        <v>5.56869064E8</v>
      </c>
      <c r="K85" s="2" t="s">
        <v>16</v>
      </c>
    </row>
    <row r="86" ht="14.25" customHeight="1">
      <c r="A86" s="2" t="s">
        <v>152</v>
      </c>
      <c r="B86" s="2" t="s">
        <v>18</v>
      </c>
      <c r="C86" s="2" t="s">
        <v>13</v>
      </c>
      <c r="D86" s="2" t="s">
        <v>143</v>
      </c>
      <c r="F86" s="3">
        <v>45210.0</v>
      </c>
      <c r="G86" s="3">
        <v>45557.0</v>
      </c>
      <c r="H86" s="2">
        <v>347.0</v>
      </c>
      <c r="I86" s="2">
        <v>1.494318402E9</v>
      </c>
      <c r="J86" s="2" t="s">
        <v>15</v>
      </c>
      <c r="K86" s="2" t="s">
        <v>16</v>
      </c>
    </row>
    <row r="87" ht="14.25" customHeight="1">
      <c r="A87" s="2" t="s">
        <v>153</v>
      </c>
      <c r="B87" s="2" t="s">
        <v>60</v>
      </c>
      <c r="C87" s="2" t="s">
        <v>42</v>
      </c>
      <c r="D87" s="2" t="s">
        <v>154</v>
      </c>
      <c r="F87" s="3">
        <v>44929.0</v>
      </c>
      <c r="G87" s="3">
        <v>45261.0</v>
      </c>
      <c r="H87" s="2">
        <v>332.0</v>
      </c>
      <c r="I87" s="2">
        <v>3.634688974E9</v>
      </c>
      <c r="J87" s="2" t="s">
        <v>50</v>
      </c>
      <c r="K87" s="2" t="s">
        <v>22</v>
      </c>
    </row>
    <row r="88" ht="14.25" customHeight="1">
      <c r="A88" s="2" t="s">
        <v>155</v>
      </c>
      <c r="B88" s="2" t="s">
        <v>35</v>
      </c>
      <c r="C88" s="2" t="s">
        <v>39</v>
      </c>
      <c r="D88" s="2" t="s">
        <v>145</v>
      </c>
      <c r="E88" s="2">
        <v>4.02</v>
      </c>
      <c r="F88" s="3">
        <v>45217.0</v>
      </c>
      <c r="G88" s="3">
        <v>45469.0</v>
      </c>
      <c r="H88" s="2">
        <v>252.0</v>
      </c>
      <c r="I88" s="2">
        <v>6.45548295E8</v>
      </c>
      <c r="J88" s="2" t="s">
        <v>21</v>
      </c>
      <c r="K88" s="2" t="s">
        <v>22</v>
      </c>
    </row>
    <row r="89" ht="14.25" customHeight="1">
      <c r="A89" s="2" t="s">
        <v>156</v>
      </c>
      <c r="B89" s="2" t="s">
        <v>18</v>
      </c>
      <c r="C89" s="2" t="s">
        <v>36</v>
      </c>
      <c r="D89" s="2" t="s">
        <v>71</v>
      </c>
      <c r="F89" s="3">
        <v>45284.0</v>
      </c>
      <c r="G89" s="3">
        <v>45579.0</v>
      </c>
      <c r="H89" s="2">
        <v>295.0</v>
      </c>
      <c r="I89" s="2">
        <v>2.147946804E9</v>
      </c>
      <c r="J89" s="2" t="s">
        <v>67</v>
      </c>
      <c r="K89" s="2" t="s">
        <v>22</v>
      </c>
    </row>
    <row r="90" ht="14.25" customHeight="1">
      <c r="A90" s="2" t="s">
        <v>157</v>
      </c>
      <c r="B90" s="2" t="s">
        <v>12</v>
      </c>
      <c r="C90" s="2" t="s">
        <v>42</v>
      </c>
      <c r="D90" s="2" t="s">
        <v>63</v>
      </c>
      <c r="E90" s="2">
        <v>49.42</v>
      </c>
      <c r="F90" s="3">
        <v>44989.0</v>
      </c>
      <c r="G90" s="3">
        <v>45120.0</v>
      </c>
      <c r="H90" s="2">
        <v>131.0</v>
      </c>
      <c r="I90" s="2">
        <v>2.81034611E9</v>
      </c>
      <c r="J90" s="2" t="s">
        <v>33</v>
      </c>
      <c r="K90" s="2" t="s">
        <v>22</v>
      </c>
    </row>
    <row r="91" ht="14.25" customHeight="1">
      <c r="A91" s="2" t="s">
        <v>158</v>
      </c>
      <c r="B91" s="2" t="s">
        <v>35</v>
      </c>
      <c r="C91" s="2" t="s">
        <v>13</v>
      </c>
      <c r="D91" s="2" t="s">
        <v>78</v>
      </c>
      <c r="E91" s="2">
        <v>2.47</v>
      </c>
      <c r="F91" s="3">
        <v>44991.0</v>
      </c>
      <c r="G91" s="3">
        <v>45062.0</v>
      </c>
      <c r="H91" s="2">
        <v>71.0</v>
      </c>
      <c r="I91" s="2">
        <v>4.806907325E9</v>
      </c>
      <c r="J91" s="2" t="s">
        <v>15</v>
      </c>
      <c r="K91" s="2" t="s">
        <v>16</v>
      </c>
    </row>
    <row r="92" ht="14.25" customHeight="1">
      <c r="A92" s="2" t="s">
        <v>159</v>
      </c>
      <c r="B92" s="2" t="s">
        <v>12</v>
      </c>
      <c r="C92" s="2" t="s">
        <v>39</v>
      </c>
      <c r="D92" s="2" t="s">
        <v>160</v>
      </c>
      <c r="E92" s="2">
        <v>8.54</v>
      </c>
      <c r="F92" s="3">
        <v>45116.0</v>
      </c>
      <c r="G92" s="3">
        <v>45158.0</v>
      </c>
      <c r="H92" s="2">
        <v>42.0</v>
      </c>
      <c r="I92" s="2">
        <v>9.69310998E8</v>
      </c>
      <c r="J92" s="2" t="s">
        <v>15</v>
      </c>
      <c r="K92" s="2" t="s">
        <v>16</v>
      </c>
    </row>
    <row r="93" ht="14.25" customHeight="1">
      <c r="A93" s="2" t="s">
        <v>161</v>
      </c>
      <c r="B93" s="2" t="s">
        <v>12</v>
      </c>
      <c r="C93" s="2" t="s">
        <v>42</v>
      </c>
      <c r="D93" s="2" t="s">
        <v>63</v>
      </c>
      <c r="E93" s="2">
        <v>11.05</v>
      </c>
      <c r="F93" s="3">
        <v>45230.0</v>
      </c>
      <c r="G93" s="3">
        <v>45529.0</v>
      </c>
      <c r="H93" s="2">
        <v>299.0</v>
      </c>
      <c r="I93" s="2">
        <v>1.094585897E9</v>
      </c>
      <c r="J93" s="2" t="s">
        <v>50</v>
      </c>
      <c r="K93" s="2" t="s">
        <v>16</v>
      </c>
    </row>
    <row r="94" ht="14.25" customHeight="1">
      <c r="A94" s="2" t="s">
        <v>162</v>
      </c>
      <c r="B94" s="2" t="s">
        <v>18</v>
      </c>
      <c r="C94" s="2" t="s">
        <v>19</v>
      </c>
      <c r="D94" s="2" t="s">
        <v>20</v>
      </c>
      <c r="F94" s="3">
        <v>45273.0</v>
      </c>
      <c r="G94" s="3">
        <v>45590.0</v>
      </c>
      <c r="H94" s="2">
        <v>317.0</v>
      </c>
      <c r="I94" s="2">
        <v>3.282889707E9</v>
      </c>
      <c r="J94" s="2" t="s">
        <v>15</v>
      </c>
      <c r="K94" s="2" t="s">
        <v>22</v>
      </c>
    </row>
    <row r="95" ht="14.25" customHeight="1">
      <c r="A95" s="2" t="s">
        <v>163</v>
      </c>
      <c r="B95" s="2" t="s">
        <v>60</v>
      </c>
      <c r="C95" s="2" t="s">
        <v>48</v>
      </c>
      <c r="D95" s="2" t="s">
        <v>66</v>
      </c>
      <c r="F95" s="3">
        <v>44958.0</v>
      </c>
      <c r="G95" s="3">
        <v>45158.0</v>
      </c>
      <c r="H95" s="2">
        <v>200.0</v>
      </c>
      <c r="I95" s="2">
        <v>1.906722857E9</v>
      </c>
      <c r="J95" s="2" t="s">
        <v>67</v>
      </c>
      <c r="K95" s="2" t="s">
        <v>16</v>
      </c>
    </row>
    <row r="96" ht="14.25" customHeight="1">
      <c r="A96" s="2" t="s">
        <v>164</v>
      </c>
      <c r="B96" s="2" t="s">
        <v>12</v>
      </c>
      <c r="C96" s="2" t="s">
        <v>39</v>
      </c>
      <c r="D96" s="2" t="s">
        <v>160</v>
      </c>
      <c r="E96" s="2">
        <v>45.25</v>
      </c>
      <c r="F96" s="3">
        <v>45151.0</v>
      </c>
      <c r="G96" s="3">
        <v>45311.0</v>
      </c>
      <c r="H96" s="2">
        <v>160.0</v>
      </c>
      <c r="I96" s="2">
        <v>2.701415476E9</v>
      </c>
      <c r="J96" s="2" t="s">
        <v>15</v>
      </c>
      <c r="K96" s="2" t="s">
        <v>22</v>
      </c>
    </row>
    <row r="97" ht="14.25" customHeight="1">
      <c r="A97" s="2" t="s">
        <v>165</v>
      </c>
      <c r="B97" s="2" t="s">
        <v>30</v>
      </c>
      <c r="C97" s="2" t="s">
        <v>42</v>
      </c>
      <c r="D97" s="2" t="s">
        <v>43</v>
      </c>
      <c r="F97" s="3">
        <v>45185.0</v>
      </c>
      <c r="G97" s="3">
        <v>45273.0</v>
      </c>
      <c r="H97" s="2">
        <v>88.0</v>
      </c>
      <c r="I97" s="2">
        <v>4.056181117E9</v>
      </c>
      <c r="J97" s="2" t="s">
        <v>21</v>
      </c>
      <c r="K97" s="2" t="s">
        <v>16</v>
      </c>
    </row>
    <row r="98" ht="14.25" customHeight="1">
      <c r="A98" s="2" t="s">
        <v>166</v>
      </c>
      <c r="B98" s="2" t="s">
        <v>18</v>
      </c>
      <c r="C98" s="2" t="s">
        <v>39</v>
      </c>
      <c r="D98" s="2" t="s">
        <v>53</v>
      </c>
      <c r="F98" s="3">
        <v>44977.0</v>
      </c>
      <c r="G98" s="3">
        <v>45285.0</v>
      </c>
      <c r="H98" s="2">
        <v>308.0</v>
      </c>
      <c r="I98" s="2">
        <v>5.68908906E8</v>
      </c>
      <c r="K98" s="2" t="s">
        <v>16</v>
      </c>
    </row>
    <row r="99" ht="14.25" customHeight="1">
      <c r="A99" s="2" t="s">
        <v>167</v>
      </c>
      <c r="B99" s="2" t="s">
        <v>12</v>
      </c>
      <c r="C99" s="2" t="s">
        <v>42</v>
      </c>
      <c r="D99" s="2" t="s">
        <v>63</v>
      </c>
      <c r="E99" s="2">
        <v>37.11</v>
      </c>
      <c r="F99" s="3">
        <v>45228.0</v>
      </c>
      <c r="G99" s="3">
        <v>45583.0</v>
      </c>
      <c r="H99" s="2">
        <v>355.0</v>
      </c>
      <c r="I99" s="2">
        <v>2.286692982E9</v>
      </c>
      <c r="K99" s="2" t="s">
        <v>22</v>
      </c>
    </row>
    <row r="100" ht="14.25" customHeight="1">
      <c r="A100" s="2" t="s">
        <v>168</v>
      </c>
      <c r="B100" s="2" t="s">
        <v>18</v>
      </c>
      <c r="C100" s="2" t="s">
        <v>39</v>
      </c>
      <c r="D100" s="2" t="s">
        <v>53</v>
      </c>
      <c r="F100" s="3">
        <v>45231.0</v>
      </c>
      <c r="G100" s="3">
        <v>45268.0</v>
      </c>
      <c r="H100" s="2">
        <v>37.0</v>
      </c>
      <c r="I100" s="2">
        <v>3.532372552E9</v>
      </c>
      <c r="J100" s="2" t="s">
        <v>44</v>
      </c>
      <c r="K100" s="2" t="s">
        <v>16</v>
      </c>
    </row>
    <row r="101" ht="14.25" customHeight="1">
      <c r="A101" s="2" t="s">
        <v>169</v>
      </c>
      <c r="B101" s="2" t="s">
        <v>18</v>
      </c>
      <c r="C101" s="2" t="s">
        <v>36</v>
      </c>
      <c r="D101" s="2" t="s">
        <v>71</v>
      </c>
      <c r="F101" s="3">
        <v>45157.0</v>
      </c>
      <c r="G101" s="3">
        <v>45222.0</v>
      </c>
      <c r="H101" s="2">
        <v>65.0</v>
      </c>
      <c r="I101" s="2">
        <v>3.592608325E9</v>
      </c>
      <c r="J101" s="2" t="s">
        <v>21</v>
      </c>
      <c r="K101" s="2" t="s">
        <v>16</v>
      </c>
    </row>
    <row r="102" ht="14.25" customHeight="1">
      <c r="A102" s="2" t="s">
        <v>170</v>
      </c>
      <c r="B102" s="2" t="s">
        <v>12</v>
      </c>
      <c r="C102" s="2" t="s">
        <v>48</v>
      </c>
      <c r="D102" s="2" t="s">
        <v>171</v>
      </c>
      <c r="E102" s="2">
        <v>44.34</v>
      </c>
      <c r="F102" s="3">
        <v>45240.0</v>
      </c>
      <c r="G102" s="3">
        <v>45532.0</v>
      </c>
      <c r="H102" s="2">
        <v>292.0</v>
      </c>
      <c r="I102" s="2">
        <v>4.568529873E9</v>
      </c>
      <c r="J102" s="2" t="s">
        <v>50</v>
      </c>
      <c r="K102" s="2" t="s">
        <v>22</v>
      </c>
    </row>
    <row r="103" ht="14.25" customHeight="1">
      <c r="A103" s="2" t="s">
        <v>172</v>
      </c>
      <c r="B103" s="2" t="s">
        <v>30</v>
      </c>
      <c r="C103" s="2" t="s">
        <v>19</v>
      </c>
      <c r="D103" s="2" t="s">
        <v>58</v>
      </c>
      <c r="F103" s="3">
        <v>45133.0</v>
      </c>
      <c r="G103" s="3">
        <v>45384.0</v>
      </c>
      <c r="H103" s="2">
        <v>251.0</v>
      </c>
      <c r="I103" s="2">
        <v>4.603719415E9</v>
      </c>
      <c r="J103" s="2" t="s">
        <v>21</v>
      </c>
      <c r="K103" s="2" t="s">
        <v>16</v>
      </c>
    </row>
    <row r="104" ht="14.25" customHeight="1">
      <c r="A104" s="2" t="s">
        <v>173</v>
      </c>
      <c r="B104" s="2" t="s">
        <v>60</v>
      </c>
      <c r="C104" s="2" t="s">
        <v>36</v>
      </c>
      <c r="D104" s="2" t="s">
        <v>61</v>
      </c>
      <c r="F104" s="3">
        <v>45053.0</v>
      </c>
      <c r="G104" s="3">
        <v>45321.0</v>
      </c>
      <c r="H104" s="2">
        <v>268.0</v>
      </c>
      <c r="I104" s="2">
        <v>1.690539624E9</v>
      </c>
      <c r="J104" s="2" t="s">
        <v>67</v>
      </c>
      <c r="K104" s="2" t="s">
        <v>22</v>
      </c>
    </row>
    <row r="105" ht="14.25" customHeight="1">
      <c r="A105" s="2" t="s">
        <v>174</v>
      </c>
      <c r="B105" s="2" t="s">
        <v>30</v>
      </c>
      <c r="C105" s="2" t="s">
        <v>39</v>
      </c>
      <c r="D105" s="2" t="s">
        <v>40</v>
      </c>
      <c r="F105" s="3">
        <v>44984.0</v>
      </c>
      <c r="G105" s="3">
        <v>45324.0</v>
      </c>
      <c r="H105" s="2">
        <v>340.0</v>
      </c>
      <c r="I105" s="2">
        <v>4.933637789E9</v>
      </c>
      <c r="J105" s="2" t="s">
        <v>15</v>
      </c>
      <c r="K105" s="2" t="s">
        <v>22</v>
      </c>
    </row>
    <row r="106" ht="14.25" customHeight="1">
      <c r="A106" s="2" t="s">
        <v>175</v>
      </c>
      <c r="B106" s="2" t="s">
        <v>30</v>
      </c>
      <c r="C106" s="2" t="s">
        <v>19</v>
      </c>
      <c r="D106" s="2" t="s">
        <v>58</v>
      </c>
      <c r="F106" s="3">
        <v>45254.0</v>
      </c>
      <c r="G106" s="3">
        <v>45331.0</v>
      </c>
      <c r="H106" s="2">
        <v>77.0</v>
      </c>
      <c r="I106" s="2">
        <v>8.04923801E8</v>
      </c>
      <c r="J106" s="2" t="s">
        <v>50</v>
      </c>
      <c r="K106" s="2" t="s">
        <v>22</v>
      </c>
    </row>
    <row r="107" ht="14.25" customHeight="1">
      <c r="A107" s="2" t="s">
        <v>176</v>
      </c>
      <c r="B107" s="2" t="s">
        <v>12</v>
      </c>
      <c r="C107" s="2" t="s">
        <v>31</v>
      </c>
      <c r="D107" s="2" t="s">
        <v>83</v>
      </c>
      <c r="E107" s="2">
        <v>45.67</v>
      </c>
      <c r="F107" s="3">
        <v>45488.0</v>
      </c>
      <c r="G107" s="3">
        <v>45129.0</v>
      </c>
      <c r="H107" s="2">
        <v>-359.0</v>
      </c>
      <c r="I107" s="2">
        <v>2.842211621E9</v>
      </c>
      <c r="J107" s="2" t="s">
        <v>26</v>
      </c>
      <c r="K107" s="2" t="s">
        <v>16</v>
      </c>
    </row>
    <row r="108" ht="14.25" customHeight="1">
      <c r="A108" s="2" t="s">
        <v>177</v>
      </c>
      <c r="B108" s="2" t="s">
        <v>60</v>
      </c>
      <c r="C108" s="2" t="s">
        <v>48</v>
      </c>
      <c r="D108" s="2" t="s">
        <v>66</v>
      </c>
      <c r="F108" s="3">
        <v>45273.0</v>
      </c>
      <c r="G108" s="3">
        <v>45394.0</v>
      </c>
      <c r="H108" s="2">
        <v>121.0</v>
      </c>
      <c r="I108" s="2">
        <v>4.479038318E9</v>
      </c>
      <c r="J108" s="2" t="s">
        <v>50</v>
      </c>
      <c r="K108" s="2" t="s">
        <v>16</v>
      </c>
    </row>
    <row r="109" ht="14.25" customHeight="1">
      <c r="A109" s="2" t="s">
        <v>178</v>
      </c>
      <c r="B109" s="2" t="s">
        <v>12</v>
      </c>
      <c r="C109" s="2" t="s">
        <v>36</v>
      </c>
      <c r="D109" s="2" t="s">
        <v>46</v>
      </c>
      <c r="E109" s="2">
        <v>26.48</v>
      </c>
      <c r="F109" s="3">
        <v>44928.0</v>
      </c>
      <c r="G109" s="3">
        <v>45239.0</v>
      </c>
      <c r="H109" s="2">
        <v>311.0</v>
      </c>
      <c r="I109" s="2">
        <v>1.40444848E9</v>
      </c>
      <c r="K109" s="2" t="s">
        <v>22</v>
      </c>
    </row>
    <row r="110" ht="14.25" customHeight="1">
      <c r="A110" s="2" t="s">
        <v>179</v>
      </c>
      <c r="B110" s="2" t="s">
        <v>18</v>
      </c>
      <c r="C110" s="2" t="s">
        <v>19</v>
      </c>
      <c r="D110" s="2" t="s">
        <v>20</v>
      </c>
      <c r="F110" s="3">
        <v>45018.0</v>
      </c>
      <c r="G110" s="3">
        <v>45255.0</v>
      </c>
      <c r="H110" s="2">
        <v>237.0</v>
      </c>
      <c r="I110" s="2">
        <v>3.151235563E9</v>
      </c>
      <c r="J110" s="2" t="s">
        <v>26</v>
      </c>
      <c r="K110" s="2" t="s">
        <v>16</v>
      </c>
    </row>
    <row r="111" ht="14.25" customHeight="1">
      <c r="A111" s="2" t="s">
        <v>180</v>
      </c>
      <c r="B111" s="2" t="s">
        <v>12</v>
      </c>
      <c r="C111" s="2" t="s">
        <v>36</v>
      </c>
      <c r="D111" s="2" t="s">
        <v>46</v>
      </c>
      <c r="E111" s="2">
        <v>8.01</v>
      </c>
      <c r="F111" s="3">
        <v>45207.0</v>
      </c>
      <c r="G111" s="3">
        <v>45141.0</v>
      </c>
      <c r="H111" s="2">
        <v>-66.0</v>
      </c>
      <c r="I111" s="2">
        <v>1.125707439E9</v>
      </c>
      <c r="J111" s="2" t="s">
        <v>15</v>
      </c>
      <c r="K111" s="2" t="s">
        <v>22</v>
      </c>
    </row>
    <row r="112" ht="14.25" customHeight="1">
      <c r="A112" s="2" t="s">
        <v>181</v>
      </c>
      <c r="B112" s="2" t="s">
        <v>60</v>
      </c>
      <c r="C112" s="2" t="s">
        <v>13</v>
      </c>
      <c r="D112" s="2" t="s">
        <v>182</v>
      </c>
      <c r="F112" s="3">
        <v>45164.0</v>
      </c>
      <c r="G112" s="3">
        <v>45456.0</v>
      </c>
      <c r="H112" s="2">
        <v>292.0</v>
      </c>
      <c r="I112" s="2">
        <v>4.697675187E9</v>
      </c>
      <c r="J112" s="2" t="s">
        <v>33</v>
      </c>
      <c r="K112" s="2" t="s">
        <v>22</v>
      </c>
    </row>
    <row r="113" ht="14.25" customHeight="1">
      <c r="A113" s="2" t="s">
        <v>183</v>
      </c>
      <c r="B113" s="2" t="s">
        <v>12</v>
      </c>
      <c r="C113" s="2" t="s">
        <v>42</v>
      </c>
      <c r="D113" s="2" t="s">
        <v>63</v>
      </c>
      <c r="E113" s="2">
        <v>37.39</v>
      </c>
      <c r="F113" s="3">
        <v>45130.0</v>
      </c>
      <c r="G113" s="3">
        <v>45445.0</v>
      </c>
      <c r="H113" s="2">
        <v>315.0</v>
      </c>
      <c r="I113" s="2">
        <v>1.815574487E9</v>
      </c>
      <c r="J113" s="2" t="s">
        <v>26</v>
      </c>
      <c r="K113" s="2" t="s">
        <v>22</v>
      </c>
    </row>
    <row r="114" ht="14.25" customHeight="1">
      <c r="A114" s="2" t="s">
        <v>184</v>
      </c>
      <c r="B114" s="2" t="s">
        <v>60</v>
      </c>
      <c r="C114" s="2" t="s">
        <v>39</v>
      </c>
      <c r="D114" s="2" t="s">
        <v>185</v>
      </c>
      <c r="F114" s="3">
        <v>45263.0</v>
      </c>
      <c r="G114" s="3">
        <v>45473.0</v>
      </c>
      <c r="H114" s="2">
        <v>210.0</v>
      </c>
      <c r="I114" s="2">
        <v>1.70809044E9</v>
      </c>
      <c r="J114" s="2" t="s">
        <v>50</v>
      </c>
      <c r="K114" s="2" t="s">
        <v>22</v>
      </c>
    </row>
    <row r="115" ht="14.25" customHeight="1">
      <c r="A115" s="2" t="s">
        <v>186</v>
      </c>
      <c r="B115" s="2" t="s">
        <v>18</v>
      </c>
      <c r="C115" s="2" t="s">
        <v>48</v>
      </c>
      <c r="D115" s="2" t="s">
        <v>121</v>
      </c>
      <c r="F115" s="3">
        <v>45205.0</v>
      </c>
      <c r="G115" s="3">
        <v>45463.0</v>
      </c>
      <c r="H115" s="2">
        <v>258.0</v>
      </c>
      <c r="I115" s="2">
        <v>2.006907099E9</v>
      </c>
      <c r="K115" s="2" t="s">
        <v>22</v>
      </c>
    </row>
    <row r="116" ht="14.25" customHeight="1">
      <c r="A116" s="2" t="s">
        <v>187</v>
      </c>
      <c r="B116" s="2" t="s">
        <v>12</v>
      </c>
      <c r="C116" s="2" t="s">
        <v>42</v>
      </c>
      <c r="D116" s="2" t="s">
        <v>63</v>
      </c>
      <c r="E116" s="2">
        <v>17.24</v>
      </c>
      <c r="F116" s="3">
        <v>45018.0</v>
      </c>
      <c r="G116" s="3">
        <v>45084.0</v>
      </c>
      <c r="H116" s="2">
        <v>66.0</v>
      </c>
      <c r="I116" s="2">
        <v>1.472198499E9</v>
      </c>
      <c r="J116" s="2" t="s">
        <v>44</v>
      </c>
      <c r="K116" s="2" t="s">
        <v>16</v>
      </c>
    </row>
    <row r="117" ht="14.25" customHeight="1">
      <c r="A117" s="2" t="s">
        <v>188</v>
      </c>
      <c r="B117" s="2" t="s">
        <v>12</v>
      </c>
      <c r="C117" s="2" t="s">
        <v>36</v>
      </c>
      <c r="D117" s="2" t="s">
        <v>46</v>
      </c>
      <c r="E117" s="2">
        <v>19.7</v>
      </c>
      <c r="F117" s="3">
        <v>45234.0</v>
      </c>
      <c r="G117" s="3">
        <v>45348.0</v>
      </c>
      <c r="H117" s="2">
        <v>114.0</v>
      </c>
      <c r="I117" s="2">
        <v>1.008266758E9</v>
      </c>
      <c r="J117" s="2" t="s">
        <v>44</v>
      </c>
      <c r="K117" s="2" t="s">
        <v>22</v>
      </c>
    </row>
    <row r="118" ht="14.25" customHeight="1">
      <c r="A118" s="2" t="s">
        <v>189</v>
      </c>
      <c r="B118" s="2" t="s">
        <v>30</v>
      </c>
      <c r="C118" s="2" t="s">
        <v>31</v>
      </c>
      <c r="D118" s="2" t="s">
        <v>32</v>
      </c>
      <c r="F118" s="3">
        <v>45181.0</v>
      </c>
      <c r="G118" s="3">
        <v>45455.0</v>
      </c>
      <c r="H118" s="2">
        <v>274.0</v>
      </c>
      <c r="I118" s="2">
        <v>4.402089801E9</v>
      </c>
      <c r="J118" s="2" t="s">
        <v>44</v>
      </c>
      <c r="K118" s="2" t="s">
        <v>16</v>
      </c>
    </row>
    <row r="119" ht="14.25" customHeight="1">
      <c r="A119" s="2" t="s">
        <v>190</v>
      </c>
      <c r="B119" s="2" t="s">
        <v>30</v>
      </c>
      <c r="C119" s="2" t="s">
        <v>24</v>
      </c>
      <c r="D119" s="2" t="s">
        <v>85</v>
      </c>
      <c r="F119" s="3">
        <v>45183.0</v>
      </c>
      <c r="G119" s="3">
        <v>45255.0</v>
      </c>
      <c r="H119" s="2">
        <v>72.0</v>
      </c>
      <c r="I119" s="2">
        <v>3.762549335E9</v>
      </c>
      <c r="J119" s="2" t="s">
        <v>44</v>
      </c>
      <c r="K119" s="2" t="s">
        <v>22</v>
      </c>
    </row>
    <row r="120" ht="14.25" customHeight="1">
      <c r="A120" s="2" t="s">
        <v>191</v>
      </c>
      <c r="B120" s="2" t="s">
        <v>35</v>
      </c>
      <c r="C120" s="2" t="s">
        <v>48</v>
      </c>
      <c r="D120" s="2" t="s">
        <v>49</v>
      </c>
      <c r="E120" s="2">
        <v>1.99</v>
      </c>
      <c r="F120" s="3">
        <v>45281.0</v>
      </c>
      <c r="G120" s="3">
        <v>45467.0</v>
      </c>
      <c r="H120" s="2">
        <v>186.0</v>
      </c>
      <c r="I120" s="2">
        <v>4.711374932E9</v>
      </c>
      <c r="J120" s="2" t="s">
        <v>26</v>
      </c>
      <c r="K120" s="2" t="s">
        <v>16</v>
      </c>
    </row>
    <row r="121" ht="14.25" customHeight="1">
      <c r="A121" s="2" t="s">
        <v>192</v>
      </c>
      <c r="B121" s="2" t="s">
        <v>35</v>
      </c>
      <c r="C121" s="2" t="s">
        <v>39</v>
      </c>
      <c r="D121" s="2" t="s">
        <v>145</v>
      </c>
      <c r="E121" s="2">
        <v>1.72</v>
      </c>
      <c r="F121" s="3">
        <v>44972.0</v>
      </c>
      <c r="G121" s="3">
        <v>45130.0</v>
      </c>
      <c r="H121" s="2">
        <v>158.0</v>
      </c>
      <c r="I121" s="2">
        <v>4.652427573E9</v>
      </c>
      <c r="J121" s="2" t="s">
        <v>26</v>
      </c>
      <c r="K121" s="2" t="s">
        <v>16</v>
      </c>
    </row>
    <row r="122" ht="14.25" customHeight="1">
      <c r="A122" s="2" t="s">
        <v>193</v>
      </c>
      <c r="B122" s="2" t="s">
        <v>30</v>
      </c>
      <c r="C122" s="2" t="s">
        <v>31</v>
      </c>
      <c r="D122" s="2" t="s">
        <v>32</v>
      </c>
      <c r="F122" s="3">
        <v>44975.0</v>
      </c>
      <c r="G122" s="3">
        <v>45193.0</v>
      </c>
      <c r="H122" s="2">
        <v>218.0</v>
      </c>
      <c r="I122" s="2">
        <v>9.93847179E8</v>
      </c>
      <c r="J122" s="2" t="s">
        <v>33</v>
      </c>
      <c r="K122" s="2" t="s">
        <v>16</v>
      </c>
    </row>
    <row r="123" ht="14.25" customHeight="1">
      <c r="A123" s="2" t="s">
        <v>194</v>
      </c>
      <c r="B123" s="2" t="s">
        <v>30</v>
      </c>
      <c r="C123" s="2" t="s">
        <v>39</v>
      </c>
      <c r="D123" s="2" t="s">
        <v>40</v>
      </c>
      <c r="F123" s="3">
        <v>45163.0</v>
      </c>
      <c r="G123" s="3">
        <v>45258.0</v>
      </c>
      <c r="H123" s="2">
        <v>95.0</v>
      </c>
      <c r="I123" s="2">
        <v>1.979486923E9</v>
      </c>
      <c r="J123" s="2" t="s">
        <v>67</v>
      </c>
      <c r="K123" s="2" t="s">
        <v>16</v>
      </c>
    </row>
    <row r="124" ht="14.25" customHeight="1">
      <c r="A124" s="2" t="s">
        <v>195</v>
      </c>
      <c r="B124" s="2" t="s">
        <v>35</v>
      </c>
      <c r="C124" s="2" t="s">
        <v>24</v>
      </c>
      <c r="D124" s="2" t="s">
        <v>133</v>
      </c>
      <c r="E124" s="2">
        <v>0.58</v>
      </c>
      <c r="F124" s="3">
        <v>45114.0</v>
      </c>
      <c r="G124" s="3">
        <v>45156.0</v>
      </c>
      <c r="H124" s="2">
        <v>42.0</v>
      </c>
      <c r="I124" s="2">
        <v>3.800627952E9</v>
      </c>
      <c r="J124" s="2" t="s">
        <v>21</v>
      </c>
      <c r="K124" s="2" t="s">
        <v>16</v>
      </c>
    </row>
    <row r="125" ht="14.25" customHeight="1">
      <c r="A125" s="2" t="s">
        <v>196</v>
      </c>
      <c r="B125" s="2" t="s">
        <v>35</v>
      </c>
      <c r="C125" s="2" t="s">
        <v>13</v>
      </c>
      <c r="D125" s="2" t="s">
        <v>78</v>
      </c>
      <c r="E125" s="2">
        <v>2.95</v>
      </c>
      <c r="F125" s="3">
        <v>45124.0</v>
      </c>
      <c r="G125" s="3">
        <v>45421.0</v>
      </c>
      <c r="H125" s="2">
        <v>297.0</v>
      </c>
      <c r="I125" s="2">
        <v>1.170916234E9</v>
      </c>
      <c r="K125" s="2" t="s">
        <v>16</v>
      </c>
    </row>
    <row r="126" ht="14.25" customHeight="1">
      <c r="A126" s="2" t="s">
        <v>197</v>
      </c>
      <c r="B126" s="2" t="s">
        <v>30</v>
      </c>
      <c r="C126" s="2" t="s">
        <v>42</v>
      </c>
      <c r="D126" s="2" t="s">
        <v>43</v>
      </c>
      <c r="F126" s="3">
        <v>45236.0</v>
      </c>
      <c r="G126" s="3">
        <v>45266.0</v>
      </c>
      <c r="H126" s="2">
        <v>30.0</v>
      </c>
      <c r="I126" s="2">
        <v>3.667493152E9</v>
      </c>
      <c r="J126" s="2" t="s">
        <v>26</v>
      </c>
      <c r="K126" s="2" t="s">
        <v>22</v>
      </c>
    </row>
    <row r="127" ht="14.25" customHeight="1">
      <c r="A127" s="2" t="s">
        <v>198</v>
      </c>
      <c r="B127" s="2" t="s">
        <v>12</v>
      </c>
      <c r="C127" s="2" t="s">
        <v>36</v>
      </c>
      <c r="D127" s="2" t="s">
        <v>46</v>
      </c>
      <c r="E127" s="2">
        <v>39.03</v>
      </c>
      <c r="F127" s="3">
        <v>45259.0</v>
      </c>
      <c r="G127" s="3">
        <v>45579.0</v>
      </c>
      <c r="H127" s="2">
        <v>320.0</v>
      </c>
      <c r="I127" s="2">
        <v>9.56074771E8</v>
      </c>
      <c r="J127" s="2" t="s">
        <v>21</v>
      </c>
      <c r="K127" s="2" t="s">
        <v>16</v>
      </c>
    </row>
    <row r="128" ht="14.25" customHeight="1">
      <c r="A128" s="2" t="s">
        <v>199</v>
      </c>
      <c r="B128" s="2" t="s">
        <v>12</v>
      </c>
      <c r="C128" s="2" t="s">
        <v>19</v>
      </c>
      <c r="D128" s="2" t="s">
        <v>28</v>
      </c>
      <c r="E128" s="2">
        <v>28.27</v>
      </c>
      <c r="F128" s="3">
        <v>45111.0</v>
      </c>
      <c r="G128" s="3">
        <v>45180.0</v>
      </c>
      <c r="H128" s="2">
        <v>69.0</v>
      </c>
      <c r="I128" s="2">
        <v>3.276058346E9</v>
      </c>
      <c r="J128" s="2" t="s">
        <v>67</v>
      </c>
      <c r="K128" s="2" t="s">
        <v>16</v>
      </c>
    </row>
    <row r="129" ht="14.25" customHeight="1">
      <c r="A129" s="2" t="s">
        <v>200</v>
      </c>
      <c r="B129" s="2" t="s">
        <v>30</v>
      </c>
      <c r="C129" s="2" t="s">
        <v>31</v>
      </c>
      <c r="D129" s="2" t="s">
        <v>32</v>
      </c>
      <c r="F129" s="3">
        <v>44951.0</v>
      </c>
      <c r="G129" s="3">
        <v>45187.0</v>
      </c>
      <c r="H129" s="2">
        <v>236.0</v>
      </c>
      <c r="I129" s="2">
        <v>4.007277593E9</v>
      </c>
      <c r="J129" s="2" t="s">
        <v>21</v>
      </c>
      <c r="K129" s="2" t="s">
        <v>22</v>
      </c>
    </row>
    <row r="130" ht="14.25" customHeight="1">
      <c r="A130" s="2" t="s">
        <v>201</v>
      </c>
      <c r="B130" s="2" t="s">
        <v>30</v>
      </c>
      <c r="C130" s="2" t="s">
        <v>42</v>
      </c>
      <c r="D130" s="2" t="s">
        <v>43</v>
      </c>
      <c r="F130" s="3">
        <v>45193.0</v>
      </c>
      <c r="G130" s="3">
        <v>45267.0</v>
      </c>
      <c r="H130" s="2">
        <v>74.0</v>
      </c>
      <c r="I130" s="2">
        <v>3.104590012E9</v>
      </c>
      <c r="J130" s="2" t="s">
        <v>33</v>
      </c>
      <c r="K130" s="2" t="s">
        <v>22</v>
      </c>
    </row>
    <row r="131" ht="14.25" customHeight="1">
      <c r="A131" s="2" t="s">
        <v>202</v>
      </c>
      <c r="B131" s="2" t="s">
        <v>12</v>
      </c>
      <c r="C131" s="2" t="s">
        <v>48</v>
      </c>
      <c r="D131" s="2" t="s">
        <v>171</v>
      </c>
      <c r="E131" s="2">
        <v>17.35</v>
      </c>
      <c r="F131" s="3">
        <v>45201.0</v>
      </c>
      <c r="G131" s="3">
        <v>45418.0</v>
      </c>
      <c r="H131" s="2">
        <v>217.0</v>
      </c>
      <c r="I131" s="2">
        <v>2.806581313E9</v>
      </c>
      <c r="J131" s="2" t="s">
        <v>67</v>
      </c>
      <c r="K131" s="2" t="s">
        <v>16</v>
      </c>
    </row>
    <row r="132" ht="14.25" customHeight="1">
      <c r="A132" s="2" t="s">
        <v>203</v>
      </c>
      <c r="B132" s="2" t="s">
        <v>35</v>
      </c>
      <c r="C132" s="2" t="s">
        <v>13</v>
      </c>
      <c r="D132" s="2" t="s">
        <v>78</v>
      </c>
      <c r="E132" s="2">
        <v>2.28</v>
      </c>
      <c r="F132" s="3">
        <v>45035.0</v>
      </c>
      <c r="G132" s="3">
        <v>45297.0</v>
      </c>
      <c r="H132" s="2">
        <v>262.0</v>
      </c>
      <c r="I132" s="2">
        <v>1.794416677E9</v>
      </c>
      <c r="J132" s="2" t="s">
        <v>15</v>
      </c>
      <c r="K132" s="2" t="s">
        <v>22</v>
      </c>
    </row>
    <row r="133" ht="14.25" customHeight="1">
      <c r="A133" s="2" t="s">
        <v>204</v>
      </c>
      <c r="B133" s="2" t="s">
        <v>60</v>
      </c>
      <c r="C133" s="2" t="s">
        <v>31</v>
      </c>
      <c r="D133" s="2" t="s">
        <v>111</v>
      </c>
      <c r="F133" s="3">
        <v>45048.0</v>
      </c>
      <c r="G133" s="3">
        <v>45358.0</v>
      </c>
      <c r="H133" s="2">
        <v>310.0</v>
      </c>
      <c r="I133" s="2">
        <v>6.27797648E8</v>
      </c>
      <c r="K133" s="2" t="s">
        <v>22</v>
      </c>
    </row>
    <row r="134" ht="14.25" customHeight="1">
      <c r="A134" s="2" t="s">
        <v>205</v>
      </c>
      <c r="B134" s="2" t="s">
        <v>18</v>
      </c>
      <c r="C134" s="2" t="s">
        <v>39</v>
      </c>
      <c r="D134" s="2" t="s">
        <v>53</v>
      </c>
      <c r="F134" s="3">
        <v>45194.0</v>
      </c>
      <c r="G134" s="3">
        <v>45394.0</v>
      </c>
      <c r="H134" s="2">
        <v>200.0</v>
      </c>
      <c r="I134" s="2">
        <v>1.896325368E9</v>
      </c>
      <c r="J134" s="2" t="s">
        <v>50</v>
      </c>
      <c r="K134" s="2" t="s">
        <v>16</v>
      </c>
    </row>
    <row r="135" ht="14.25" customHeight="1">
      <c r="A135" s="2" t="s">
        <v>206</v>
      </c>
      <c r="B135" s="2" t="s">
        <v>30</v>
      </c>
      <c r="C135" s="2" t="s">
        <v>24</v>
      </c>
      <c r="D135" s="2" t="s">
        <v>85</v>
      </c>
      <c r="F135" s="3">
        <v>45131.0</v>
      </c>
      <c r="G135" s="3">
        <v>45411.0</v>
      </c>
      <c r="H135" s="2">
        <v>280.0</v>
      </c>
      <c r="I135" s="2">
        <v>2.528395548E9</v>
      </c>
      <c r="J135" s="2" t="s">
        <v>33</v>
      </c>
      <c r="K135" s="2" t="s">
        <v>22</v>
      </c>
    </row>
    <row r="136" ht="14.25" customHeight="1">
      <c r="A136" s="2" t="s">
        <v>207</v>
      </c>
      <c r="B136" s="2" t="s">
        <v>35</v>
      </c>
      <c r="C136" s="2" t="s">
        <v>48</v>
      </c>
      <c r="D136" s="2" t="s">
        <v>49</v>
      </c>
      <c r="E136" s="2">
        <v>4.49</v>
      </c>
      <c r="F136" s="3">
        <v>45107.0</v>
      </c>
      <c r="G136" s="3">
        <v>45221.0</v>
      </c>
      <c r="H136" s="2">
        <v>114.0</v>
      </c>
      <c r="I136" s="2">
        <v>8.92739068E8</v>
      </c>
      <c r="J136" s="2" t="s">
        <v>50</v>
      </c>
      <c r="K136" s="2" t="s">
        <v>16</v>
      </c>
    </row>
    <row r="137" ht="14.25" customHeight="1">
      <c r="A137" s="2" t="s">
        <v>208</v>
      </c>
      <c r="B137" s="2" t="s">
        <v>30</v>
      </c>
      <c r="C137" s="2" t="s">
        <v>19</v>
      </c>
      <c r="D137" s="2" t="s">
        <v>58</v>
      </c>
      <c r="F137" s="3">
        <v>44963.0</v>
      </c>
      <c r="G137" s="3">
        <v>45048.0</v>
      </c>
      <c r="H137" s="2">
        <v>85.0</v>
      </c>
      <c r="I137" s="2">
        <v>2.750589512E9</v>
      </c>
      <c r="J137" s="2" t="s">
        <v>50</v>
      </c>
      <c r="K137" s="2" t="s">
        <v>22</v>
      </c>
    </row>
    <row r="138" ht="14.25" customHeight="1">
      <c r="A138" s="2" t="s">
        <v>209</v>
      </c>
      <c r="B138" s="2" t="s">
        <v>60</v>
      </c>
      <c r="C138" s="2" t="s">
        <v>19</v>
      </c>
      <c r="D138" s="2" t="s">
        <v>87</v>
      </c>
      <c r="F138" s="3">
        <v>45081.0</v>
      </c>
      <c r="G138" s="3">
        <v>45393.0</v>
      </c>
      <c r="H138" s="2">
        <v>312.0</v>
      </c>
      <c r="I138" s="2">
        <v>4.995996103E9</v>
      </c>
      <c r="J138" s="2" t="s">
        <v>67</v>
      </c>
      <c r="K138" s="2" t="s">
        <v>16</v>
      </c>
    </row>
    <row r="139" ht="14.25" customHeight="1">
      <c r="A139" s="2" t="s">
        <v>210</v>
      </c>
      <c r="B139" s="2" t="s">
        <v>30</v>
      </c>
      <c r="C139" s="2" t="s">
        <v>36</v>
      </c>
      <c r="D139" s="2" t="s">
        <v>93</v>
      </c>
      <c r="F139" s="3">
        <v>44992.0</v>
      </c>
      <c r="G139" s="3">
        <v>45322.0</v>
      </c>
      <c r="H139" s="2">
        <v>330.0</v>
      </c>
      <c r="I139" s="2">
        <v>1.397284879E9</v>
      </c>
      <c r="K139" s="2" t="s">
        <v>16</v>
      </c>
    </row>
    <row r="140" ht="14.25" customHeight="1">
      <c r="A140" s="2" t="s">
        <v>211</v>
      </c>
      <c r="B140" s="2" t="s">
        <v>12</v>
      </c>
      <c r="C140" s="2" t="s">
        <v>39</v>
      </c>
      <c r="D140" s="2" t="s">
        <v>160</v>
      </c>
      <c r="E140" s="2">
        <v>46.46</v>
      </c>
      <c r="F140" s="3">
        <v>44930.0</v>
      </c>
      <c r="G140" s="3">
        <v>45182.0</v>
      </c>
      <c r="H140" s="2">
        <v>252.0</v>
      </c>
      <c r="I140" s="2">
        <v>4.566052575E9</v>
      </c>
      <c r="J140" s="2" t="s">
        <v>67</v>
      </c>
      <c r="K140" s="2" t="s">
        <v>22</v>
      </c>
    </row>
    <row r="141" ht="14.25" customHeight="1">
      <c r="A141" s="2" t="s">
        <v>212</v>
      </c>
      <c r="B141" s="2" t="s">
        <v>35</v>
      </c>
      <c r="C141" s="2" t="s">
        <v>48</v>
      </c>
      <c r="D141" s="2" t="s">
        <v>49</v>
      </c>
      <c r="E141" s="2">
        <v>2.65</v>
      </c>
      <c r="F141" s="3">
        <v>45035.0</v>
      </c>
      <c r="G141" s="3">
        <v>45269.0</v>
      </c>
      <c r="H141" s="2">
        <v>234.0</v>
      </c>
      <c r="I141" s="2">
        <v>9.99409607E8</v>
      </c>
      <c r="J141" s="2" t="s">
        <v>26</v>
      </c>
      <c r="K141" s="2" t="s">
        <v>22</v>
      </c>
    </row>
    <row r="142" ht="14.25" customHeight="1">
      <c r="A142" s="2" t="s">
        <v>213</v>
      </c>
      <c r="B142" s="2" t="s">
        <v>18</v>
      </c>
      <c r="C142" s="2" t="s">
        <v>31</v>
      </c>
      <c r="D142" s="2" t="s">
        <v>74</v>
      </c>
      <c r="F142" s="3">
        <v>45038.0</v>
      </c>
      <c r="G142" s="3">
        <v>45333.0</v>
      </c>
      <c r="H142" s="2">
        <v>295.0</v>
      </c>
      <c r="I142" s="2">
        <v>3.226986582E9</v>
      </c>
      <c r="J142" s="2" t="s">
        <v>21</v>
      </c>
      <c r="K142" s="2" t="s">
        <v>16</v>
      </c>
    </row>
    <row r="143" ht="14.25" customHeight="1">
      <c r="A143" s="2" t="s">
        <v>214</v>
      </c>
      <c r="B143" s="2" t="s">
        <v>30</v>
      </c>
      <c r="C143" s="2" t="s">
        <v>42</v>
      </c>
      <c r="D143" s="2" t="s">
        <v>43</v>
      </c>
      <c r="F143" s="3">
        <v>45102.0</v>
      </c>
      <c r="G143" s="3">
        <v>45324.0</v>
      </c>
      <c r="H143" s="2">
        <v>222.0</v>
      </c>
      <c r="I143" s="2">
        <v>1.963757335E9</v>
      </c>
      <c r="J143" s="2" t="s">
        <v>21</v>
      </c>
      <c r="K143" s="2" t="s">
        <v>22</v>
      </c>
    </row>
    <row r="144" ht="14.25" customHeight="1">
      <c r="A144" s="2" t="s">
        <v>215</v>
      </c>
      <c r="B144" s="2" t="s">
        <v>12</v>
      </c>
      <c r="C144" s="2" t="s">
        <v>36</v>
      </c>
      <c r="D144" s="2" t="s">
        <v>46</v>
      </c>
      <c r="E144" s="2">
        <v>39.46</v>
      </c>
      <c r="F144" s="3">
        <v>45125.0</v>
      </c>
      <c r="G144" s="3">
        <v>45419.0</v>
      </c>
      <c r="H144" s="2">
        <v>294.0</v>
      </c>
      <c r="I144" s="2">
        <v>4.375640747E9</v>
      </c>
      <c r="J144" s="2" t="s">
        <v>33</v>
      </c>
      <c r="K144" s="2" t="s">
        <v>22</v>
      </c>
    </row>
    <row r="145" ht="14.25" customHeight="1">
      <c r="A145" s="2" t="s">
        <v>216</v>
      </c>
      <c r="B145" s="2" t="s">
        <v>12</v>
      </c>
      <c r="C145" s="2" t="s">
        <v>48</v>
      </c>
      <c r="D145" s="2" t="s">
        <v>171</v>
      </c>
      <c r="E145" s="2">
        <v>39.5</v>
      </c>
      <c r="F145" s="3">
        <v>44985.0</v>
      </c>
      <c r="G145" s="3">
        <v>45186.0</v>
      </c>
      <c r="H145" s="2">
        <v>201.0</v>
      </c>
      <c r="I145" s="2">
        <v>1.585579247E9</v>
      </c>
      <c r="J145" s="2" t="s">
        <v>44</v>
      </c>
      <c r="K145" s="2" t="s">
        <v>22</v>
      </c>
    </row>
    <row r="146" ht="14.25" customHeight="1">
      <c r="A146" s="2" t="s">
        <v>217</v>
      </c>
      <c r="B146" s="2" t="s">
        <v>18</v>
      </c>
      <c r="C146" s="2" t="s">
        <v>31</v>
      </c>
      <c r="D146" s="2" t="s">
        <v>74</v>
      </c>
      <c r="F146" s="3">
        <v>45136.0</v>
      </c>
      <c r="G146" s="3">
        <v>45177.0</v>
      </c>
      <c r="H146" s="2">
        <v>41.0</v>
      </c>
      <c r="I146" s="2">
        <v>1.850611125E9</v>
      </c>
      <c r="J146" s="2" t="s">
        <v>50</v>
      </c>
      <c r="K146" s="2" t="s">
        <v>22</v>
      </c>
    </row>
    <row r="147" ht="14.25" customHeight="1">
      <c r="A147" s="2" t="s">
        <v>218</v>
      </c>
      <c r="B147" s="2" t="s">
        <v>60</v>
      </c>
      <c r="C147" s="2" t="s">
        <v>19</v>
      </c>
      <c r="D147" s="2" t="s">
        <v>87</v>
      </c>
      <c r="F147" s="3">
        <v>45082.0</v>
      </c>
      <c r="G147" s="3">
        <v>45410.0</v>
      </c>
      <c r="H147" s="2">
        <v>328.0</v>
      </c>
      <c r="I147" s="2">
        <v>1.625156384E9</v>
      </c>
      <c r="J147" s="2" t="s">
        <v>21</v>
      </c>
      <c r="K147" s="2" t="s">
        <v>16</v>
      </c>
    </row>
    <row r="148" ht="14.25" customHeight="1">
      <c r="A148" s="2" t="s">
        <v>219</v>
      </c>
      <c r="B148" s="2" t="s">
        <v>35</v>
      </c>
      <c r="C148" s="2" t="s">
        <v>42</v>
      </c>
      <c r="D148" s="2" t="s">
        <v>69</v>
      </c>
      <c r="E148" s="2">
        <v>4.21</v>
      </c>
      <c r="F148" s="3">
        <v>45415.0</v>
      </c>
      <c r="G148" s="3">
        <v>45159.0</v>
      </c>
      <c r="H148" s="2">
        <v>-256.0</v>
      </c>
      <c r="I148" s="2">
        <v>3.711289401E9</v>
      </c>
      <c r="J148" s="2" t="s">
        <v>26</v>
      </c>
      <c r="K148" s="2" t="s">
        <v>16</v>
      </c>
    </row>
    <row r="149" ht="14.25" customHeight="1">
      <c r="A149" s="2" t="s">
        <v>220</v>
      </c>
      <c r="B149" s="2" t="s">
        <v>30</v>
      </c>
      <c r="C149" s="2" t="s">
        <v>31</v>
      </c>
      <c r="D149" s="2" t="s">
        <v>32</v>
      </c>
      <c r="F149" s="3">
        <v>45191.0</v>
      </c>
      <c r="G149" s="3">
        <v>45375.0</v>
      </c>
      <c r="H149" s="2">
        <v>184.0</v>
      </c>
      <c r="I149" s="2">
        <v>5.47874456E8</v>
      </c>
      <c r="J149" s="2" t="s">
        <v>21</v>
      </c>
      <c r="K149" s="2" t="s">
        <v>22</v>
      </c>
    </row>
    <row r="150" ht="14.25" customHeight="1">
      <c r="A150" s="2" t="s">
        <v>221</v>
      </c>
      <c r="B150" s="2" t="s">
        <v>12</v>
      </c>
      <c r="C150" s="2" t="s">
        <v>36</v>
      </c>
      <c r="D150" s="2" t="s">
        <v>46</v>
      </c>
      <c r="E150" s="2">
        <v>47.33</v>
      </c>
      <c r="F150" s="3">
        <v>45130.0</v>
      </c>
      <c r="G150" s="3">
        <v>45407.0</v>
      </c>
      <c r="H150" s="2">
        <v>277.0</v>
      </c>
      <c r="I150" s="2">
        <v>2.418194939E9</v>
      </c>
      <c r="J150" s="2" t="s">
        <v>15</v>
      </c>
      <c r="K150" s="2" t="s">
        <v>22</v>
      </c>
    </row>
    <row r="151" ht="14.25" customHeight="1">
      <c r="A151" s="2" t="s">
        <v>222</v>
      </c>
      <c r="B151" s="2" t="s">
        <v>18</v>
      </c>
      <c r="C151" s="2" t="s">
        <v>24</v>
      </c>
      <c r="D151" s="2" t="s">
        <v>95</v>
      </c>
      <c r="F151" s="3">
        <v>45196.0</v>
      </c>
      <c r="G151" s="3">
        <v>45429.0</v>
      </c>
      <c r="H151" s="2">
        <v>233.0</v>
      </c>
      <c r="I151" s="2">
        <v>2.48290463E9</v>
      </c>
      <c r="J151" s="2" t="s">
        <v>44</v>
      </c>
      <c r="K151" s="2" t="s">
        <v>16</v>
      </c>
    </row>
    <row r="152" ht="14.25" customHeight="1">
      <c r="A152" s="2" t="s">
        <v>223</v>
      </c>
      <c r="B152" s="2" t="s">
        <v>60</v>
      </c>
      <c r="C152" s="2" t="s">
        <v>24</v>
      </c>
      <c r="D152" s="2" t="s">
        <v>80</v>
      </c>
      <c r="F152" s="3">
        <v>45202.0</v>
      </c>
      <c r="G152" s="3">
        <v>45487.0</v>
      </c>
      <c r="H152" s="2">
        <v>285.0</v>
      </c>
      <c r="I152" s="2">
        <v>3.421181479E9</v>
      </c>
      <c r="J152" s="2" t="s">
        <v>44</v>
      </c>
      <c r="K152" s="2" t="s">
        <v>16</v>
      </c>
    </row>
    <row r="153" ht="14.25" customHeight="1">
      <c r="A153" s="2" t="s">
        <v>224</v>
      </c>
      <c r="B153" s="2" t="s">
        <v>30</v>
      </c>
      <c r="C153" s="2" t="s">
        <v>36</v>
      </c>
      <c r="D153" s="2" t="s">
        <v>93</v>
      </c>
      <c r="F153" s="3">
        <v>45205.0</v>
      </c>
      <c r="G153" s="3">
        <v>45384.0</v>
      </c>
      <c r="H153" s="2">
        <v>179.0</v>
      </c>
      <c r="I153" s="2">
        <v>4.228748356E9</v>
      </c>
      <c r="J153" s="2" t="s">
        <v>15</v>
      </c>
      <c r="K153" s="2" t="s">
        <v>16</v>
      </c>
    </row>
    <row r="154" ht="14.25" customHeight="1">
      <c r="A154" s="2" t="s">
        <v>225</v>
      </c>
      <c r="B154" s="2" t="s">
        <v>18</v>
      </c>
      <c r="C154" s="2" t="s">
        <v>39</v>
      </c>
      <c r="D154" s="2" t="s">
        <v>53</v>
      </c>
      <c r="F154" s="3">
        <v>45003.0</v>
      </c>
      <c r="G154" s="3">
        <v>45165.0</v>
      </c>
      <c r="H154" s="2">
        <v>162.0</v>
      </c>
      <c r="I154" s="2">
        <v>3.119949557E9</v>
      </c>
      <c r="J154" s="2" t="s">
        <v>15</v>
      </c>
      <c r="K154" s="2" t="s">
        <v>22</v>
      </c>
    </row>
    <row r="155" ht="14.25" customHeight="1">
      <c r="A155" s="2" t="s">
        <v>226</v>
      </c>
      <c r="B155" s="2" t="s">
        <v>60</v>
      </c>
      <c r="C155" s="2" t="s">
        <v>42</v>
      </c>
      <c r="D155" s="2" t="s">
        <v>154</v>
      </c>
      <c r="F155" s="3">
        <v>45202.0</v>
      </c>
      <c r="G155" s="3">
        <v>45456.0</v>
      </c>
      <c r="H155" s="2">
        <v>254.0</v>
      </c>
      <c r="I155" s="2">
        <v>4.443050926E9</v>
      </c>
      <c r="J155" s="2" t="s">
        <v>50</v>
      </c>
      <c r="K155" s="2" t="s">
        <v>16</v>
      </c>
    </row>
    <row r="156" ht="14.25" customHeight="1">
      <c r="A156" s="2" t="s">
        <v>227</v>
      </c>
      <c r="B156" s="2" t="s">
        <v>35</v>
      </c>
      <c r="C156" s="2" t="s">
        <v>13</v>
      </c>
      <c r="D156" s="2" t="s">
        <v>78</v>
      </c>
      <c r="E156" s="2">
        <v>2.17</v>
      </c>
      <c r="F156" s="3">
        <v>45084.0</v>
      </c>
      <c r="G156" s="3">
        <v>45303.0</v>
      </c>
      <c r="H156" s="2">
        <v>219.0</v>
      </c>
      <c r="I156" s="2">
        <v>1.778345207E9</v>
      </c>
      <c r="J156" s="2" t="s">
        <v>44</v>
      </c>
      <c r="K156" s="2" t="s">
        <v>22</v>
      </c>
    </row>
    <row r="157" ht="14.25" customHeight="1">
      <c r="A157" s="2" t="s">
        <v>228</v>
      </c>
      <c r="B157" s="2" t="s">
        <v>30</v>
      </c>
      <c r="C157" s="2" t="s">
        <v>31</v>
      </c>
      <c r="D157" s="2" t="s">
        <v>32</v>
      </c>
      <c r="F157" s="3">
        <v>45063.0</v>
      </c>
      <c r="G157" s="3">
        <v>45274.0</v>
      </c>
      <c r="H157" s="2">
        <v>211.0</v>
      </c>
      <c r="I157" s="2">
        <v>4.91439518E9</v>
      </c>
      <c r="J157" s="2" t="s">
        <v>26</v>
      </c>
      <c r="K157" s="2" t="s">
        <v>22</v>
      </c>
    </row>
    <row r="158" ht="14.25" customHeight="1">
      <c r="A158" s="2" t="s">
        <v>229</v>
      </c>
      <c r="B158" s="2" t="s">
        <v>12</v>
      </c>
      <c r="C158" s="2" t="s">
        <v>24</v>
      </c>
      <c r="D158" s="2" t="s">
        <v>25</v>
      </c>
      <c r="E158" s="2">
        <v>32.21</v>
      </c>
      <c r="F158" s="3">
        <v>45259.0</v>
      </c>
      <c r="G158" s="3">
        <v>45542.0</v>
      </c>
      <c r="H158" s="2">
        <v>283.0</v>
      </c>
      <c r="I158" s="2">
        <v>4.064388909E9</v>
      </c>
      <c r="J158" s="2" t="s">
        <v>67</v>
      </c>
      <c r="K158" s="2" t="s">
        <v>22</v>
      </c>
    </row>
    <row r="159" ht="14.25" customHeight="1">
      <c r="A159" s="2" t="s">
        <v>230</v>
      </c>
      <c r="B159" s="2" t="s">
        <v>60</v>
      </c>
      <c r="C159" s="2" t="s">
        <v>31</v>
      </c>
      <c r="D159" s="2" t="s">
        <v>111</v>
      </c>
      <c r="F159" s="3">
        <v>45088.0</v>
      </c>
      <c r="G159" s="3">
        <v>45402.0</v>
      </c>
      <c r="H159" s="2">
        <v>314.0</v>
      </c>
      <c r="I159" s="2">
        <v>3.220731279E9</v>
      </c>
      <c r="J159" s="2" t="s">
        <v>67</v>
      </c>
      <c r="K159" s="2" t="s">
        <v>22</v>
      </c>
    </row>
    <row r="160" ht="14.25" customHeight="1">
      <c r="A160" s="2" t="s">
        <v>231</v>
      </c>
      <c r="B160" s="2" t="s">
        <v>60</v>
      </c>
      <c r="C160" s="2" t="s">
        <v>48</v>
      </c>
      <c r="D160" s="2" t="s">
        <v>66</v>
      </c>
      <c r="F160" s="3">
        <v>45063.0</v>
      </c>
      <c r="G160" s="3">
        <v>45376.0</v>
      </c>
      <c r="H160" s="2">
        <v>313.0</v>
      </c>
      <c r="I160" s="2">
        <v>4.152891841E9</v>
      </c>
      <c r="K160" s="2" t="s">
        <v>16</v>
      </c>
    </row>
    <row r="161" ht="14.25" customHeight="1">
      <c r="A161" s="2" t="s">
        <v>232</v>
      </c>
      <c r="B161" s="2" t="s">
        <v>35</v>
      </c>
      <c r="C161" s="2" t="s">
        <v>13</v>
      </c>
      <c r="D161" s="2" t="s">
        <v>78</v>
      </c>
      <c r="E161" s="2">
        <v>1.18</v>
      </c>
      <c r="F161" s="3">
        <v>45258.0</v>
      </c>
      <c r="G161" s="3">
        <v>45497.0</v>
      </c>
      <c r="H161" s="2">
        <v>239.0</v>
      </c>
      <c r="I161" s="2">
        <v>1.158795044E9</v>
      </c>
      <c r="J161" s="2" t="s">
        <v>50</v>
      </c>
      <c r="K161" s="2" t="s">
        <v>22</v>
      </c>
    </row>
    <row r="162" ht="14.25" customHeight="1">
      <c r="A162" s="2" t="s">
        <v>233</v>
      </c>
      <c r="B162" s="2" t="s">
        <v>35</v>
      </c>
      <c r="C162" s="2" t="s">
        <v>39</v>
      </c>
      <c r="D162" s="2" t="s">
        <v>145</v>
      </c>
      <c r="E162" s="2">
        <v>4.31</v>
      </c>
      <c r="F162" s="3">
        <v>45098.0</v>
      </c>
      <c r="G162" s="3">
        <v>45142.0</v>
      </c>
      <c r="H162" s="2">
        <v>44.0</v>
      </c>
      <c r="I162" s="2">
        <v>1.663020609E9</v>
      </c>
      <c r="J162" s="2" t="s">
        <v>26</v>
      </c>
      <c r="K162" s="2" t="s">
        <v>16</v>
      </c>
    </row>
    <row r="163" ht="14.25" customHeight="1">
      <c r="A163" s="2" t="s">
        <v>234</v>
      </c>
      <c r="B163" s="2" t="s">
        <v>35</v>
      </c>
      <c r="C163" s="2" t="s">
        <v>36</v>
      </c>
      <c r="D163" s="2" t="s">
        <v>37</v>
      </c>
      <c r="E163" s="2">
        <v>4.65</v>
      </c>
      <c r="F163" s="3">
        <v>45269.0</v>
      </c>
      <c r="G163" s="3">
        <v>45594.0</v>
      </c>
      <c r="H163" s="2">
        <v>325.0</v>
      </c>
      <c r="I163" s="2">
        <v>3.615289684E9</v>
      </c>
      <c r="J163" s="2" t="s">
        <v>44</v>
      </c>
      <c r="K163" s="2" t="s">
        <v>22</v>
      </c>
    </row>
    <row r="164" ht="14.25" customHeight="1">
      <c r="A164" s="2" t="s">
        <v>235</v>
      </c>
      <c r="B164" s="2" t="s">
        <v>60</v>
      </c>
      <c r="C164" s="2" t="s">
        <v>24</v>
      </c>
      <c r="D164" s="2" t="s">
        <v>80</v>
      </c>
      <c r="F164" s="3">
        <v>45129.0</v>
      </c>
      <c r="G164" s="3">
        <v>45285.0</v>
      </c>
      <c r="H164" s="2">
        <v>156.0</v>
      </c>
      <c r="I164" s="2">
        <v>1.890861813E9</v>
      </c>
      <c r="J164" s="2" t="s">
        <v>26</v>
      </c>
      <c r="K164" s="2" t="s">
        <v>16</v>
      </c>
    </row>
    <row r="165" ht="14.25" customHeight="1">
      <c r="A165" s="2" t="s">
        <v>236</v>
      </c>
      <c r="B165" s="2" t="s">
        <v>12</v>
      </c>
      <c r="C165" s="2" t="s">
        <v>48</v>
      </c>
      <c r="D165" s="2" t="s">
        <v>171</v>
      </c>
      <c r="E165" s="2">
        <v>31.25</v>
      </c>
      <c r="F165" s="3">
        <v>45285.0</v>
      </c>
      <c r="G165" s="3">
        <v>45318.0</v>
      </c>
      <c r="H165" s="2">
        <v>33.0</v>
      </c>
      <c r="I165" s="2">
        <v>4.389350793E9</v>
      </c>
      <c r="K165" s="2" t="s">
        <v>22</v>
      </c>
    </row>
    <row r="166" ht="14.25" customHeight="1">
      <c r="A166" s="2" t="s">
        <v>237</v>
      </c>
      <c r="B166" s="2" t="s">
        <v>12</v>
      </c>
      <c r="C166" s="2" t="s">
        <v>39</v>
      </c>
      <c r="D166" s="2" t="s">
        <v>160</v>
      </c>
      <c r="E166" s="2">
        <v>34.65</v>
      </c>
      <c r="F166" s="3">
        <v>45235.0</v>
      </c>
      <c r="G166" s="3">
        <v>45313.0</v>
      </c>
      <c r="H166" s="2">
        <v>78.0</v>
      </c>
      <c r="I166" s="2">
        <v>3.565088059E9</v>
      </c>
      <c r="J166" s="2" t="s">
        <v>44</v>
      </c>
      <c r="K166" s="2" t="s">
        <v>16</v>
      </c>
    </row>
    <row r="167" ht="14.25" customHeight="1">
      <c r="A167" s="2" t="s">
        <v>238</v>
      </c>
      <c r="B167" s="2" t="s">
        <v>12</v>
      </c>
      <c r="C167" s="2" t="s">
        <v>24</v>
      </c>
      <c r="D167" s="2" t="s">
        <v>25</v>
      </c>
      <c r="E167" s="2">
        <v>7.94</v>
      </c>
      <c r="F167" s="3">
        <v>45093.0</v>
      </c>
      <c r="G167" s="3">
        <v>45337.0</v>
      </c>
      <c r="H167" s="2">
        <v>244.0</v>
      </c>
      <c r="I167" s="2">
        <v>4.866739357E9</v>
      </c>
      <c r="J167" s="2" t="s">
        <v>50</v>
      </c>
      <c r="K167" s="2" t="s">
        <v>16</v>
      </c>
    </row>
    <row r="168" ht="14.25" customHeight="1">
      <c r="A168" s="2" t="s">
        <v>239</v>
      </c>
      <c r="B168" s="2" t="s">
        <v>18</v>
      </c>
      <c r="C168" s="2" t="s">
        <v>13</v>
      </c>
      <c r="D168" s="2" t="s">
        <v>143</v>
      </c>
      <c r="F168" s="3">
        <v>45168.0</v>
      </c>
      <c r="G168" s="3">
        <v>45530.0</v>
      </c>
      <c r="H168" s="2">
        <v>362.0</v>
      </c>
      <c r="I168" s="2">
        <v>1.057875913E9</v>
      </c>
      <c r="K168" s="2" t="s">
        <v>16</v>
      </c>
    </row>
    <row r="169" ht="14.25" customHeight="1">
      <c r="A169" s="2" t="s">
        <v>240</v>
      </c>
      <c r="B169" s="2" t="s">
        <v>35</v>
      </c>
      <c r="C169" s="2" t="s">
        <v>42</v>
      </c>
      <c r="D169" s="2" t="s">
        <v>69</v>
      </c>
      <c r="E169" s="2">
        <v>1.3</v>
      </c>
      <c r="F169" s="3">
        <v>45226.0</v>
      </c>
      <c r="G169" s="3">
        <v>45467.0</v>
      </c>
      <c r="H169" s="2">
        <v>241.0</v>
      </c>
      <c r="I169" s="2">
        <v>4.06125476E9</v>
      </c>
      <c r="J169" s="2" t="s">
        <v>21</v>
      </c>
      <c r="K169" s="2" t="s">
        <v>22</v>
      </c>
    </row>
    <row r="170" ht="14.25" customHeight="1">
      <c r="A170" s="2" t="s">
        <v>241</v>
      </c>
      <c r="B170" s="2" t="s">
        <v>12</v>
      </c>
      <c r="C170" s="2" t="s">
        <v>42</v>
      </c>
      <c r="D170" s="2" t="s">
        <v>63</v>
      </c>
      <c r="E170" s="2">
        <v>27.9</v>
      </c>
      <c r="F170" s="3">
        <v>45260.0</v>
      </c>
      <c r="G170" s="3">
        <v>45376.0</v>
      </c>
      <c r="H170" s="2">
        <v>116.0</v>
      </c>
      <c r="I170" s="2">
        <v>3.016600291E9</v>
      </c>
      <c r="J170" s="2" t="s">
        <v>44</v>
      </c>
      <c r="K170" s="2" t="s">
        <v>22</v>
      </c>
    </row>
    <row r="171" ht="14.25" customHeight="1">
      <c r="A171" s="2" t="s">
        <v>242</v>
      </c>
      <c r="B171" s="2" t="s">
        <v>18</v>
      </c>
      <c r="C171" s="2" t="s">
        <v>39</v>
      </c>
      <c r="D171" s="2" t="s">
        <v>53</v>
      </c>
      <c r="F171" s="3">
        <v>45088.0</v>
      </c>
      <c r="G171" s="3">
        <v>45259.0</v>
      </c>
      <c r="H171" s="2">
        <v>171.0</v>
      </c>
      <c r="I171" s="2">
        <v>4.648730907E9</v>
      </c>
      <c r="J171" s="2" t="s">
        <v>50</v>
      </c>
      <c r="K171" s="2" t="s">
        <v>16</v>
      </c>
    </row>
    <row r="172" ht="14.25" customHeight="1">
      <c r="A172" s="2" t="s">
        <v>243</v>
      </c>
      <c r="B172" s="2" t="s">
        <v>35</v>
      </c>
      <c r="C172" s="2" t="s">
        <v>39</v>
      </c>
      <c r="D172" s="2" t="s">
        <v>145</v>
      </c>
      <c r="E172" s="2">
        <v>2.62</v>
      </c>
      <c r="F172" s="3">
        <v>44984.0</v>
      </c>
      <c r="G172" s="3">
        <v>45149.0</v>
      </c>
      <c r="H172" s="2">
        <v>165.0</v>
      </c>
      <c r="I172" s="2">
        <v>1.774149605E9</v>
      </c>
      <c r="J172" s="2" t="s">
        <v>44</v>
      </c>
      <c r="K172" s="2" t="s">
        <v>22</v>
      </c>
    </row>
    <row r="173" ht="14.25" customHeight="1">
      <c r="A173" s="2" t="s">
        <v>244</v>
      </c>
      <c r="B173" s="2" t="s">
        <v>12</v>
      </c>
      <c r="C173" s="2" t="s">
        <v>48</v>
      </c>
      <c r="D173" s="2" t="s">
        <v>171</v>
      </c>
      <c r="E173" s="2">
        <v>39.36</v>
      </c>
      <c r="F173" s="3">
        <v>45246.0</v>
      </c>
      <c r="G173" s="3">
        <v>45389.0</v>
      </c>
      <c r="H173" s="2">
        <v>143.0</v>
      </c>
      <c r="I173" s="2">
        <v>3.513788543E9</v>
      </c>
      <c r="J173" s="2" t="s">
        <v>50</v>
      </c>
      <c r="K173" s="2" t="s">
        <v>16</v>
      </c>
    </row>
    <row r="174" ht="14.25" customHeight="1">
      <c r="A174" s="2" t="s">
        <v>245</v>
      </c>
      <c r="B174" s="2" t="s">
        <v>12</v>
      </c>
      <c r="C174" s="2" t="s">
        <v>24</v>
      </c>
      <c r="D174" s="2" t="s">
        <v>25</v>
      </c>
      <c r="E174" s="2">
        <v>17.05</v>
      </c>
      <c r="F174" s="3">
        <v>45207.0</v>
      </c>
      <c r="G174" s="3">
        <v>45396.0</v>
      </c>
      <c r="H174" s="2">
        <v>189.0</v>
      </c>
      <c r="I174" s="2">
        <v>1.352682275E9</v>
      </c>
      <c r="J174" s="2" t="s">
        <v>21</v>
      </c>
      <c r="K174" s="2" t="s">
        <v>16</v>
      </c>
    </row>
    <row r="175" ht="14.25" customHeight="1">
      <c r="A175" s="2" t="s">
        <v>246</v>
      </c>
      <c r="B175" s="2" t="s">
        <v>12</v>
      </c>
      <c r="C175" s="2" t="s">
        <v>42</v>
      </c>
      <c r="D175" s="2" t="s">
        <v>63</v>
      </c>
      <c r="E175" s="2">
        <v>35.95</v>
      </c>
      <c r="F175" s="3">
        <v>45201.0</v>
      </c>
      <c r="G175" s="3">
        <v>45499.0</v>
      </c>
      <c r="H175" s="2">
        <v>298.0</v>
      </c>
      <c r="I175" s="2">
        <v>9.53206726E8</v>
      </c>
      <c r="J175" s="2" t="s">
        <v>15</v>
      </c>
      <c r="K175" s="2" t="s">
        <v>22</v>
      </c>
    </row>
    <row r="176" ht="14.25" customHeight="1">
      <c r="A176" s="2" t="s">
        <v>247</v>
      </c>
      <c r="B176" s="2" t="s">
        <v>35</v>
      </c>
      <c r="C176" s="2" t="s">
        <v>24</v>
      </c>
      <c r="D176" s="2" t="s">
        <v>133</v>
      </c>
      <c r="E176" s="2">
        <v>2.83</v>
      </c>
      <c r="F176" s="3">
        <v>44931.0</v>
      </c>
      <c r="G176" s="3">
        <v>44968.0</v>
      </c>
      <c r="H176" s="2">
        <v>37.0</v>
      </c>
      <c r="I176" s="2">
        <v>1.476759818E9</v>
      </c>
      <c r="J176" s="2" t="s">
        <v>44</v>
      </c>
      <c r="K176" s="2" t="s">
        <v>22</v>
      </c>
    </row>
    <row r="177" ht="14.25" customHeight="1">
      <c r="A177" s="2" t="s">
        <v>248</v>
      </c>
      <c r="B177" s="2" t="s">
        <v>30</v>
      </c>
      <c r="C177" s="2" t="s">
        <v>39</v>
      </c>
      <c r="D177" s="2" t="s">
        <v>40</v>
      </c>
      <c r="F177" s="3">
        <v>45248.0</v>
      </c>
      <c r="G177" s="3">
        <v>45481.0</v>
      </c>
      <c r="H177" s="2">
        <v>233.0</v>
      </c>
      <c r="I177" s="2">
        <v>1.375323193E9</v>
      </c>
      <c r="J177" s="2" t="s">
        <v>15</v>
      </c>
      <c r="K177" s="2" t="s">
        <v>16</v>
      </c>
    </row>
    <row r="178" ht="14.25" customHeight="1">
      <c r="A178" s="2" t="s">
        <v>249</v>
      </c>
      <c r="B178" s="2" t="s">
        <v>60</v>
      </c>
      <c r="C178" s="2" t="s">
        <v>42</v>
      </c>
      <c r="D178" s="2" t="s">
        <v>154</v>
      </c>
      <c r="F178" s="3">
        <v>44949.0</v>
      </c>
      <c r="G178" s="3">
        <v>45041.0</v>
      </c>
      <c r="H178" s="2">
        <v>92.0</v>
      </c>
      <c r="I178" s="2">
        <v>7.72760179E8</v>
      </c>
      <c r="J178" s="2" t="s">
        <v>50</v>
      </c>
      <c r="K178" s="2" t="s">
        <v>22</v>
      </c>
    </row>
    <row r="179" ht="14.25" customHeight="1">
      <c r="A179" s="2" t="s">
        <v>250</v>
      </c>
      <c r="B179" s="2" t="s">
        <v>18</v>
      </c>
      <c r="C179" s="2" t="s">
        <v>13</v>
      </c>
      <c r="D179" s="2" t="s">
        <v>143</v>
      </c>
      <c r="F179" s="3">
        <v>45178.0</v>
      </c>
      <c r="G179" s="3">
        <v>45540.0</v>
      </c>
      <c r="H179" s="2">
        <v>362.0</v>
      </c>
      <c r="I179" s="2">
        <v>4.866884991E9</v>
      </c>
      <c r="J179" s="2" t="s">
        <v>26</v>
      </c>
      <c r="K179" s="2" t="s">
        <v>22</v>
      </c>
    </row>
    <row r="180" ht="14.25" customHeight="1">
      <c r="A180" s="2" t="s">
        <v>251</v>
      </c>
      <c r="B180" s="2" t="s">
        <v>18</v>
      </c>
      <c r="C180" s="2" t="s">
        <v>31</v>
      </c>
      <c r="D180" s="2" t="s">
        <v>74</v>
      </c>
      <c r="F180" s="3">
        <v>45180.0</v>
      </c>
      <c r="G180" s="3">
        <v>45270.0</v>
      </c>
      <c r="H180" s="2">
        <v>90.0</v>
      </c>
      <c r="I180" s="2">
        <v>1.641075657E9</v>
      </c>
      <c r="K180" s="2" t="s">
        <v>22</v>
      </c>
    </row>
    <row r="181" ht="14.25" customHeight="1">
      <c r="A181" s="2" t="s">
        <v>252</v>
      </c>
      <c r="B181" s="2" t="s">
        <v>35</v>
      </c>
      <c r="C181" s="2" t="s">
        <v>24</v>
      </c>
      <c r="D181" s="2" t="s">
        <v>133</v>
      </c>
      <c r="E181" s="2">
        <v>2.21</v>
      </c>
      <c r="F181" s="3">
        <v>45184.0</v>
      </c>
      <c r="G181" s="3">
        <v>45534.0</v>
      </c>
      <c r="H181" s="2">
        <v>350.0</v>
      </c>
      <c r="I181" s="2">
        <v>3.916898592E9</v>
      </c>
      <c r="J181" s="2" t="s">
        <v>33</v>
      </c>
      <c r="K181" s="2" t="s">
        <v>16</v>
      </c>
    </row>
    <row r="182" ht="14.25" customHeight="1">
      <c r="A182" s="2" t="s">
        <v>253</v>
      </c>
      <c r="B182" s="2" t="s">
        <v>12</v>
      </c>
      <c r="C182" s="2" t="s">
        <v>42</v>
      </c>
      <c r="D182" s="2" t="s">
        <v>63</v>
      </c>
      <c r="E182" s="2">
        <v>43.74</v>
      </c>
      <c r="F182" s="3">
        <v>45124.0</v>
      </c>
      <c r="G182" s="3">
        <v>45258.0</v>
      </c>
      <c r="H182" s="2">
        <v>134.0</v>
      </c>
      <c r="I182" s="2">
        <v>2.274655285E9</v>
      </c>
      <c r="J182" s="2" t="s">
        <v>44</v>
      </c>
      <c r="K182" s="2" t="s">
        <v>16</v>
      </c>
    </row>
    <row r="183" ht="14.25" customHeight="1">
      <c r="A183" s="2" t="s">
        <v>254</v>
      </c>
      <c r="B183" s="2" t="s">
        <v>60</v>
      </c>
      <c r="C183" s="2" t="s">
        <v>24</v>
      </c>
      <c r="D183" s="2" t="s">
        <v>80</v>
      </c>
      <c r="F183" s="3">
        <v>45041.0</v>
      </c>
      <c r="G183" s="3">
        <v>45359.0</v>
      </c>
      <c r="H183" s="2">
        <v>318.0</v>
      </c>
      <c r="I183" s="2">
        <v>1.634701996E9</v>
      </c>
      <c r="J183" s="2" t="s">
        <v>50</v>
      </c>
      <c r="K183" s="2" t="s">
        <v>22</v>
      </c>
    </row>
    <row r="184" ht="14.25" customHeight="1">
      <c r="A184" s="2" t="s">
        <v>255</v>
      </c>
      <c r="B184" s="2" t="s">
        <v>35</v>
      </c>
      <c r="C184" s="2" t="s">
        <v>39</v>
      </c>
      <c r="D184" s="2" t="s">
        <v>145</v>
      </c>
      <c r="E184" s="2">
        <v>0.65</v>
      </c>
      <c r="F184" s="3">
        <v>45066.0</v>
      </c>
      <c r="G184" s="3">
        <v>45101.0</v>
      </c>
      <c r="H184" s="2">
        <v>35.0</v>
      </c>
      <c r="I184" s="2">
        <v>4.08478058E9</v>
      </c>
      <c r="K184" s="2" t="s">
        <v>16</v>
      </c>
    </row>
    <row r="185" ht="14.25" customHeight="1">
      <c r="A185" s="2" t="s">
        <v>256</v>
      </c>
      <c r="B185" s="2" t="s">
        <v>18</v>
      </c>
      <c r="C185" s="2" t="s">
        <v>48</v>
      </c>
      <c r="D185" s="2" t="s">
        <v>121</v>
      </c>
      <c r="F185" s="3">
        <v>45291.0</v>
      </c>
      <c r="G185" s="3">
        <v>45563.0</v>
      </c>
      <c r="H185" s="2">
        <v>272.0</v>
      </c>
      <c r="I185" s="2">
        <v>1.580823068E9</v>
      </c>
      <c r="J185" s="2" t="s">
        <v>67</v>
      </c>
      <c r="K185" s="2" t="s">
        <v>22</v>
      </c>
    </row>
    <row r="186" ht="14.25" customHeight="1">
      <c r="A186" s="2" t="s">
        <v>257</v>
      </c>
      <c r="B186" s="2" t="s">
        <v>30</v>
      </c>
      <c r="C186" s="2" t="s">
        <v>48</v>
      </c>
      <c r="D186" s="2" t="s">
        <v>101</v>
      </c>
      <c r="F186" s="3">
        <v>45208.0</v>
      </c>
      <c r="G186" s="3">
        <v>45271.0</v>
      </c>
      <c r="H186" s="2">
        <v>63.0</v>
      </c>
      <c r="I186" s="2">
        <v>1.173652345E9</v>
      </c>
      <c r="J186" s="2" t="s">
        <v>26</v>
      </c>
      <c r="K186" s="2" t="s">
        <v>22</v>
      </c>
    </row>
    <row r="187" ht="14.25" customHeight="1">
      <c r="A187" s="2" t="s">
        <v>258</v>
      </c>
      <c r="B187" s="2" t="s">
        <v>12</v>
      </c>
      <c r="C187" s="2" t="s">
        <v>39</v>
      </c>
      <c r="D187" s="2" t="s">
        <v>160</v>
      </c>
      <c r="E187" s="2">
        <v>19.23</v>
      </c>
      <c r="F187" s="3">
        <v>45037.0</v>
      </c>
      <c r="G187" s="3">
        <v>45384.0</v>
      </c>
      <c r="H187" s="2">
        <v>347.0</v>
      </c>
      <c r="I187" s="2">
        <v>1.303694088E9</v>
      </c>
      <c r="J187" s="2" t="s">
        <v>67</v>
      </c>
      <c r="K187" s="2" t="s">
        <v>22</v>
      </c>
    </row>
    <row r="188" ht="14.25" customHeight="1">
      <c r="A188" s="2" t="s">
        <v>259</v>
      </c>
      <c r="B188" s="2" t="s">
        <v>12</v>
      </c>
      <c r="C188" s="2" t="s">
        <v>36</v>
      </c>
      <c r="D188" s="2" t="s">
        <v>46</v>
      </c>
      <c r="E188" s="2">
        <v>38.34</v>
      </c>
      <c r="F188" s="3">
        <v>44943.0</v>
      </c>
      <c r="G188" s="3">
        <v>45136.0</v>
      </c>
      <c r="H188" s="2">
        <v>193.0</v>
      </c>
      <c r="I188" s="2">
        <v>4.720947844E9</v>
      </c>
      <c r="J188" s="2" t="s">
        <v>44</v>
      </c>
      <c r="K188" s="2" t="s">
        <v>16</v>
      </c>
    </row>
    <row r="189" ht="14.25" customHeight="1">
      <c r="A189" s="2" t="s">
        <v>260</v>
      </c>
      <c r="B189" s="2" t="s">
        <v>12</v>
      </c>
      <c r="C189" s="2" t="s">
        <v>48</v>
      </c>
      <c r="D189" s="2" t="s">
        <v>171</v>
      </c>
      <c r="E189" s="2">
        <v>29.6</v>
      </c>
      <c r="F189" s="3">
        <v>45072.0</v>
      </c>
      <c r="G189" s="3">
        <v>45310.0</v>
      </c>
      <c r="H189" s="2">
        <v>238.0</v>
      </c>
      <c r="I189" s="2">
        <v>3.015569136E9</v>
      </c>
      <c r="J189" s="2" t="s">
        <v>21</v>
      </c>
      <c r="K189" s="2" t="s">
        <v>16</v>
      </c>
    </row>
    <row r="190" ht="14.25" customHeight="1">
      <c r="A190" s="2" t="s">
        <v>261</v>
      </c>
      <c r="B190" s="2" t="s">
        <v>60</v>
      </c>
      <c r="C190" s="2" t="s">
        <v>48</v>
      </c>
      <c r="D190" s="2" t="s">
        <v>66</v>
      </c>
      <c r="F190" s="3">
        <v>45034.0</v>
      </c>
      <c r="G190" s="3">
        <v>45257.0</v>
      </c>
      <c r="H190" s="2">
        <v>223.0</v>
      </c>
      <c r="I190" s="2">
        <v>3.780953774E9</v>
      </c>
      <c r="J190" s="2" t="s">
        <v>33</v>
      </c>
      <c r="K190" s="2" t="s">
        <v>16</v>
      </c>
    </row>
    <row r="191" ht="14.25" customHeight="1">
      <c r="A191" s="2" t="s">
        <v>262</v>
      </c>
      <c r="B191" s="2" t="s">
        <v>30</v>
      </c>
      <c r="C191" s="2" t="s">
        <v>39</v>
      </c>
      <c r="D191" s="2" t="s">
        <v>40</v>
      </c>
      <c r="F191" s="3">
        <v>45118.0</v>
      </c>
      <c r="G191" s="3">
        <v>45394.0</v>
      </c>
      <c r="H191" s="2">
        <v>276.0</v>
      </c>
      <c r="I191" s="2">
        <v>2.30579135E9</v>
      </c>
      <c r="J191" s="2" t="s">
        <v>15</v>
      </c>
      <c r="K191" s="2" t="s">
        <v>22</v>
      </c>
    </row>
    <row r="192" ht="14.25" customHeight="1">
      <c r="A192" s="2" t="s">
        <v>263</v>
      </c>
      <c r="B192" s="2" t="s">
        <v>18</v>
      </c>
      <c r="C192" s="2" t="s">
        <v>48</v>
      </c>
      <c r="D192" s="2" t="s">
        <v>121</v>
      </c>
      <c r="F192" s="3">
        <v>45253.0</v>
      </c>
      <c r="G192" s="3">
        <v>45512.0</v>
      </c>
      <c r="H192" s="2">
        <v>259.0</v>
      </c>
      <c r="I192" s="2">
        <v>1.518912249E9</v>
      </c>
      <c r="K192" s="2" t="s">
        <v>22</v>
      </c>
    </row>
    <row r="193" ht="14.25" customHeight="1">
      <c r="A193" s="2" t="s">
        <v>264</v>
      </c>
      <c r="B193" s="2" t="s">
        <v>35</v>
      </c>
      <c r="C193" s="2" t="s">
        <v>39</v>
      </c>
      <c r="D193" s="2" t="s">
        <v>145</v>
      </c>
      <c r="E193" s="2">
        <v>0.98</v>
      </c>
      <c r="F193" s="3">
        <v>44961.0</v>
      </c>
      <c r="G193" s="3">
        <v>45065.0</v>
      </c>
      <c r="H193" s="2">
        <v>104.0</v>
      </c>
      <c r="I193" s="2">
        <v>1.279199605E9</v>
      </c>
      <c r="J193" s="2" t="s">
        <v>21</v>
      </c>
      <c r="K193" s="2" t="s">
        <v>16</v>
      </c>
    </row>
    <row r="194" ht="14.25" customHeight="1">
      <c r="A194" s="2" t="s">
        <v>265</v>
      </c>
      <c r="B194" s="2" t="s">
        <v>35</v>
      </c>
      <c r="C194" s="2" t="s">
        <v>39</v>
      </c>
      <c r="D194" s="2" t="s">
        <v>145</v>
      </c>
      <c r="E194" s="2">
        <v>3.44</v>
      </c>
      <c r="F194" s="3">
        <v>45063.0</v>
      </c>
      <c r="G194" s="3">
        <v>45215.0</v>
      </c>
      <c r="H194" s="2">
        <v>152.0</v>
      </c>
      <c r="I194" s="2">
        <v>4.958343686E9</v>
      </c>
      <c r="J194" s="2" t="s">
        <v>21</v>
      </c>
      <c r="K194" s="2" t="s">
        <v>16</v>
      </c>
    </row>
    <row r="195" ht="14.25" customHeight="1">
      <c r="A195" s="2" t="s">
        <v>266</v>
      </c>
      <c r="B195" s="2" t="s">
        <v>18</v>
      </c>
      <c r="C195" s="2" t="s">
        <v>31</v>
      </c>
      <c r="D195" s="2" t="s">
        <v>74</v>
      </c>
      <c r="F195" s="3">
        <v>45170.0</v>
      </c>
      <c r="G195" s="3">
        <v>45454.0</v>
      </c>
      <c r="H195" s="2">
        <v>284.0</v>
      </c>
      <c r="I195" s="2">
        <v>4.494488602E9</v>
      </c>
      <c r="J195" s="2" t="s">
        <v>50</v>
      </c>
      <c r="K195" s="2" t="s">
        <v>16</v>
      </c>
    </row>
    <row r="196" ht="14.25" customHeight="1">
      <c r="A196" s="2" t="s">
        <v>267</v>
      </c>
      <c r="B196" s="2" t="s">
        <v>12</v>
      </c>
      <c r="C196" s="2" t="s">
        <v>48</v>
      </c>
      <c r="D196" s="2" t="s">
        <v>171</v>
      </c>
      <c r="E196" s="2">
        <v>9.74</v>
      </c>
      <c r="F196" s="3">
        <v>45045.0</v>
      </c>
      <c r="G196" s="3">
        <v>45324.0</v>
      </c>
      <c r="H196" s="2">
        <v>279.0</v>
      </c>
      <c r="I196" s="2">
        <v>8.57356531E8</v>
      </c>
      <c r="K196" s="2" t="s">
        <v>16</v>
      </c>
    </row>
    <row r="197" ht="14.25" customHeight="1">
      <c r="A197" s="2" t="s">
        <v>268</v>
      </c>
      <c r="B197" s="2" t="s">
        <v>35</v>
      </c>
      <c r="C197" s="2" t="s">
        <v>36</v>
      </c>
      <c r="D197" s="2" t="s">
        <v>37</v>
      </c>
      <c r="E197" s="2">
        <v>1.51</v>
      </c>
      <c r="F197" s="3">
        <v>44960.0</v>
      </c>
      <c r="G197" s="3">
        <v>45303.0</v>
      </c>
      <c r="H197" s="2">
        <v>343.0</v>
      </c>
      <c r="I197" s="2">
        <v>2.783329287E9</v>
      </c>
      <c r="J197" s="2" t="s">
        <v>21</v>
      </c>
      <c r="K197" s="2" t="s">
        <v>16</v>
      </c>
    </row>
    <row r="198" ht="14.25" customHeight="1">
      <c r="A198" s="2" t="s">
        <v>269</v>
      </c>
      <c r="B198" s="2" t="s">
        <v>12</v>
      </c>
      <c r="C198" s="2" t="s">
        <v>39</v>
      </c>
      <c r="D198" s="2" t="s">
        <v>160</v>
      </c>
      <c r="E198" s="2">
        <v>37.58</v>
      </c>
      <c r="F198" s="3">
        <v>45052.0</v>
      </c>
      <c r="G198" s="3">
        <v>45253.0</v>
      </c>
      <c r="H198" s="2">
        <v>201.0</v>
      </c>
      <c r="I198" s="2">
        <v>4.50809924E9</v>
      </c>
      <c r="J198" s="2" t="s">
        <v>44</v>
      </c>
      <c r="K198" s="2" t="s">
        <v>22</v>
      </c>
    </row>
    <row r="199" ht="14.25" customHeight="1">
      <c r="A199" s="2" t="s">
        <v>270</v>
      </c>
      <c r="B199" s="2" t="s">
        <v>12</v>
      </c>
      <c r="C199" s="2" t="s">
        <v>13</v>
      </c>
      <c r="D199" s="2" t="s">
        <v>14</v>
      </c>
      <c r="E199" s="2">
        <v>7.04</v>
      </c>
      <c r="F199" s="3">
        <v>44968.0</v>
      </c>
      <c r="G199" s="3">
        <v>45329.0</v>
      </c>
      <c r="H199" s="2">
        <v>361.0</v>
      </c>
      <c r="I199" s="2">
        <v>3.990758596E9</v>
      </c>
      <c r="J199" s="2" t="s">
        <v>21</v>
      </c>
      <c r="K199" s="2" t="s">
        <v>22</v>
      </c>
    </row>
    <row r="200" ht="14.25" customHeight="1">
      <c r="A200" s="2" t="s">
        <v>271</v>
      </c>
      <c r="B200" s="2" t="s">
        <v>18</v>
      </c>
      <c r="C200" s="2" t="s">
        <v>24</v>
      </c>
      <c r="D200" s="2" t="s">
        <v>95</v>
      </c>
      <c r="F200" s="3">
        <v>45138.0</v>
      </c>
      <c r="G200" s="3">
        <v>45446.0</v>
      </c>
      <c r="H200" s="2">
        <v>308.0</v>
      </c>
      <c r="I200" s="2">
        <v>9.40655692E8</v>
      </c>
      <c r="J200" s="2" t="s">
        <v>26</v>
      </c>
      <c r="K200" s="2" t="s">
        <v>22</v>
      </c>
    </row>
    <row r="201" ht="14.25" customHeight="1">
      <c r="A201" s="2" t="s">
        <v>272</v>
      </c>
      <c r="B201" s="2" t="s">
        <v>60</v>
      </c>
      <c r="C201" s="2" t="s">
        <v>36</v>
      </c>
      <c r="D201" s="2" t="s">
        <v>61</v>
      </c>
      <c r="F201" s="3">
        <v>45081.0</v>
      </c>
      <c r="G201" s="3">
        <v>45336.0</v>
      </c>
      <c r="H201" s="2">
        <v>255.0</v>
      </c>
      <c r="I201" s="2">
        <v>2.083772459E9</v>
      </c>
      <c r="J201" s="2" t="s">
        <v>44</v>
      </c>
      <c r="K201" s="2" t="s">
        <v>16</v>
      </c>
    </row>
    <row r="202" ht="14.25" customHeight="1">
      <c r="A202" s="2" t="s">
        <v>273</v>
      </c>
      <c r="B202" s="2" t="s">
        <v>12</v>
      </c>
      <c r="C202" s="2" t="s">
        <v>24</v>
      </c>
      <c r="D202" s="2" t="s">
        <v>25</v>
      </c>
      <c r="E202" s="2">
        <v>9.9</v>
      </c>
      <c r="F202" s="3">
        <v>45121.0</v>
      </c>
      <c r="G202" s="3">
        <v>45176.0</v>
      </c>
      <c r="H202" s="2">
        <v>55.0</v>
      </c>
      <c r="I202" s="2">
        <v>3.824418317E9</v>
      </c>
      <c r="J202" s="2" t="s">
        <v>26</v>
      </c>
      <c r="K202" s="2" t="s">
        <v>16</v>
      </c>
    </row>
    <row r="203" ht="14.25" customHeight="1">
      <c r="A203" s="2" t="s">
        <v>274</v>
      </c>
      <c r="B203" s="2" t="s">
        <v>30</v>
      </c>
      <c r="C203" s="2" t="s">
        <v>19</v>
      </c>
      <c r="D203" s="2" t="s">
        <v>58</v>
      </c>
      <c r="F203" s="3">
        <v>45231.0</v>
      </c>
      <c r="G203" s="3">
        <v>45434.0</v>
      </c>
      <c r="H203" s="2">
        <v>203.0</v>
      </c>
      <c r="I203" s="2">
        <v>3.062480137E9</v>
      </c>
      <c r="K203" s="2" t="s">
        <v>16</v>
      </c>
    </row>
    <row r="204" ht="14.25" customHeight="1">
      <c r="A204" s="2" t="s">
        <v>275</v>
      </c>
      <c r="B204" s="2" t="s">
        <v>35</v>
      </c>
      <c r="C204" s="2" t="s">
        <v>39</v>
      </c>
      <c r="D204" s="2" t="s">
        <v>145</v>
      </c>
      <c r="E204" s="2">
        <v>2.15</v>
      </c>
      <c r="F204" s="3">
        <v>45273.0</v>
      </c>
      <c r="G204" s="3">
        <v>45524.0</v>
      </c>
      <c r="H204" s="2">
        <v>251.0</v>
      </c>
      <c r="I204" s="2">
        <v>2.949204977E9</v>
      </c>
      <c r="K204" s="2" t="s">
        <v>16</v>
      </c>
    </row>
    <row r="205" ht="14.25" customHeight="1">
      <c r="A205" s="2" t="s">
        <v>276</v>
      </c>
      <c r="B205" s="2" t="s">
        <v>30</v>
      </c>
      <c r="C205" s="2" t="s">
        <v>24</v>
      </c>
      <c r="D205" s="2" t="s">
        <v>85</v>
      </c>
      <c r="F205" s="3">
        <v>45188.0</v>
      </c>
      <c r="G205" s="3">
        <v>45328.0</v>
      </c>
      <c r="H205" s="2">
        <v>140.0</v>
      </c>
      <c r="I205" s="2">
        <v>4.321942115E9</v>
      </c>
      <c r="J205" s="2" t="s">
        <v>67</v>
      </c>
      <c r="K205" s="2" t="s">
        <v>22</v>
      </c>
    </row>
    <row r="206" ht="14.25" customHeight="1">
      <c r="A206" s="2" t="s">
        <v>277</v>
      </c>
      <c r="B206" s="2" t="s">
        <v>18</v>
      </c>
      <c r="C206" s="2" t="s">
        <v>39</v>
      </c>
      <c r="D206" s="2" t="s">
        <v>53</v>
      </c>
      <c r="F206" s="3">
        <v>45093.0</v>
      </c>
      <c r="G206" s="3">
        <v>45280.0</v>
      </c>
      <c r="H206" s="2">
        <v>187.0</v>
      </c>
      <c r="I206" s="2">
        <v>1.748026967E9</v>
      </c>
      <c r="K206" s="2" t="s">
        <v>22</v>
      </c>
    </row>
    <row r="207" ht="14.25" customHeight="1">
      <c r="A207" s="2" t="s">
        <v>278</v>
      </c>
      <c r="B207" s="2" t="s">
        <v>18</v>
      </c>
      <c r="C207" s="2" t="s">
        <v>13</v>
      </c>
      <c r="D207" s="2" t="s">
        <v>143</v>
      </c>
      <c r="F207" s="3">
        <v>45231.0</v>
      </c>
      <c r="G207" s="3">
        <v>45567.0</v>
      </c>
      <c r="H207" s="2">
        <v>336.0</v>
      </c>
      <c r="I207" s="2">
        <v>3.876764247E9</v>
      </c>
      <c r="J207" s="2" t="s">
        <v>15</v>
      </c>
      <c r="K207" s="2" t="s">
        <v>16</v>
      </c>
    </row>
    <row r="208" ht="14.25" customHeight="1">
      <c r="A208" s="2" t="s">
        <v>279</v>
      </c>
      <c r="B208" s="2" t="s">
        <v>60</v>
      </c>
      <c r="C208" s="2" t="s">
        <v>36</v>
      </c>
      <c r="D208" s="2" t="s">
        <v>61</v>
      </c>
      <c r="F208" s="3">
        <v>45188.0</v>
      </c>
      <c r="G208" s="3">
        <v>45364.0</v>
      </c>
      <c r="H208" s="2">
        <v>176.0</v>
      </c>
      <c r="I208" s="2">
        <v>1.321085661E9</v>
      </c>
      <c r="J208" s="2" t="s">
        <v>44</v>
      </c>
      <c r="K208" s="2" t="s">
        <v>22</v>
      </c>
    </row>
    <row r="209" ht="14.25" customHeight="1">
      <c r="A209" s="2" t="s">
        <v>280</v>
      </c>
      <c r="B209" s="2" t="s">
        <v>18</v>
      </c>
      <c r="C209" s="2" t="s">
        <v>42</v>
      </c>
      <c r="D209" s="2" t="s">
        <v>135</v>
      </c>
      <c r="F209" s="3">
        <v>45096.0</v>
      </c>
      <c r="G209" s="3">
        <v>45428.0</v>
      </c>
      <c r="H209" s="2">
        <v>332.0</v>
      </c>
      <c r="I209" s="2">
        <v>4.2202383E9</v>
      </c>
      <c r="J209" s="2" t="s">
        <v>15</v>
      </c>
      <c r="K209" s="2" t="s">
        <v>22</v>
      </c>
    </row>
    <row r="210" ht="14.25" customHeight="1">
      <c r="A210" s="2" t="s">
        <v>281</v>
      </c>
      <c r="B210" s="2" t="s">
        <v>30</v>
      </c>
      <c r="C210" s="2" t="s">
        <v>42</v>
      </c>
      <c r="D210" s="2" t="s">
        <v>43</v>
      </c>
      <c r="F210" s="3">
        <v>45135.0</v>
      </c>
      <c r="G210" s="3">
        <v>45240.0</v>
      </c>
      <c r="H210" s="2">
        <v>105.0</v>
      </c>
      <c r="I210" s="2">
        <v>3.197702868E9</v>
      </c>
      <c r="J210" s="2" t="s">
        <v>44</v>
      </c>
      <c r="K210" s="2" t="s">
        <v>22</v>
      </c>
    </row>
    <row r="211" ht="14.25" customHeight="1">
      <c r="A211" s="2" t="s">
        <v>282</v>
      </c>
      <c r="B211" s="2" t="s">
        <v>12</v>
      </c>
      <c r="C211" s="2" t="s">
        <v>13</v>
      </c>
      <c r="D211" s="2" t="s">
        <v>14</v>
      </c>
      <c r="E211" s="2">
        <v>31.84</v>
      </c>
      <c r="F211" s="3">
        <v>45292.0</v>
      </c>
      <c r="G211" s="3">
        <v>45012.0</v>
      </c>
      <c r="H211" s="2">
        <v>-280.0</v>
      </c>
      <c r="I211" s="2">
        <v>6.52449658E8</v>
      </c>
      <c r="J211" s="2" t="s">
        <v>26</v>
      </c>
      <c r="K211" s="2" t="s">
        <v>22</v>
      </c>
    </row>
    <row r="212" ht="14.25" customHeight="1">
      <c r="A212" s="2" t="s">
        <v>283</v>
      </c>
      <c r="B212" s="2" t="s">
        <v>12</v>
      </c>
      <c r="C212" s="2" t="s">
        <v>13</v>
      </c>
      <c r="D212" s="2" t="s">
        <v>14</v>
      </c>
      <c r="E212" s="2">
        <v>13.87</v>
      </c>
      <c r="F212" s="3">
        <v>45024.0</v>
      </c>
      <c r="G212" s="3">
        <v>45121.0</v>
      </c>
      <c r="H212" s="2">
        <v>97.0</v>
      </c>
      <c r="I212" s="2">
        <v>2.771213419E9</v>
      </c>
      <c r="J212" s="2" t="s">
        <v>50</v>
      </c>
      <c r="K212" s="2" t="s">
        <v>22</v>
      </c>
    </row>
    <row r="213" ht="14.25" customHeight="1">
      <c r="A213" s="2" t="s">
        <v>284</v>
      </c>
      <c r="B213" s="2" t="s">
        <v>12</v>
      </c>
      <c r="C213" s="2" t="s">
        <v>24</v>
      </c>
      <c r="D213" s="2" t="s">
        <v>25</v>
      </c>
      <c r="E213" s="2">
        <v>27.55</v>
      </c>
      <c r="F213" s="3">
        <v>45240.0</v>
      </c>
      <c r="G213" s="3">
        <v>45434.0</v>
      </c>
      <c r="H213" s="2">
        <v>194.0</v>
      </c>
      <c r="I213" s="2">
        <v>3.06646733E9</v>
      </c>
      <c r="K213" s="2" t="s">
        <v>22</v>
      </c>
    </row>
    <row r="214" ht="14.25" customHeight="1">
      <c r="A214" s="2" t="s">
        <v>285</v>
      </c>
      <c r="B214" s="2" t="s">
        <v>60</v>
      </c>
      <c r="C214" s="2" t="s">
        <v>36</v>
      </c>
      <c r="D214" s="2" t="s">
        <v>61</v>
      </c>
      <c r="F214" s="3">
        <v>45169.0</v>
      </c>
      <c r="G214" s="3">
        <v>45200.0</v>
      </c>
      <c r="H214" s="2">
        <v>31.0</v>
      </c>
      <c r="I214" s="2">
        <v>3.71151106E9</v>
      </c>
      <c r="J214" s="2" t="s">
        <v>33</v>
      </c>
      <c r="K214" s="2" t="s">
        <v>16</v>
      </c>
    </row>
    <row r="215" ht="14.25" customHeight="1">
      <c r="A215" s="2" t="s">
        <v>286</v>
      </c>
      <c r="B215" s="2" t="s">
        <v>35</v>
      </c>
      <c r="C215" s="2" t="s">
        <v>48</v>
      </c>
      <c r="D215" s="2" t="s">
        <v>49</v>
      </c>
      <c r="E215" s="2">
        <v>4.14</v>
      </c>
      <c r="F215" s="3">
        <v>45073.0</v>
      </c>
      <c r="G215" s="3">
        <v>45400.0</v>
      </c>
      <c r="H215" s="2">
        <v>327.0</v>
      </c>
      <c r="I215" s="2">
        <v>2.407758581E9</v>
      </c>
      <c r="J215" s="2" t="s">
        <v>50</v>
      </c>
      <c r="K215" s="2" t="s">
        <v>16</v>
      </c>
    </row>
    <row r="216" ht="14.25" customHeight="1">
      <c r="A216" s="2" t="s">
        <v>287</v>
      </c>
      <c r="B216" s="2" t="s">
        <v>30</v>
      </c>
      <c r="C216" s="2" t="s">
        <v>13</v>
      </c>
      <c r="D216" s="2" t="s">
        <v>56</v>
      </c>
      <c r="F216" s="3">
        <v>45195.0</v>
      </c>
      <c r="G216" s="3">
        <v>45460.0</v>
      </c>
      <c r="H216" s="2">
        <v>265.0</v>
      </c>
      <c r="I216" s="2">
        <v>3.744434785E9</v>
      </c>
      <c r="J216" s="2" t="s">
        <v>21</v>
      </c>
      <c r="K216" s="2" t="s">
        <v>16</v>
      </c>
    </row>
    <row r="217" ht="14.25" customHeight="1">
      <c r="A217" s="2" t="s">
        <v>288</v>
      </c>
      <c r="B217" s="2" t="s">
        <v>30</v>
      </c>
      <c r="C217" s="2" t="s">
        <v>19</v>
      </c>
      <c r="D217" s="2" t="s">
        <v>58</v>
      </c>
      <c r="F217" s="3">
        <v>45154.0</v>
      </c>
      <c r="G217" s="3">
        <v>45311.0</v>
      </c>
      <c r="H217" s="2">
        <v>157.0</v>
      </c>
      <c r="I217" s="2">
        <v>1.660018717E9</v>
      </c>
      <c r="J217" s="2" t="s">
        <v>15</v>
      </c>
      <c r="K217" s="2" t="s">
        <v>16</v>
      </c>
    </row>
    <row r="218" ht="14.25" customHeight="1">
      <c r="A218" s="2" t="s">
        <v>289</v>
      </c>
      <c r="B218" s="2" t="s">
        <v>30</v>
      </c>
      <c r="C218" s="2" t="s">
        <v>31</v>
      </c>
      <c r="D218" s="2" t="s">
        <v>32</v>
      </c>
      <c r="F218" s="3">
        <v>45090.0</v>
      </c>
      <c r="G218" s="3">
        <v>45168.0</v>
      </c>
      <c r="H218" s="2">
        <v>78.0</v>
      </c>
      <c r="I218" s="2">
        <v>4.632542538E9</v>
      </c>
      <c r="J218" s="2" t="s">
        <v>21</v>
      </c>
      <c r="K218" s="2" t="s">
        <v>22</v>
      </c>
    </row>
    <row r="219" ht="14.25" customHeight="1">
      <c r="A219" s="2" t="s">
        <v>290</v>
      </c>
      <c r="B219" s="2" t="s">
        <v>30</v>
      </c>
      <c r="C219" s="2" t="s">
        <v>24</v>
      </c>
      <c r="D219" s="2" t="s">
        <v>85</v>
      </c>
      <c r="F219" s="3">
        <v>45018.0</v>
      </c>
      <c r="G219" s="3">
        <v>45371.0</v>
      </c>
      <c r="H219" s="2">
        <v>353.0</v>
      </c>
      <c r="I219" s="2">
        <v>1.793760247E9</v>
      </c>
      <c r="J219" s="2" t="s">
        <v>26</v>
      </c>
      <c r="K219" s="2" t="s">
        <v>22</v>
      </c>
    </row>
    <row r="220" ht="14.25" customHeight="1">
      <c r="A220" s="2" t="s">
        <v>291</v>
      </c>
      <c r="B220" s="2" t="s">
        <v>35</v>
      </c>
      <c r="C220" s="2" t="s">
        <v>19</v>
      </c>
      <c r="D220" s="2" t="s">
        <v>97</v>
      </c>
      <c r="E220" s="2">
        <v>0.55</v>
      </c>
      <c r="F220" s="3">
        <v>45096.0</v>
      </c>
      <c r="G220" s="3">
        <v>45199.0</v>
      </c>
      <c r="H220" s="2">
        <v>103.0</v>
      </c>
      <c r="I220" s="2">
        <v>4.724505308E9</v>
      </c>
      <c r="J220" s="2" t="s">
        <v>21</v>
      </c>
      <c r="K220" s="2" t="s">
        <v>22</v>
      </c>
    </row>
    <row r="221" ht="14.25" customHeight="1">
      <c r="A221" s="2" t="s">
        <v>292</v>
      </c>
      <c r="B221" s="2" t="s">
        <v>35</v>
      </c>
      <c r="C221" s="2" t="s">
        <v>19</v>
      </c>
      <c r="D221" s="2" t="s">
        <v>97</v>
      </c>
      <c r="E221" s="2">
        <v>2.41</v>
      </c>
      <c r="F221" s="3">
        <v>45011.0</v>
      </c>
      <c r="G221" s="3">
        <v>45235.0</v>
      </c>
      <c r="H221" s="2">
        <v>224.0</v>
      </c>
      <c r="I221" s="2">
        <v>4.788985825E9</v>
      </c>
      <c r="J221" s="2" t="s">
        <v>21</v>
      </c>
      <c r="K221" s="2" t="s">
        <v>16</v>
      </c>
    </row>
    <row r="222" ht="14.25" customHeight="1">
      <c r="A222" s="2" t="s">
        <v>293</v>
      </c>
      <c r="B222" s="2" t="s">
        <v>18</v>
      </c>
      <c r="C222" s="2" t="s">
        <v>13</v>
      </c>
      <c r="D222" s="2" t="s">
        <v>143</v>
      </c>
      <c r="F222" s="3">
        <v>45202.0</v>
      </c>
      <c r="G222" s="3">
        <v>45474.0</v>
      </c>
      <c r="H222" s="2">
        <v>272.0</v>
      </c>
      <c r="I222" s="2">
        <v>1.145758667E9</v>
      </c>
      <c r="K222" s="2" t="s">
        <v>16</v>
      </c>
    </row>
    <row r="223" ht="14.25" customHeight="1">
      <c r="A223" s="2" t="s">
        <v>294</v>
      </c>
      <c r="B223" s="2" t="s">
        <v>12</v>
      </c>
      <c r="C223" s="2" t="s">
        <v>36</v>
      </c>
      <c r="D223" s="2" t="s">
        <v>46</v>
      </c>
      <c r="E223" s="2">
        <v>44.64</v>
      </c>
      <c r="F223" s="3">
        <v>44974.0</v>
      </c>
      <c r="G223" s="3">
        <v>45112.0</v>
      </c>
      <c r="H223" s="2">
        <v>138.0</v>
      </c>
      <c r="I223" s="2">
        <v>3.499684673E9</v>
      </c>
      <c r="J223" s="2" t="s">
        <v>15</v>
      </c>
      <c r="K223" s="2" t="s">
        <v>22</v>
      </c>
    </row>
    <row r="224" ht="14.25" customHeight="1">
      <c r="A224" s="2" t="s">
        <v>295</v>
      </c>
      <c r="B224" s="2" t="s">
        <v>60</v>
      </c>
      <c r="C224" s="2" t="s">
        <v>39</v>
      </c>
      <c r="D224" s="2" t="s">
        <v>185</v>
      </c>
      <c r="F224" s="3">
        <v>45261.0</v>
      </c>
      <c r="G224" s="3">
        <v>45492.0</v>
      </c>
      <c r="H224" s="2">
        <v>231.0</v>
      </c>
      <c r="I224" s="2">
        <v>4.74353906E9</v>
      </c>
      <c r="J224" s="2" t="s">
        <v>67</v>
      </c>
      <c r="K224" s="2" t="s">
        <v>22</v>
      </c>
    </row>
    <row r="225" ht="14.25" customHeight="1">
      <c r="A225" s="2" t="s">
        <v>296</v>
      </c>
      <c r="B225" s="2" t="s">
        <v>18</v>
      </c>
      <c r="C225" s="2" t="s">
        <v>48</v>
      </c>
      <c r="D225" s="2" t="s">
        <v>121</v>
      </c>
      <c r="F225" s="3">
        <v>45248.0</v>
      </c>
      <c r="G225" s="3">
        <v>45412.0</v>
      </c>
      <c r="H225" s="2">
        <v>164.0</v>
      </c>
      <c r="I225" s="2">
        <v>2.491298309E9</v>
      </c>
      <c r="J225" s="2" t="s">
        <v>44</v>
      </c>
      <c r="K225" s="2" t="s">
        <v>16</v>
      </c>
    </row>
    <row r="226" ht="14.25" customHeight="1">
      <c r="A226" s="2" t="s">
        <v>297</v>
      </c>
      <c r="B226" s="2" t="s">
        <v>35</v>
      </c>
      <c r="C226" s="2" t="s">
        <v>48</v>
      </c>
      <c r="D226" s="2" t="s">
        <v>49</v>
      </c>
      <c r="E226" s="2">
        <v>2.24</v>
      </c>
      <c r="F226" s="3">
        <v>45026.0</v>
      </c>
      <c r="G226" s="3">
        <v>45305.0</v>
      </c>
      <c r="H226" s="2">
        <v>279.0</v>
      </c>
      <c r="I226" s="2">
        <v>2.570275649E9</v>
      </c>
      <c r="J226" s="2" t="s">
        <v>15</v>
      </c>
      <c r="K226" s="2" t="s">
        <v>16</v>
      </c>
    </row>
    <row r="227" ht="14.25" customHeight="1">
      <c r="A227" s="2" t="s">
        <v>298</v>
      </c>
      <c r="B227" s="2" t="s">
        <v>30</v>
      </c>
      <c r="C227" s="2" t="s">
        <v>39</v>
      </c>
      <c r="D227" s="2" t="s">
        <v>40</v>
      </c>
      <c r="F227" s="3">
        <v>45205.0</v>
      </c>
      <c r="G227" s="3">
        <v>45503.0</v>
      </c>
      <c r="H227" s="2">
        <v>298.0</v>
      </c>
      <c r="I227" s="2">
        <v>4.217635527E9</v>
      </c>
      <c r="K227" s="2" t="s">
        <v>16</v>
      </c>
    </row>
    <row r="228" ht="14.25" customHeight="1">
      <c r="A228" s="2" t="s">
        <v>299</v>
      </c>
      <c r="B228" s="2" t="s">
        <v>30</v>
      </c>
      <c r="C228" s="2" t="s">
        <v>31</v>
      </c>
      <c r="D228" s="2" t="s">
        <v>32</v>
      </c>
      <c r="F228" s="3">
        <v>44944.0</v>
      </c>
      <c r="G228" s="3">
        <v>45113.0</v>
      </c>
      <c r="H228" s="2">
        <v>169.0</v>
      </c>
      <c r="I228" s="2">
        <v>3.558908342E9</v>
      </c>
      <c r="J228" s="2" t="s">
        <v>33</v>
      </c>
      <c r="K228" s="2" t="s">
        <v>16</v>
      </c>
    </row>
    <row r="229" ht="14.25" customHeight="1">
      <c r="A229" s="2" t="s">
        <v>300</v>
      </c>
      <c r="B229" s="2" t="s">
        <v>12</v>
      </c>
      <c r="C229" s="2" t="s">
        <v>13</v>
      </c>
      <c r="D229" s="2" t="s">
        <v>14</v>
      </c>
      <c r="E229" s="2">
        <v>17.45</v>
      </c>
      <c r="F229" s="3">
        <v>44938.0</v>
      </c>
      <c r="G229" s="3">
        <v>45262.0</v>
      </c>
      <c r="H229" s="2">
        <v>324.0</v>
      </c>
      <c r="I229" s="2">
        <v>1.817176795E9</v>
      </c>
      <c r="J229" s="2" t="s">
        <v>26</v>
      </c>
      <c r="K229" s="2" t="s">
        <v>16</v>
      </c>
    </row>
    <row r="230" ht="14.25" customHeight="1">
      <c r="A230" s="2" t="s">
        <v>301</v>
      </c>
      <c r="B230" s="2" t="s">
        <v>60</v>
      </c>
      <c r="C230" s="2" t="s">
        <v>19</v>
      </c>
      <c r="D230" s="2" t="s">
        <v>87</v>
      </c>
      <c r="F230" s="3">
        <v>45290.0</v>
      </c>
      <c r="G230" s="3">
        <v>45461.0</v>
      </c>
      <c r="H230" s="2">
        <v>171.0</v>
      </c>
      <c r="I230" s="2">
        <v>3.293297304E9</v>
      </c>
      <c r="J230" s="2" t="s">
        <v>67</v>
      </c>
      <c r="K230" s="2" t="s">
        <v>16</v>
      </c>
    </row>
    <row r="231" ht="14.25" customHeight="1">
      <c r="A231" s="2" t="s">
        <v>302</v>
      </c>
      <c r="B231" s="2" t="s">
        <v>35</v>
      </c>
      <c r="C231" s="2" t="s">
        <v>48</v>
      </c>
      <c r="D231" s="2" t="s">
        <v>49</v>
      </c>
      <c r="E231" s="2">
        <v>0.38</v>
      </c>
      <c r="F231" s="3">
        <v>44971.0</v>
      </c>
      <c r="G231" s="3">
        <v>45232.0</v>
      </c>
      <c r="H231" s="2">
        <v>261.0</v>
      </c>
      <c r="I231" s="2">
        <v>2.9984711E9</v>
      </c>
      <c r="K231" s="2" t="s">
        <v>16</v>
      </c>
    </row>
    <row r="232" ht="14.25" customHeight="1">
      <c r="A232" s="2" t="s">
        <v>303</v>
      </c>
      <c r="B232" s="2" t="s">
        <v>30</v>
      </c>
      <c r="C232" s="2" t="s">
        <v>19</v>
      </c>
      <c r="D232" s="2" t="s">
        <v>58</v>
      </c>
      <c r="F232" s="3">
        <v>45246.0</v>
      </c>
      <c r="G232" s="3">
        <v>45343.0</v>
      </c>
      <c r="H232" s="2">
        <v>97.0</v>
      </c>
      <c r="I232" s="2">
        <v>2.930300248E9</v>
      </c>
      <c r="J232" s="2" t="s">
        <v>67</v>
      </c>
      <c r="K232" s="2" t="s">
        <v>22</v>
      </c>
    </row>
    <row r="233" ht="14.25" customHeight="1">
      <c r="A233" s="2" t="s">
        <v>304</v>
      </c>
      <c r="B233" s="2" t="s">
        <v>12</v>
      </c>
      <c r="C233" s="2" t="s">
        <v>48</v>
      </c>
      <c r="D233" s="2" t="s">
        <v>171</v>
      </c>
      <c r="E233" s="2">
        <v>44.82</v>
      </c>
      <c r="F233" s="3">
        <v>45472.0</v>
      </c>
      <c r="G233" s="3">
        <v>45179.0</v>
      </c>
      <c r="H233" s="2">
        <v>-293.0</v>
      </c>
      <c r="I233" s="2">
        <v>4.667145144E9</v>
      </c>
      <c r="J233" s="2" t="s">
        <v>21</v>
      </c>
      <c r="K233" s="2" t="s">
        <v>16</v>
      </c>
    </row>
    <row r="234" ht="14.25" customHeight="1">
      <c r="A234" s="2" t="s">
        <v>305</v>
      </c>
      <c r="B234" s="2" t="s">
        <v>30</v>
      </c>
      <c r="C234" s="2" t="s">
        <v>13</v>
      </c>
      <c r="D234" s="2" t="s">
        <v>56</v>
      </c>
      <c r="F234" s="3">
        <v>45204.0</v>
      </c>
      <c r="G234" s="3">
        <v>45308.0</v>
      </c>
      <c r="H234" s="2">
        <v>104.0</v>
      </c>
      <c r="I234" s="2">
        <v>1.920808828E9</v>
      </c>
      <c r="J234" s="2" t="s">
        <v>67</v>
      </c>
      <c r="K234" s="2" t="s">
        <v>16</v>
      </c>
    </row>
    <row r="235" ht="14.25" customHeight="1">
      <c r="A235" s="2" t="s">
        <v>306</v>
      </c>
      <c r="B235" s="2" t="s">
        <v>60</v>
      </c>
      <c r="C235" s="2" t="s">
        <v>36</v>
      </c>
      <c r="D235" s="2" t="s">
        <v>61</v>
      </c>
      <c r="F235" s="3">
        <v>45171.0</v>
      </c>
      <c r="G235" s="3">
        <v>45288.0</v>
      </c>
      <c r="H235" s="2">
        <v>117.0</v>
      </c>
      <c r="I235" s="2">
        <v>2.163683855E9</v>
      </c>
      <c r="J235" s="2" t="s">
        <v>67</v>
      </c>
      <c r="K235" s="2" t="s">
        <v>22</v>
      </c>
    </row>
    <row r="236" ht="14.25" customHeight="1">
      <c r="A236" s="2" t="s">
        <v>307</v>
      </c>
      <c r="B236" s="2" t="s">
        <v>12</v>
      </c>
      <c r="C236" s="2" t="s">
        <v>39</v>
      </c>
      <c r="D236" s="2" t="s">
        <v>160</v>
      </c>
      <c r="E236" s="2">
        <v>11.65</v>
      </c>
      <c r="F236" s="3">
        <v>45185.0</v>
      </c>
      <c r="G236" s="3">
        <v>45404.0</v>
      </c>
      <c r="H236" s="2">
        <v>219.0</v>
      </c>
      <c r="I236" s="2">
        <v>2.05696594E9</v>
      </c>
      <c r="J236" s="2" t="s">
        <v>50</v>
      </c>
      <c r="K236" s="2" t="s">
        <v>22</v>
      </c>
    </row>
    <row r="237" ht="14.25" customHeight="1">
      <c r="A237" s="2" t="s">
        <v>308</v>
      </c>
      <c r="B237" s="2" t="s">
        <v>60</v>
      </c>
      <c r="C237" s="2" t="s">
        <v>36</v>
      </c>
      <c r="D237" s="2" t="s">
        <v>61</v>
      </c>
      <c r="F237" s="3">
        <v>44967.0</v>
      </c>
      <c r="G237" s="3">
        <v>45099.0</v>
      </c>
      <c r="H237" s="2">
        <v>132.0</v>
      </c>
      <c r="I237" s="2">
        <v>1.454449529E9</v>
      </c>
      <c r="J237" s="2" t="s">
        <v>44</v>
      </c>
      <c r="K237" s="2" t="s">
        <v>16</v>
      </c>
    </row>
    <row r="238" ht="14.25" customHeight="1">
      <c r="A238" s="2" t="s">
        <v>309</v>
      </c>
      <c r="B238" s="2" t="s">
        <v>60</v>
      </c>
      <c r="C238" s="2" t="s">
        <v>42</v>
      </c>
      <c r="D238" s="2" t="s">
        <v>154</v>
      </c>
      <c r="F238" s="3">
        <v>45120.0</v>
      </c>
      <c r="G238" s="3">
        <v>45223.0</v>
      </c>
      <c r="H238" s="2">
        <v>103.0</v>
      </c>
      <c r="I238" s="2">
        <v>4.715607904E9</v>
      </c>
      <c r="J238" s="2" t="s">
        <v>15</v>
      </c>
      <c r="K238" s="2" t="s">
        <v>22</v>
      </c>
    </row>
    <row r="239" ht="14.25" customHeight="1">
      <c r="A239" s="2" t="s">
        <v>310</v>
      </c>
      <c r="B239" s="2" t="s">
        <v>35</v>
      </c>
      <c r="C239" s="2" t="s">
        <v>31</v>
      </c>
      <c r="D239" s="2" t="s">
        <v>91</v>
      </c>
      <c r="E239" s="2">
        <v>1.66</v>
      </c>
      <c r="F239" s="3">
        <v>45124.0</v>
      </c>
      <c r="G239" s="3">
        <v>45269.0</v>
      </c>
      <c r="H239" s="2">
        <v>145.0</v>
      </c>
      <c r="I239" s="2">
        <v>1.812854519E9</v>
      </c>
      <c r="J239" s="2" t="s">
        <v>67</v>
      </c>
      <c r="K239" s="2" t="s">
        <v>16</v>
      </c>
    </row>
    <row r="240" ht="14.25" customHeight="1">
      <c r="A240" s="2" t="s">
        <v>311</v>
      </c>
      <c r="B240" s="2" t="s">
        <v>18</v>
      </c>
      <c r="C240" s="2" t="s">
        <v>39</v>
      </c>
      <c r="D240" s="2" t="s">
        <v>53</v>
      </c>
      <c r="F240" s="3">
        <v>45162.0</v>
      </c>
      <c r="G240" s="3">
        <v>45516.0</v>
      </c>
      <c r="H240" s="2">
        <v>354.0</v>
      </c>
      <c r="I240" s="2">
        <v>4.980977566E9</v>
      </c>
      <c r="J240" s="2" t="s">
        <v>44</v>
      </c>
      <c r="K240" s="2" t="s">
        <v>22</v>
      </c>
    </row>
    <row r="241" ht="14.25" customHeight="1">
      <c r="A241" s="2" t="s">
        <v>312</v>
      </c>
      <c r="B241" s="2" t="s">
        <v>35</v>
      </c>
      <c r="C241" s="2" t="s">
        <v>36</v>
      </c>
      <c r="D241" s="2" t="s">
        <v>37</v>
      </c>
      <c r="E241" s="2">
        <v>3.44</v>
      </c>
      <c r="F241" s="3">
        <v>45390.0</v>
      </c>
      <c r="G241" s="3">
        <v>45213.0</v>
      </c>
      <c r="H241" s="2">
        <v>-177.0</v>
      </c>
      <c r="I241" s="2">
        <v>1.160042427E9</v>
      </c>
      <c r="J241" s="2" t="s">
        <v>50</v>
      </c>
      <c r="K241" s="2" t="s">
        <v>16</v>
      </c>
    </row>
    <row r="242" ht="14.25" customHeight="1">
      <c r="A242" s="2" t="s">
        <v>313</v>
      </c>
      <c r="B242" s="2" t="s">
        <v>30</v>
      </c>
      <c r="C242" s="2" t="s">
        <v>42</v>
      </c>
      <c r="D242" s="2" t="s">
        <v>43</v>
      </c>
      <c r="F242" s="3">
        <v>45202.0</v>
      </c>
      <c r="G242" s="3">
        <v>45551.0</v>
      </c>
      <c r="H242" s="2">
        <v>349.0</v>
      </c>
      <c r="I242" s="2">
        <v>4.33156709E9</v>
      </c>
      <c r="J242" s="2" t="s">
        <v>67</v>
      </c>
      <c r="K242" s="2" t="s">
        <v>16</v>
      </c>
    </row>
    <row r="243" ht="14.25" customHeight="1">
      <c r="A243" s="2" t="s">
        <v>314</v>
      </c>
      <c r="B243" s="2" t="s">
        <v>12</v>
      </c>
      <c r="C243" s="2" t="s">
        <v>31</v>
      </c>
      <c r="D243" s="2" t="s">
        <v>83</v>
      </c>
      <c r="E243" s="2">
        <v>17.72</v>
      </c>
      <c r="F243" s="3">
        <v>45184.0</v>
      </c>
      <c r="G243" s="3">
        <v>45239.0</v>
      </c>
      <c r="H243" s="2">
        <v>55.0</v>
      </c>
      <c r="I243" s="2">
        <v>3.198809649E9</v>
      </c>
      <c r="J243" s="2" t="s">
        <v>33</v>
      </c>
      <c r="K243" s="2" t="s">
        <v>22</v>
      </c>
    </row>
    <row r="244" ht="14.25" customHeight="1">
      <c r="A244" s="2" t="s">
        <v>315</v>
      </c>
      <c r="B244" s="2" t="s">
        <v>60</v>
      </c>
      <c r="C244" s="2" t="s">
        <v>31</v>
      </c>
      <c r="D244" s="2" t="s">
        <v>111</v>
      </c>
      <c r="F244" s="3">
        <v>45070.0</v>
      </c>
      <c r="G244" s="3">
        <v>45413.0</v>
      </c>
      <c r="H244" s="2">
        <v>343.0</v>
      </c>
      <c r="I244" s="2">
        <v>4.263411572E9</v>
      </c>
      <c r="J244" s="2" t="s">
        <v>33</v>
      </c>
      <c r="K244" s="2" t="s">
        <v>22</v>
      </c>
    </row>
    <row r="245" ht="14.25" customHeight="1">
      <c r="A245" s="2" t="s">
        <v>316</v>
      </c>
      <c r="B245" s="2" t="s">
        <v>12</v>
      </c>
      <c r="C245" s="2" t="s">
        <v>24</v>
      </c>
      <c r="D245" s="2" t="s">
        <v>25</v>
      </c>
      <c r="E245" s="2">
        <v>24.11</v>
      </c>
      <c r="F245" s="3">
        <v>45161.0</v>
      </c>
      <c r="G245" s="3">
        <v>45199.0</v>
      </c>
      <c r="H245" s="2">
        <v>38.0</v>
      </c>
      <c r="I245" s="2">
        <v>3.328213732E9</v>
      </c>
      <c r="J245" s="2" t="s">
        <v>50</v>
      </c>
      <c r="K245" s="2" t="s">
        <v>16</v>
      </c>
    </row>
    <row r="246" ht="14.25" customHeight="1">
      <c r="A246" s="2" t="s">
        <v>317</v>
      </c>
      <c r="B246" s="2" t="s">
        <v>60</v>
      </c>
      <c r="C246" s="2" t="s">
        <v>24</v>
      </c>
      <c r="D246" s="2" t="s">
        <v>80</v>
      </c>
      <c r="F246" s="3">
        <v>45278.0</v>
      </c>
      <c r="G246" s="3">
        <v>45634.0</v>
      </c>
      <c r="H246" s="2">
        <v>356.0</v>
      </c>
      <c r="I246" s="2">
        <v>2.543607494E9</v>
      </c>
      <c r="K246" s="2" t="s">
        <v>16</v>
      </c>
    </row>
    <row r="247" ht="14.25" customHeight="1">
      <c r="A247" s="2" t="s">
        <v>318</v>
      </c>
      <c r="B247" s="2" t="s">
        <v>18</v>
      </c>
      <c r="C247" s="2" t="s">
        <v>24</v>
      </c>
      <c r="D247" s="2" t="s">
        <v>95</v>
      </c>
      <c r="F247" s="3">
        <v>45144.0</v>
      </c>
      <c r="G247" s="3">
        <v>45215.0</v>
      </c>
      <c r="H247" s="2">
        <v>71.0</v>
      </c>
      <c r="I247" s="2">
        <v>4.117597225E9</v>
      </c>
      <c r="J247" s="2" t="s">
        <v>33</v>
      </c>
      <c r="K247" s="2" t="s">
        <v>16</v>
      </c>
    </row>
    <row r="248" ht="14.25" customHeight="1">
      <c r="A248" s="2" t="s">
        <v>319</v>
      </c>
      <c r="B248" s="2" t="s">
        <v>35</v>
      </c>
      <c r="C248" s="2" t="s">
        <v>24</v>
      </c>
      <c r="D248" s="2" t="s">
        <v>133</v>
      </c>
      <c r="E248" s="2">
        <v>2.49</v>
      </c>
      <c r="F248" s="3">
        <v>45017.0</v>
      </c>
      <c r="G248" s="3">
        <v>45267.0</v>
      </c>
      <c r="H248" s="2">
        <v>250.0</v>
      </c>
      <c r="I248" s="2">
        <v>1.046547805E9</v>
      </c>
      <c r="J248" s="2" t="s">
        <v>50</v>
      </c>
      <c r="K248" s="2" t="s">
        <v>16</v>
      </c>
    </row>
    <row r="249" ht="14.25" customHeight="1">
      <c r="A249" s="2" t="s">
        <v>320</v>
      </c>
      <c r="B249" s="2" t="s">
        <v>18</v>
      </c>
      <c r="C249" s="2" t="s">
        <v>48</v>
      </c>
      <c r="D249" s="2" t="s">
        <v>121</v>
      </c>
      <c r="F249" s="3">
        <v>45078.0</v>
      </c>
      <c r="G249" s="3">
        <v>45153.0</v>
      </c>
      <c r="H249" s="2">
        <v>75.0</v>
      </c>
      <c r="I249" s="2">
        <v>4.838938667E9</v>
      </c>
      <c r="J249" s="2" t="s">
        <v>67</v>
      </c>
      <c r="K249" s="2" t="s">
        <v>16</v>
      </c>
    </row>
    <row r="250" ht="14.25" customHeight="1">
      <c r="A250" s="2" t="s">
        <v>321</v>
      </c>
      <c r="B250" s="2" t="s">
        <v>12</v>
      </c>
      <c r="C250" s="2" t="s">
        <v>36</v>
      </c>
      <c r="D250" s="2" t="s">
        <v>46</v>
      </c>
      <c r="E250" s="2">
        <v>15.86</v>
      </c>
      <c r="F250" s="3">
        <v>44959.0</v>
      </c>
      <c r="G250" s="3">
        <v>45258.0</v>
      </c>
      <c r="H250" s="2">
        <v>299.0</v>
      </c>
      <c r="I250" s="2">
        <v>2.915483344E9</v>
      </c>
      <c r="J250" s="2" t="s">
        <v>67</v>
      </c>
      <c r="K250" s="2" t="s">
        <v>16</v>
      </c>
    </row>
    <row r="251" ht="14.25" customHeight="1">
      <c r="A251" s="2" t="s">
        <v>322</v>
      </c>
      <c r="B251" s="2" t="s">
        <v>30</v>
      </c>
      <c r="C251" s="2" t="s">
        <v>31</v>
      </c>
      <c r="D251" s="2" t="s">
        <v>32</v>
      </c>
      <c r="F251" s="3">
        <v>45335.0</v>
      </c>
      <c r="G251" s="3">
        <v>45153.0</v>
      </c>
      <c r="H251" s="2">
        <v>-182.0</v>
      </c>
      <c r="I251" s="2">
        <v>4.640113222E9</v>
      </c>
      <c r="J251" s="2" t="s">
        <v>15</v>
      </c>
      <c r="K251" s="2" t="s">
        <v>16</v>
      </c>
    </row>
    <row r="252" ht="14.25" customHeight="1">
      <c r="A252" s="2" t="s">
        <v>323</v>
      </c>
      <c r="B252" s="2" t="s">
        <v>30</v>
      </c>
      <c r="C252" s="2" t="s">
        <v>39</v>
      </c>
      <c r="D252" s="2" t="s">
        <v>40</v>
      </c>
      <c r="F252" s="3">
        <v>45028.0</v>
      </c>
      <c r="G252" s="3">
        <v>45097.0</v>
      </c>
      <c r="H252" s="2">
        <v>69.0</v>
      </c>
      <c r="I252" s="2">
        <v>2.935689766E9</v>
      </c>
      <c r="J252" s="2" t="s">
        <v>26</v>
      </c>
      <c r="K252" s="2" t="s">
        <v>22</v>
      </c>
    </row>
    <row r="253" ht="14.25" customHeight="1">
      <c r="A253" s="2" t="s">
        <v>324</v>
      </c>
      <c r="B253" s="2" t="s">
        <v>35</v>
      </c>
      <c r="C253" s="2" t="s">
        <v>36</v>
      </c>
      <c r="D253" s="2" t="s">
        <v>37</v>
      </c>
      <c r="E253" s="2">
        <v>1.86</v>
      </c>
      <c r="F253" s="3">
        <v>45137.0</v>
      </c>
      <c r="G253" s="3">
        <v>45306.0</v>
      </c>
      <c r="H253" s="2">
        <v>169.0</v>
      </c>
      <c r="I253" s="2">
        <v>9.74773495E8</v>
      </c>
      <c r="J253" s="2" t="s">
        <v>44</v>
      </c>
      <c r="K253" s="2" t="s">
        <v>22</v>
      </c>
    </row>
    <row r="254" ht="14.25" customHeight="1">
      <c r="A254" s="2" t="s">
        <v>325</v>
      </c>
      <c r="B254" s="2" t="s">
        <v>18</v>
      </c>
      <c r="C254" s="2" t="s">
        <v>13</v>
      </c>
      <c r="D254" s="2" t="s">
        <v>143</v>
      </c>
      <c r="F254" s="3">
        <v>45045.0</v>
      </c>
      <c r="G254" s="3">
        <v>45376.0</v>
      </c>
      <c r="H254" s="2">
        <v>331.0</v>
      </c>
      <c r="I254" s="2">
        <v>3.012652064E9</v>
      </c>
      <c r="J254" s="2" t="s">
        <v>21</v>
      </c>
      <c r="K254" s="2" t="s">
        <v>22</v>
      </c>
    </row>
    <row r="255" ht="14.25" customHeight="1">
      <c r="A255" s="2" t="s">
        <v>326</v>
      </c>
      <c r="B255" s="2" t="s">
        <v>60</v>
      </c>
      <c r="C255" s="2" t="s">
        <v>39</v>
      </c>
      <c r="D255" s="2" t="s">
        <v>185</v>
      </c>
      <c r="F255" s="3">
        <v>45017.0</v>
      </c>
      <c r="G255" s="3">
        <v>45372.0</v>
      </c>
      <c r="H255" s="2">
        <v>355.0</v>
      </c>
      <c r="I255" s="2">
        <v>4.897407711E9</v>
      </c>
      <c r="J255" s="2" t="s">
        <v>26</v>
      </c>
      <c r="K255" s="2" t="s">
        <v>22</v>
      </c>
    </row>
    <row r="256" ht="14.25" customHeight="1">
      <c r="A256" s="2" t="s">
        <v>327</v>
      </c>
      <c r="B256" s="2" t="s">
        <v>30</v>
      </c>
      <c r="C256" s="2" t="s">
        <v>31</v>
      </c>
      <c r="D256" s="2" t="s">
        <v>32</v>
      </c>
      <c r="F256" s="3">
        <v>45056.0</v>
      </c>
      <c r="G256" s="3">
        <v>45364.0</v>
      </c>
      <c r="H256" s="2">
        <v>308.0</v>
      </c>
      <c r="I256" s="2">
        <v>2.726774684E9</v>
      </c>
      <c r="J256" s="2" t="s">
        <v>44</v>
      </c>
      <c r="K256" s="2" t="s">
        <v>16</v>
      </c>
    </row>
    <row r="257" ht="14.25" customHeight="1">
      <c r="A257" s="2" t="s">
        <v>328</v>
      </c>
      <c r="B257" s="2" t="s">
        <v>12</v>
      </c>
      <c r="C257" s="2" t="s">
        <v>13</v>
      </c>
      <c r="D257" s="2" t="s">
        <v>14</v>
      </c>
      <c r="E257" s="2">
        <v>8.11</v>
      </c>
      <c r="F257" s="3">
        <v>45223.0</v>
      </c>
      <c r="G257" s="3">
        <v>45484.0</v>
      </c>
      <c r="H257" s="2">
        <v>261.0</v>
      </c>
      <c r="I257" s="2">
        <v>2.99923229E9</v>
      </c>
      <c r="J257" s="2" t="s">
        <v>21</v>
      </c>
      <c r="K257" s="2" t="s">
        <v>22</v>
      </c>
    </row>
    <row r="258" ht="14.25" customHeight="1">
      <c r="A258" s="2" t="s">
        <v>329</v>
      </c>
      <c r="B258" s="2" t="s">
        <v>12</v>
      </c>
      <c r="C258" s="2" t="s">
        <v>36</v>
      </c>
      <c r="D258" s="2" t="s">
        <v>46</v>
      </c>
      <c r="E258" s="2">
        <v>21.23</v>
      </c>
      <c r="F258" s="3">
        <v>45001.0</v>
      </c>
      <c r="G258" s="3">
        <v>45268.0</v>
      </c>
      <c r="H258" s="2">
        <v>267.0</v>
      </c>
      <c r="I258" s="2">
        <v>4.638344643E9</v>
      </c>
      <c r="J258" s="2" t="s">
        <v>33</v>
      </c>
      <c r="K258" s="2" t="s">
        <v>16</v>
      </c>
    </row>
    <row r="259" ht="14.25" customHeight="1">
      <c r="A259" s="2" t="s">
        <v>330</v>
      </c>
      <c r="B259" s="2" t="s">
        <v>18</v>
      </c>
      <c r="C259" s="2" t="s">
        <v>42</v>
      </c>
      <c r="D259" s="2" t="s">
        <v>135</v>
      </c>
      <c r="F259" s="3">
        <v>44991.0</v>
      </c>
      <c r="G259" s="3">
        <v>45338.0</v>
      </c>
      <c r="H259" s="2">
        <v>347.0</v>
      </c>
      <c r="I259" s="2">
        <v>2.072752674E9</v>
      </c>
      <c r="J259" s="2" t="s">
        <v>44</v>
      </c>
      <c r="K259" s="2" t="s">
        <v>22</v>
      </c>
    </row>
    <row r="260" ht="14.25" customHeight="1">
      <c r="A260" s="2" t="s">
        <v>331</v>
      </c>
      <c r="B260" s="2" t="s">
        <v>30</v>
      </c>
      <c r="C260" s="2" t="s">
        <v>42</v>
      </c>
      <c r="D260" s="2" t="s">
        <v>43</v>
      </c>
      <c r="F260" s="3">
        <v>45062.0</v>
      </c>
      <c r="G260" s="3">
        <v>45418.0</v>
      </c>
      <c r="H260" s="2">
        <v>356.0</v>
      </c>
      <c r="I260" s="2">
        <v>4.749246346E9</v>
      </c>
      <c r="J260" s="2" t="s">
        <v>33</v>
      </c>
      <c r="K260" s="2" t="s">
        <v>16</v>
      </c>
    </row>
    <row r="261" ht="14.25" customHeight="1">
      <c r="A261" s="2" t="s">
        <v>332</v>
      </c>
      <c r="B261" s="2" t="s">
        <v>60</v>
      </c>
      <c r="C261" s="2" t="s">
        <v>31</v>
      </c>
      <c r="D261" s="2" t="s">
        <v>111</v>
      </c>
      <c r="F261" s="3">
        <v>44941.0</v>
      </c>
      <c r="G261" s="3">
        <v>45290.0</v>
      </c>
      <c r="H261" s="2">
        <v>349.0</v>
      </c>
      <c r="I261" s="2">
        <v>4.857112605E9</v>
      </c>
      <c r="J261" s="2" t="s">
        <v>33</v>
      </c>
      <c r="K261" s="2" t="s">
        <v>16</v>
      </c>
    </row>
    <row r="262" ht="14.25" customHeight="1">
      <c r="A262" s="2" t="s">
        <v>333</v>
      </c>
      <c r="B262" s="2" t="s">
        <v>30</v>
      </c>
      <c r="C262" s="2" t="s">
        <v>13</v>
      </c>
      <c r="D262" s="2" t="s">
        <v>56</v>
      </c>
      <c r="F262" s="3">
        <v>44979.0</v>
      </c>
      <c r="G262" s="3">
        <v>45295.0</v>
      </c>
      <c r="H262" s="2">
        <v>316.0</v>
      </c>
      <c r="I262" s="2">
        <v>4.288641131E9</v>
      </c>
      <c r="J262" s="2" t="s">
        <v>26</v>
      </c>
      <c r="K262" s="2" t="s">
        <v>22</v>
      </c>
    </row>
    <row r="263" ht="14.25" customHeight="1">
      <c r="A263" s="2" t="s">
        <v>334</v>
      </c>
      <c r="B263" s="2" t="s">
        <v>60</v>
      </c>
      <c r="C263" s="2" t="s">
        <v>24</v>
      </c>
      <c r="D263" s="2" t="s">
        <v>80</v>
      </c>
      <c r="F263" s="3">
        <v>45261.0</v>
      </c>
      <c r="G263" s="3">
        <v>45525.0</v>
      </c>
      <c r="H263" s="2">
        <v>264.0</v>
      </c>
      <c r="I263" s="2">
        <v>3.496935941E9</v>
      </c>
      <c r="J263" s="2" t="s">
        <v>50</v>
      </c>
      <c r="K263" s="2" t="s">
        <v>16</v>
      </c>
    </row>
    <row r="264" ht="14.25" customHeight="1">
      <c r="A264" s="2" t="s">
        <v>335</v>
      </c>
      <c r="B264" s="2" t="s">
        <v>60</v>
      </c>
      <c r="C264" s="2" t="s">
        <v>39</v>
      </c>
      <c r="D264" s="2" t="s">
        <v>185</v>
      </c>
      <c r="F264" s="3">
        <v>45144.0</v>
      </c>
      <c r="G264" s="3">
        <v>45187.0</v>
      </c>
      <c r="H264" s="2">
        <v>43.0</v>
      </c>
      <c r="I264" s="2">
        <v>1.539616087E9</v>
      </c>
      <c r="K264" s="2" t="s">
        <v>16</v>
      </c>
    </row>
    <row r="265" ht="14.25" customHeight="1">
      <c r="A265" s="2" t="s">
        <v>336</v>
      </c>
      <c r="B265" s="2" t="s">
        <v>35</v>
      </c>
      <c r="C265" s="2" t="s">
        <v>36</v>
      </c>
      <c r="D265" s="2" t="s">
        <v>37</v>
      </c>
      <c r="E265" s="2">
        <v>4.92</v>
      </c>
      <c r="F265" s="3">
        <v>45095.0</v>
      </c>
      <c r="G265" s="3">
        <v>45423.0</v>
      </c>
      <c r="H265" s="2">
        <v>328.0</v>
      </c>
      <c r="I265" s="2">
        <v>4.812149293E9</v>
      </c>
      <c r="J265" s="2" t="s">
        <v>67</v>
      </c>
      <c r="K265" s="2" t="s">
        <v>22</v>
      </c>
    </row>
    <row r="266" ht="14.25" customHeight="1">
      <c r="A266" s="2" t="s">
        <v>337</v>
      </c>
      <c r="B266" s="2" t="s">
        <v>18</v>
      </c>
      <c r="C266" s="2" t="s">
        <v>19</v>
      </c>
      <c r="D266" s="2" t="s">
        <v>20</v>
      </c>
      <c r="F266" s="3">
        <v>44998.0</v>
      </c>
      <c r="G266" s="3">
        <v>45341.0</v>
      </c>
      <c r="H266" s="2">
        <v>343.0</v>
      </c>
      <c r="I266" s="2">
        <v>2.980746577E9</v>
      </c>
      <c r="K266" s="2" t="s">
        <v>16</v>
      </c>
    </row>
    <row r="267" ht="14.25" customHeight="1">
      <c r="A267" s="2" t="s">
        <v>338</v>
      </c>
      <c r="B267" s="2" t="s">
        <v>35</v>
      </c>
      <c r="C267" s="2" t="s">
        <v>39</v>
      </c>
      <c r="D267" s="2" t="s">
        <v>145</v>
      </c>
      <c r="E267" s="2">
        <v>1.03</v>
      </c>
      <c r="F267" s="3">
        <v>45226.0</v>
      </c>
      <c r="G267" s="3">
        <v>45426.0</v>
      </c>
      <c r="H267" s="2">
        <v>200.0</v>
      </c>
      <c r="I267" s="2">
        <v>2.671889204E9</v>
      </c>
      <c r="J267" s="2" t="s">
        <v>50</v>
      </c>
      <c r="K267" s="2" t="s">
        <v>16</v>
      </c>
    </row>
    <row r="268" ht="14.25" customHeight="1">
      <c r="A268" s="2" t="s">
        <v>339</v>
      </c>
      <c r="B268" s="2" t="s">
        <v>18</v>
      </c>
      <c r="C268" s="2" t="s">
        <v>39</v>
      </c>
      <c r="D268" s="2" t="s">
        <v>53</v>
      </c>
      <c r="F268" s="3">
        <v>45017.0</v>
      </c>
      <c r="G268" s="3">
        <v>45369.0</v>
      </c>
      <c r="H268" s="2">
        <v>352.0</v>
      </c>
      <c r="I268" s="2">
        <v>4.68463653E9</v>
      </c>
      <c r="J268" s="2" t="s">
        <v>33</v>
      </c>
      <c r="K268" s="2" t="s">
        <v>16</v>
      </c>
    </row>
    <row r="269" ht="14.25" customHeight="1">
      <c r="A269" s="2" t="s">
        <v>340</v>
      </c>
      <c r="B269" s="2" t="s">
        <v>35</v>
      </c>
      <c r="C269" s="2" t="s">
        <v>31</v>
      </c>
      <c r="D269" s="2" t="s">
        <v>91</v>
      </c>
      <c r="E269" s="2">
        <v>4.37</v>
      </c>
      <c r="F269" s="3">
        <v>45177.0</v>
      </c>
      <c r="G269" s="3">
        <v>45477.0</v>
      </c>
      <c r="H269" s="2">
        <v>300.0</v>
      </c>
      <c r="I269" s="2">
        <v>1.545635161E9</v>
      </c>
      <c r="J269" s="2" t="s">
        <v>67</v>
      </c>
      <c r="K269" s="2" t="s">
        <v>16</v>
      </c>
    </row>
    <row r="270" ht="14.25" customHeight="1">
      <c r="A270" s="2" t="s">
        <v>341</v>
      </c>
      <c r="B270" s="2" t="s">
        <v>60</v>
      </c>
      <c r="C270" s="2" t="s">
        <v>31</v>
      </c>
      <c r="D270" s="2" t="s">
        <v>111</v>
      </c>
      <c r="F270" s="3">
        <v>45287.0</v>
      </c>
      <c r="G270" s="3">
        <v>45624.0</v>
      </c>
      <c r="H270" s="2">
        <v>337.0</v>
      </c>
      <c r="I270" s="2">
        <v>3.841070246E9</v>
      </c>
      <c r="J270" s="2" t="s">
        <v>44</v>
      </c>
      <c r="K270" s="2" t="s">
        <v>16</v>
      </c>
    </row>
    <row r="271" ht="14.25" customHeight="1">
      <c r="A271" s="2" t="s">
        <v>342</v>
      </c>
      <c r="B271" s="2" t="s">
        <v>30</v>
      </c>
      <c r="C271" s="2" t="s">
        <v>36</v>
      </c>
      <c r="D271" s="2" t="s">
        <v>93</v>
      </c>
      <c r="F271" s="3">
        <v>45252.0</v>
      </c>
      <c r="G271" s="3">
        <v>45467.0</v>
      </c>
      <c r="H271" s="2">
        <v>215.0</v>
      </c>
      <c r="I271" s="2">
        <v>6.1093122E8</v>
      </c>
      <c r="J271" s="2" t="s">
        <v>50</v>
      </c>
      <c r="K271" s="2" t="s">
        <v>16</v>
      </c>
    </row>
    <row r="272" ht="14.25" customHeight="1">
      <c r="A272" s="2" t="s">
        <v>343</v>
      </c>
      <c r="B272" s="2" t="s">
        <v>12</v>
      </c>
      <c r="C272" s="2" t="s">
        <v>42</v>
      </c>
      <c r="D272" s="2" t="s">
        <v>63</v>
      </c>
      <c r="E272" s="2">
        <v>10.07</v>
      </c>
      <c r="F272" s="3">
        <v>45145.0</v>
      </c>
      <c r="G272" s="3">
        <v>45397.0</v>
      </c>
      <c r="H272" s="2">
        <v>252.0</v>
      </c>
      <c r="I272" s="2">
        <v>1.601274722E9</v>
      </c>
      <c r="J272" s="2" t="s">
        <v>44</v>
      </c>
      <c r="K272" s="2" t="s">
        <v>22</v>
      </c>
    </row>
    <row r="273" ht="14.25" customHeight="1">
      <c r="A273" s="2" t="s">
        <v>344</v>
      </c>
      <c r="B273" s="2" t="s">
        <v>60</v>
      </c>
      <c r="C273" s="2" t="s">
        <v>39</v>
      </c>
      <c r="D273" s="2" t="s">
        <v>185</v>
      </c>
      <c r="F273" s="3">
        <v>45240.0</v>
      </c>
      <c r="G273" s="3">
        <v>45074.0</v>
      </c>
      <c r="H273" s="2">
        <v>-166.0</v>
      </c>
      <c r="I273" s="2">
        <v>4.41545129E9</v>
      </c>
      <c r="K273" s="2" t="s">
        <v>16</v>
      </c>
    </row>
    <row r="274" ht="14.25" customHeight="1">
      <c r="A274" s="2" t="s">
        <v>345</v>
      </c>
      <c r="B274" s="2" t="s">
        <v>35</v>
      </c>
      <c r="C274" s="2" t="s">
        <v>24</v>
      </c>
      <c r="D274" s="2" t="s">
        <v>133</v>
      </c>
      <c r="E274" s="2">
        <v>1.05</v>
      </c>
      <c r="F274" s="3">
        <v>45245.0</v>
      </c>
      <c r="G274" s="3">
        <v>45585.0</v>
      </c>
      <c r="H274" s="2">
        <v>340.0</v>
      </c>
      <c r="I274" s="2">
        <v>2.215299265E9</v>
      </c>
      <c r="J274" s="2" t="s">
        <v>33</v>
      </c>
      <c r="K274" s="2" t="s">
        <v>16</v>
      </c>
    </row>
    <row r="275" ht="14.25" customHeight="1">
      <c r="A275" s="2" t="s">
        <v>346</v>
      </c>
      <c r="B275" s="2" t="s">
        <v>12</v>
      </c>
      <c r="C275" s="2" t="s">
        <v>24</v>
      </c>
      <c r="D275" s="2" t="s">
        <v>25</v>
      </c>
      <c r="E275" s="2">
        <v>37.86</v>
      </c>
      <c r="F275" s="3">
        <v>45214.0</v>
      </c>
      <c r="G275" s="3">
        <v>45488.0</v>
      </c>
      <c r="H275" s="2">
        <v>274.0</v>
      </c>
      <c r="I275" s="2">
        <v>1.342614562E9</v>
      </c>
      <c r="J275" s="2" t="s">
        <v>44</v>
      </c>
      <c r="K275" s="2" t="s">
        <v>16</v>
      </c>
    </row>
    <row r="276" ht="14.25" customHeight="1">
      <c r="A276" s="2" t="s">
        <v>347</v>
      </c>
      <c r="B276" s="2" t="s">
        <v>18</v>
      </c>
      <c r="C276" s="2" t="s">
        <v>48</v>
      </c>
      <c r="D276" s="2" t="s">
        <v>121</v>
      </c>
      <c r="F276" s="3">
        <v>45031.0</v>
      </c>
      <c r="G276" s="3">
        <v>45211.0</v>
      </c>
      <c r="H276" s="2">
        <v>180.0</v>
      </c>
      <c r="I276" s="2">
        <v>1.201979821E9</v>
      </c>
      <c r="J276" s="2" t="s">
        <v>21</v>
      </c>
      <c r="K276" s="2" t="s">
        <v>16</v>
      </c>
    </row>
    <row r="277" ht="14.25" customHeight="1">
      <c r="A277" s="2" t="s">
        <v>348</v>
      </c>
      <c r="B277" s="2" t="s">
        <v>35</v>
      </c>
      <c r="C277" s="2" t="s">
        <v>24</v>
      </c>
      <c r="D277" s="2" t="s">
        <v>133</v>
      </c>
      <c r="E277" s="2">
        <v>1.42</v>
      </c>
      <c r="F277" s="3">
        <v>45057.0</v>
      </c>
      <c r="G277" s="3">
        <v>45337.0</v>
      </c>
      <c r="H277" s="2">
        <v>280.0</v>
      </c>
      <c r="I277" s="2">
        <v>4.136994421E9</v>
      </c>
      <c r="J277" s="2" t="s">
        <v>15</v>
      </c>
      <c r="K277" s="2" t="s">
        <v>22</v>
      </c>
    </row>
    <row r="278" ht="14.25" customHeight="1">
      <c r="A278" s="2" t="s">
        <v>349</v>
      </c>
      <c r="B278" s="2" t="s">
        <v>18</v>
      </c>
      <c r="C278" s="2" t="s">
        <v>39</v>
      </c>
      <c r="D278" s="2" t="s">
        <v>53</v>
      </c>
      <c r="F278" s="3">
        <v>44974.0</v>
      </c>
      <c r="G278" s="3">
        <v>45230.0</v>
      </c>
      <c r="H278" s="2">
        <v>256.0</v>
      </c>
      <c r="I278" s="2">
        <v>4.149463273E9</v>
      </c>
      <c r="J278" s="2" t="s">
        <v>21</v>
      </c>
      <c r="K278" s="2" t="s">
        <v>22</v>
      </c>
    </row>
    <row r="279" ht="14.25" customHeight="1">
      <c r="A279" s="2" t="s">
        <v>350</v>
      </c>
      <c r="B279" s="2" t="s">
        <v>35</v>
      </c>
      <c r="C279" s="2" t="s">
        <v>31</v>
      </c>
      <c r="D279" s="2" t="s">
        <v>91</v>
      </c>
      <c r="E279" s="2">
        <v>1.13</v>
      </c>
      <c r="F279" s="3">
        <v>45227.0</v>
      </c>
      <c r="G279" s="3">
        <v>45478.0</v>
      </c>
      <c r="H279" s="2">
        <v>251.0</v>
      </c>
      <c r="I279" s="2">
        <v>2.964723228E9</v>
      </c>
      <c r="J279" s="2" t="s">
        <v>33</v>
      </c>
      <c r="K279" s="2" t="s">
        <v>16</v>
      </c>
    </row>
    <row r="280" ht="14.25" customHeight="1">
      <c r="A280" s="2" t="s">
        <v>351</v>
      </c>
      <c r="B280" s="2" t="s">
        <v>18</v>
      </c>
      <c r="C280" s="2" t="s">
        <v>42</v>
      </c>
      <c r="D280" s="2" t="s">
        <v>135</v>
      </c>
      <c r="F280" s="3">
        <v>45101.0</v>
      </c>
      <c r="G280" s="3">
        <v>45375.0</v>
      </c>
      <c r="H280" s="2">
        <v>274.0</v>
      </c>
      <c r="I280" s="2">
        <v>1.821127764E9</v>
      </c>
      <c r="K280" s="2" t="s">
        <v>16</v>
      </c>
    </row>
    <row r="281" ht="14.25" customHeight="1">
      <c r="A281" s="2" t="s">
        <v>352</v>
      </c>
      <c r="B281" s="2" t="s">
        <v>35</v>
      </c>
      <c r="C281" s="2" t="s">
        <v>13</v>
      </c>
      <c r="D281" s="2" t="s">
        <v>78</v>
      </c>
      <c r="E281" s="2">
        <v>2.95</v>
      </c>
      <c r="F281" s="3">
        <v>45199.0</v>
      </c>
      <c r="G281" s="3">
        <v>45276.0</v>
      </c>
      <c r="H281" s="2">
        <v>77.0</v>
      </c>
      <c r="I281" s="2">
        <v>3.567613167E9</v>
      </c>
      <c r="J281" s="2" t="s">
        <v>67</v>
      </c>
      <c r="K281" s="2" t="s">
        <v>22</v>
      </c>
    </row>
    <row r="282" ht="14.25" customHeight="1">
      <c r="A282" s="2" t="s">
        <v>353</v>
      </c>
      <c r="B282" s="2" t="s">
        <v>18</v>
      </c>
      <c r="C282" s="2" t="s">
        <v>39</v>
      </c>
      <c r="D282" s="2" t="s">
        <v>53</v>
      </c>
      <c r="F282" s="3">
        <v>45214.0</v>
      </c>
      <c r="G282" s="3">
        <v>45410.0</v>
      </c>
      <c r="H282" s="2">
        <v>196.0</v>
      </c>
      <c r="I282" s="2">
        <v>4.296222867E9</v>
      </c>
      <c r="K282" s="2" t="s">
        <v>16</v>
      </c>
    </row>
    <row r="283" ht="14.25" customHeight="1">
      <c r="A283" s="2" t="s">
        <v>354</v>
      </c>
      <c r="B283" s="2" t="s">
        <v>30</v>
      </c>
      <c r="C283" s="2" t="s">
        <v>31</v>
      </c>
      <c r="D283" s="2" t="s">
        <v>32</v>
      </c>
      <c r="F283" s="3">
        <v>45245.0</v>
      </c>
      <c r="G283" s="3">
        <v>45532.0</v>
      </c>
      <c r="H283" s="2">
        <v>287.0</v>
      </c>
      <c r="I283" s="2">
        <v>4.538110815E9</v>
      </c>
      <c r="K283" s="2" t="s">
        <v>16</v>
      </c>
    </row>
    <row r="284" ht="14.25" customHeight="1">
      <c r="A284" s="2" t="s">
        <v>355</v>
      </c>
      <c r="B284" s="2" t="s">
        <v>18</v>
      </c>
      <c r="C284" s="2" t="s">
        <v>24</v>
      </c>
      <c r="D284" s="2" t="s">
        <v>95</v>
      </c>
      <c r="F284" s="3">
        <v>45004.0</v>
      </c>
      <c r="G284" s="3">
        <v>45314.0</v>
      </c>
      <c r="H284" s="2">
        <v>310.0</v>
      </c>
      <c r="I284" s="2">
        <v>4.621897191E9</v>
      </c>
      <c r="J284" s="2" t="s">
        <v>26</v>
      </c>
      <c r="K284" s="2" t="s">
        <v>22</v>
      </c>
    </row>
    <row r="285" ht="14.25" customHeight="1">
      <c r="A285" s="2" t="s">
        <v>356</v>
      </c>
      <c r="B285" s="2" t="s">
        <v>30</v>
      </c>
      <c r="C285" s="2" t="s">
        <v>48</v>
      </c>
      <c r="D285" s="2" t="s">
        <v>101</v>
      </c>
      <c r="F285" s="3">
        <v>45245.0</v>
      </c>
      <c r="G285" s="3">
        <v>45333.0</v>
      </c>
      <c r="H285" s="2">
        <v>88.0</v>
      </c>
      <c r="I285" s="2">
        <v>1.91176685E9</v>
      </c>
      <c r="K285" s="2" t="s">
        <v>16</v>
      </c>
    </row>
    <row r="286" ht="14.25" customHeight="1">
      <c r="A286" s="2" t="s">
        <v>357</v>
      </c>
      <c r="B286" s="2" t="s">
        <v>30</v>
      </c>
      <c r="C286" s="2" t="s">
        <v>42</v>
      </c>
      <c r="D286" s="2" t="s">
        <v>43</v>
      </c>
      <c r="F286" s="3">
        <v>45061.0</v>
      </c>
      <c r="G286" s="3">
        <v>45294.0</v>
      </c>
      <c r="H286" s="2">
        <v>233.0</v>
      </c>
      <c r="I286" s="2">
        <v>4.222799055E9</v>
      </c>
      <c r="J286" s="2" t="s">
        <v>67</v>
      </c>
      <c r="K286" s="2" t="s">
        <v>16</v>
      </c>
    </row>
    <row r="287" ht="14.25" customHeight="1">
      <c r="A287" s="2" t="s">
        <v>358</v>
      </c>
      <c r="B287" s="2" t="s">
        <v>35</v>
      </c>
      <c r="C287" s="2" t="s">
        <v>48</v>
      </c>
      <c r="D287" s="2" t="s">
        <v>49</v>
      </c>
      <c r="E287" s="2">
        <v>0.51</v>
      </c>
      <c r="F287" s="3">
        <v>45241.0</v>
      </c>
      <c r="G287" s="3">
        <v>44946.0</v>
      </c>
      <c r="H287" s="2">
        <v>-295.0</v>
      </c>
      <c r="I287" s="2">
        <v>1.949935621E9</v>
      </c>
      <c r="J287" s="2" t="s">
        <v>21</v>
      </c>
      <c r="K287" s="2" t="s">
        <v>22</v>
      </c>
    </row>
    <row r="288" ht="14.25" customHeight="1">
      <c r="A288" s="2" t="s">
        <v>359</v>
      </c>
      <c r="B288" s="2" t="s">
        <v>60</v>
      </c>
      <c r="C288" s="2" t="s">
        <v>13</v>
      </c>
      <c r="D288" s="2" t="s">
        <v>182</v>
      </c>
      <c r="F288" s="3">
        <v>45178.0</v>
      </c>
      <c r="G288" s="3">
        <v>45457.0</v>
      </c>
      <c r="H288" s="2">
        <v>279.0</v>
      </c>
      <c r="I288" s="2">
        <v>2.047119931E9</v>
      </c>
      <c r="J288" s="2" t="s">
        <v>15</v>
      </c>
      <c r="K288" s="2" t="s">
        <v>16</v>
      </c>
    </row>
    <row r="289" ht="14.25" customHeight="1">
      <c r="A289" s="2" t="s">
        <v>360</v>
      </c>
      <c r="B289" s="2" t="s">
        <v>12</v>
      </c>
      <c r="C289" s="2" t="s">
        <v>39</v>
      </c>
      <c r="D289" s="2" t="s">
        <v>160</v>
      </c>
      <c r="E289" s="2">
        <v>26.24</v>
      </c>
      <c r="F289" s="3">
        <v>44973.0</v>
      </c>
      <c r="G289" s="3">
        <v>45289.0</v>
      </c>
      <c r="H289" s="2">
        <v>316.0</v>
      </c>
      <c r="I289" s="2">
        <v>2.337632873E9</v>
      </c>
      <c r="J289" s="2" t="s">
        <v>26</v>
      </c>
      <c r="K289" s="2" t="s">
        <v>22</v>
      </c>
    </row>
    <row r="290" ht="14.25" customHeight="1">
      <c r="A290" s="2" t="s">
        <v>361</v>
      </c>
      <c r="B290" s="2" t="s">
        <v>18</v>
      </c>
      <c r="C290" s="2" t="s">
        <v>42</v>
      </c>
      <c r="D290" s="2" t="s">
        <v>135</v>
      </c>
      <c r="F290" s="3">
        <v>44954.0</v>
      </c>
      <c r="G290" s="3">
        <v>45158.0</v>
      </c>
      <c r="H290" s="2">
        <v>204.0</v>
      </c>
      <c r="I290" s="2">
        <v>1.128305103E9</v>
      </c>
      <c r="J290" s="2" t="s">
        <v>21</v>
      </c>
      <c r="K290" s="2" t="s">
        <v>22</v>
      </c>
    </row>
    <row r="291" ht="14.25" customHeight="1">
      <c r="A291" s="2" t="s">
        <v>362</v>
      </c>
      <c r="B291" s="2" t="s">
        <v>35</v>
      </c>
      <c r="C291" s="2" t="s">
        <v>31</v>
      </c>
      <c r="D291" s="2" t="s">
        <v>91</v>
      </c>
      <c r="E291" s="2">
        <v>1.6</v>
      </c>
      <c r="F291" s="3">
        <v>44968.0</v>
      </c>
      <c r="G291" s="3">
        <v>45186.0</v>
      </c>
      <c r="H291" s="2">
        <v>218.0</v>
      </c>
      <c r="I291" s="2">
        <v>4.349786731E9</v>
      </c>
      <c r="J291" s="2" t="s">
        <v>26</v>
      </c>
      <c r="K291" s="2" t="s">
        <v>16</v>
      </c>
    </row>
    <row r="292" ht="14.25" customHeight="1">
      <c r="A292" s="2" t="s">
        <v>363</v>
      </c>
      <c r="B292" s="2" t="s">
        <v>60</v>
      </c>
      <c r="C292" s="2" t="s">
        <v>19</v>
      </c>
      <c r="D292" s="2" t="s">
        <v>87</v>
      </c>
      <c r="F292" s="3">
        <v>45138.0</v>
      </c>
      <c r="G292" s="3">
        <v>45260.0</v>
      </c>
      <c r="H292" s="2">
        <v>122.0</v>
      </c>
      <c r="I292" s="2">
        <v>1.474501253E9</v>
      </c>
      <c r="K292" s="2" t="s">
        <v>16</v>
      </c>
    </row>
    <row r="293" ht="14.25" customHeight="1">
      <c r="A293" s="2" t="s">
        <v>364</v>
      </c>
      <c r="B293" s="2" t="s">
        <v>12</v>
      </c>
      <c r="C293" s="2" t="s">
        <v>24</v>
      </c>
      <c r="D293" s="2" t="s">
        <v>25</v>
      </c>
      <c r="E293" s="2">
        <v>45.08</v>
      </c>
      <c r="F293" s="3">
        <v>45529.0</v>
      </c>
      <c r="G293" s="3">
        <v>45267.0</v>
      </c>
      <c r="H293" s="2">
        <v>-262.0</v>
      </c>
      <c r="I293" s="2">
        <v>1.928614369E9</v>
      </c>
      <c r="K293" s="2" t="s">
        <v>16</v>
      </c>
    </row>
    <row r="294" ht="14.25" customHeight="1">
      <c r="A294" s="2" t="s">
        <v>365</v>
      </c>
      <c r="B294" s="2" t="s">
        <v>30</v>
      </c>
      <c r="C294" s="2" t="s">
        <v>42</v>
      </c>
      <c r="D294" s="2" t="s">
        <v>43</v>
      </c>
      <c r="F294" s="3">
        <v>44994.0</v>
      </c>
      <c r="G294" s="3">
        <v>45241.0</v>
      </c>
      <c r="H294" s="2">
        <v>247.0</v>
      </c>
      <c r="I294" s="2">
        <v>2.936291188E9</v>
      </c>
      <c r="J294" s="2" t="s">
        <v>15</v>
      </c>
      <c r="K294" s="2" t="s">
        <v>22</v>
      </c>
    </row>
    <row r="295" ht="14.25" customHeight="1">
      <c r="A295" s="2" t="s">
        <v>366</v>
      </c>
      <c r="B295" s="2" t="s">
        <v>60</v>
      </c>
      <c r="C295" s="2" t="s">
        <v>19</v>
      </c>
      <c r="D295" s="2" t="s">
        <v>87</v>
      </c>
      <c r="F295" s="3">
        <v>45118.0</v>
      </c>
      <c r="G295" s="3">
        <v>45180.0</v>
      </c>
      <c r="H295" s="2">
        <v>62.0</v>
      </c>
      <c r="I295" s="2">
        <v>2.436527077E9</v>
      </c>
      <c r="J295" s="2" t="s">
        <v>50</v>
      </c>
      <c r="K295" s="2" t="s">
        <v>22</v>
      </c>
    </row>
    <row r="296" ht="14.25" customHeight="1">
      <c r="A296" s="2" t="s">
        <v>367</v>
      </c>
      <c r="B296" s="2" t="s">
        <v>35</v>
      </c>
      <c r="C296" s="2" t="s">
        <v>48</v>
      </c>
      <c r="D296" s="2" t="s">
        <v>49</v>
      </c>
      <c r="E296" s="2">
        <v>1.14</v>
      </c>
      <c r="F296" s="3">
        <v>45249.0</v>
      </c>
      <c r="G296" s="3">
        <v>45512.0</v>
      </c>
      <c r="H296" s="2">
        <v>263.0</v>
      </c>
      <c r="I296" s="2">
        <v>2.142063935E9</v>
      </c>
      <c r="J296" s="2" t="s">
        <v>15</v>
      </c>
      <c r="K296" s="2" t="s">
        <v>16</v>
      </c>
    </row>
    <row r="297" ht="14.25" customHeight="1">
      <c r="A297" s="2" t="s">
        <v>368</v>
      </c>
      <c r="B297" s="2" t="s">
        <v>30</v>
      </c>
      <c r="C297" s="2" t="s">
        <v>31</v>
      </c>
      <c r="D297" s="2" t="s">
        <v>32</v>
      </c>
      <c r="F297" s="3">
        <v>44955.0</v>
      </c>
      <c r="G297" s="3">
        <v>45116.0</v>
      </c>
      <c r="H297" s="2">
        <v>161.0</v>
      </c>
      <c r="I297" s="2">
        <v>4.041852216E9</v>
      </c>
      <c r="K297" s="2" t="s">
        <v>16</v>
      </c>
    </row>
    <row r="298" ht="14.25" customHeight="1">
      <c r="A298" s="2" t="s">
        <v>369</v>
      </c>
      <c r="B298" s="2" t="s">
        <v>12</v>
      </c>
      <c r="C298" s="2" t="s">
        <v>42</v>
      </c>
      <c r="D298" s="2" t="s">
        <v>63</v>
      </c>
      <c r="E298" s="2">
        <v>28.45</v>
      </c>
      <c r="F298" s="3">
        <v>44979.0</v>
      </c>
      <c r="G298" s="3">
        <v>45074.0</v>
      </c>
      <c r="H298" s="2">
        <v>95.0</v>
      </c>
      <c r="I298" s="2">
        <v>4.413138266E9</v>
      </c>
      <c r="J298" s="2" t="s">
        <v>50</v>
      </c>
      <c r="K298" s="2" t="s">
        <v>16</v>
      </c>
    </row>
    <row r="299" ht="14.25" customHeight="1">
      <c r="A299" s="2" t="s">
        <v>370</v>
      </c>
      <c r="B299" s="2" t="s">
        <v>35</v>
      </c>
      <c r="C299" s="2" t="s">
        <v>42</v>
      </c>
      <c r="D299" s="2" t="s">
        <v>69</v>
      </c>
      <c r="E299" s="2">
        <v>0.17</v>
      </c>
      <c r="F299" s="3">
        <v>45130.0</v>
      </c>
      <c r="G299" s="3">
        <v>45277.0</v>
      </c>
      <c r="H299" s="2">
        <v>147.0</v>
      </c>
      <c r="I299" s="2">
        <v>4.018708061E9</v>
      </c>
      <c r="K299" s="2" t="s">
        <v>22</v>
      </c>
    </row>
    <row r="300" ht="14.25" customHeight="1">
      <c r="A300" s="2" t="s">
        <v>371</v>
      </c>
      <c r="B300" s="2" t="s">
        <v>30</v>
      </c>
      <c r="C300" s="2" t="s">
        <v>42</v>
      </c>
      <c r="D300" s="2" t="s">
        <v>43</v>
      </c>
      <c r="F300" s="3">
        <v>45242.0</v>
      </c>
      <c r="G300" s="3">
        <v>45098.0</v>
      </c>
      <c r="H300" s="2">
        <v>-144.0</v>
      </c>
      <c r="I300" s="2">
        <v>2.776693409E9</v>
      </c>
      <c r="J300" s="2" t="s">
        <v>44</v>
      </c>
      <c r="K300" s="2" t="s">
        <v>22</v>
      </c>
    </row>
    <row r="301" ht="14.25" customHeight="1">
      <c r="A301" s="2" t="s">
        <v>372</v>
      </c>
      <c r="B301" s="2" t="s">
        <v>12</v>
      </c>
      <c r="C301" s="2" t="s">
        <v>13</v>
      </c>
      <c r="D301" s="2" t="s">
        <v>14</v>
      </c>
      <c r="E301" s="2">
        <v>28.71</v>
      </c>
      <c r="F301" s="3">
        <v>44990.0</v>
      </c>
      <c r="G301" s="3">
        <v>45158.0</v>
      </c>
      <c r="H301" s="2">
        <v>168.0</v>
      </c>
      <c r="I301" s="2">
        <v>4.042477177E9</v>
      </c>
      <c r="J301" s="2" t="s">
        <v>26</v>
      </c>
      <c r="K301" s="2" t="s">
        <v>22</v>
      </c>
    </row>
    <row r="302" ht="14.25" customHeight="1">
      <c r="A302" s="2" t="s">
        <v>373</v>
      </c>
      <c r="B302" s="2" t="s">
        <v>60</v>
      </c>
      <c r="C302" s="2" t="s">
        <v>39</v>
      </c>
      <c r="D302" s="2" t="s">
        <v>185</v>
      </c>
      <c r="F302" s="3">
        <v>45217.0</v>
      </c>
      <c r="G302" s="3">
        <v>45524.0</v>
      </c>
      <c r="H302" s="2">
        <v>307.0</v>
      </c>
      <c r="I302" s="2">
        <v>5.69825652E8</v>
      </c>
      <c r="J302" s="2" t="s">
        <v>50</v>
      </c>
      <c r="K302" s="2" t="s">
        <v>16</v>
      </c>
    </row>
    <row r="303" ht="14.25" customHeight="1">
      <c r="A303" s="2" t="s">
        <v>374</v>
      </c>
      <c r="B303" s="2" t="s">
        <v>60</v>
      </c>
      <c r="C303" s="2" t="s">
        <v>31</v>
      </c>
      <c r="D303" s="2" t="s">
        <v>111</v>
      </c>
      <c r="F303" s="3">
        <v>45243.0</v>
      </c>
      <c r="G303" s="3">
        <v>45535.0</v>
      </c>
      <c r="H303" s="2">
        <v>292.0</v>
      </c>
      <c r="I303" s="2">
        <v>2.838024063E9</v>
      </c>
      <c r="J303" s="2" t="s">
        <v>33</v>
      </c>
      <c r="K303" s="2" t="s">
        <v>22</v>
      </c>
    </row>
    <row r="304" ht="14.25" customHeight="1">
      <c r="A304" s="2" t="s">
        <v>375</v>
      </c>
      <c r="B304" s="2" t="s">
        <v>18</v>
      </c>
      <c r="C304" s="2" t="s">
        <v>48</v>
      </c>
      <c r="D304" s="2" t="s">
        <v>121</v>
      </c>
      <c r="F304" s="3">
        <v>44977.0</v>
      </c>
      <c r="G304" s="3">
        <v>45233.0</v>
      </c>
      <c r="H304" s="2">
        <v>256.0</v>
      </c>
      <c r="I304" s="2">
        <v>4.14998267E9</v>
      </c>
      <c r="K304" s="2" t="s">
        <v>22</v>
      </c>
    </row>
    <row r="305" ht="14.25" customHeight="1">
      <c r="A305" s="2" t="s">
        <v>376</v>
      </c>
      <c r="B305" s="2" t="s">
        <v>35</v>
      </c>
      <c r="C305" s="2" t="s">
        <v>48</v>
      </c>
      <c r="D305" s="2" t="s">
        <v>49</v>
      </c>
      <c r="E305" s="2">
        <v>1.99</v>
      </c>
      <c r="F305" s="3">
        <v>45247.0</v>
      </c>
      <c r="G305" s="3">
        <v>45328.0</v>
      </c>
      <c r="H305" s="2">
        <v>81.0</v>
      </c>
      <c r="I305" s="2">
        <v>3.997187891E9</v>
      </c>
      <c r="J305" s="2" t="s">
        <v>50</v>
      </c>
      <c r="K305" s="2" t="s">
        <v>22</v>
      </c>
    </row>
    <row r="306" ht="14.25" customHeight="1">
      <c r="A306" s="2" t="s">
        <v>377</v>
      </c>
      <c r="B306" s="2" t="s">
        <v>30</v>
      </c>
      <c r="C306" s="2" t="s">
        <v>36</v>
      </c>
      <c r="D306" s="2" t="s">
        <v>93</v>
      </c>
      <c r="F306" s="3">
        <v>45153.0</v>
      </c>
      <c r="G306" s="3">
        <v>45342.0</v>
      </c>
      <c r="H306" s="2">
        <v>189.0</v>
      </c>
      <c r="I306" s="2">
        <v>4.86823434E9</v>
      </c>
      <c r="J306" s="2" t="s">
        <v>21</v>
      </c>
      <c r="K306" s="2" t="s">
        <v>22</v>
      </c>
    </row>
    <row r="307" ht="14.25" customHeight="1">
      <c r="A307" s="2" t="s">
        <v>378</v>
      </c>
      <c r="B307" s="2" t="s">
        <v>30</v>
      </c>
      <c r="C307" s="2" t="s">
        <v>39</v>
      </c>
      <c r="D307" s="2" t="s">
        <v>40</v>
      </c>
      <c r="F307" s="3">
        <v>45125.0</v>
      </c>
      <c r="G307" s="3">
        <v>45317.0</v>
      </c>
      <c r="H307" s="2">
        <v>192.0</v>
      </c>
      <c r="I307" s="2">
        <v>3.256512298E9</v>
      </c>
      <c r="J307" s="2" t="s">
        <v>33</v>
      </c>
      <c r="K307" s="2" t="s">
        <v>22</v>
      </c>
    </row>
    <row r="308" ht="14.25" customHeight="1">
      <c r="A308" s="2" t="s">
        <v>379</v>
      </c>
      <c r="B308" s="2" t="s">
        <v>12</v>
      </c>
      <c r="C308" s="2" t="s">
        <v>31</v>
      </c>
      <c r="D308" s="2" t="s">
        <v>83</v>
      </c>
      <c r="E308" s="2">
        <v>5.07</v>
      </c>
      <c r="F308" s="3">
        <v>44930.0</v>
      </c>
      <c r="G308" s="3">
        <v>45244.0</v>
      </c>
      <c r="H308" s="2">
        <v>314.0</v>
      </c>
      <c r="I308" s="2">
        <v>1.881749057E9</v>
      </c>
      <c r="J308" s="2" t="s">
        <v>15</v>
      </c>
      <c r="K308" s="2" t="s">
        <v>16</v>
      </c>
    </row>
    <row r="309" ht="14.25" customHeight="1">
      <c r="A309" s="2" t="s">
        <v>380</v>
      </c>
      <c r="B309" s="2" t="s">
        <v>30</v>
      </c>
      <c r="C309" s="2" t="s">
        <v>13</v>
      </c>
      <c r="D309" s="2" t="s">
        <v>56</v>
      </c>
      <c r="F309" s="3">
        <v>45186.0</v>
      </c>
      <c r="G309" s="3">
        <v>45477.0</v>
      </c>
      <c r="H309" s="2">
        <v>291.0</v>
      </c>
      <c r="I309" s="2">
        <v>1.685422458E9</v>
      </c>
      <c r="J309" s="2" t="s">
        <v>26</v>
      </c>
      <c r="K309" s="2" t="s">
        <v>16</v>
      </c>
    </row>
    <row r="310" ht="14.25" customHeight="1">
      <c r="A310" s="2" t="s">
        <v>381</v>
      </c>
      <c r="B310" s="2" t="s">
        <v>60</v>
      </c>
      <c r="C310" s="2" t="s">
        <v>48</v>
      </c>
      <c r="D310" s="2" t="s">
        <v>66</v>
      </c>
      <c r="F310" s="3">
        <v>45125.0</v>
      </c>
      <c r="G310" s="3">
        <v>45188.0</v>
      </c>
      <c r="H310" s="2">
        <v>63.0</v>
      </c>
      <c r="I310" s="2">
        <v>3.393637066E9</v>
      </c>
      <c r="K310" s="2" t="s">
        <v>16</v>
      </c>
    </row>
    <row r="311" ht="14.25" customHeight="1">
      <c r="A311" s="2" t="s">
        <v>382</v>
      </c>
      <c r="B311" s="2" t="s">
        <v>12</v>
      </c>
      <c r="C311" s="2" t="s">
        <v>13</v>
      </c>
      <c r="D311" s="2" t="s">
        <v>14</v>
      </c>
      <c r="E311" s="2">
        <v>30.49</v>
      </c>
      <c r="F311" s="3">
        <v>45103.0</v>
      </c>
      <c r="G311" s="3">
        <v>45038.0</v>
      </c>
      <c r="H311" s="2">
        <v>-65.0</v>
      </c>
      <c r="I311" s="2">
        <v>4.839865122E9</v>
      </c>
      <c r="J311" s="2" t="s">
        <v>15</v>
      </c>
      <c r="K311" s="2" t="s">
        <v>16</v>
      </c>
    </row>
    <row r="312" ht="14.25" customHeight="1">
      <c r="A312" s="2" t="s">
        <v>383</v>
      </c>
      <c r="B312" s="2" t="s">
        <v>30</v>
      </c>
      <c r="C312" s="2" t="s">
        <v>42</v>
      </c>
      <c r="D312" s="2" t="s">
        <v>43</v>
      </c>
      <c r="F312" s="3">
        <v>45068.0</v>
      </c>
      <c r="G312" s="3">
        <v>45110.0</v>
      </c>
      <c r="H312" s="2">
        <v>42.0</v>
      </c>
      <c r="I312" s="2">
        <v>2.30328162E9</v>
      </c>
      <c r="J312" s="2" t="s">
        <v>50</v>
      </c>
      <c r="K312" s="2" t="s">
        <v>22</v>
      </c>
    </row>
    <row r="313" ht="14.25" customHeight="1">
      <c r="A313" s="2" t="s">
        <v>384</v>
      </c>
      <c r="B313" s="2" t="s">
        <v>18</v>
      </c>
      <c r="C313" s="2" t="s">
        <v>19</v>
      </c>
      <c r="D313" s="2" t="s">
        <v>20</v>
      </c>
      <c r="F313" s="3">
        <v>45169.0</v>
      </c>
      <c r="G313" s="3">
        <v>45267.0</v>
      </c>
      <c r="H313" s="2">
        <v>98.0</v>
      </c>
      <c r="I313" s="2">
        <v>6.40536636E8</v>
      </c>
      <c r="J313" s="2" t="s">
        <v>26</v>
      </c>
      <c r="K313" s="2" t="s">
        <v>16</v>
      </c>
    </row>
    <row r="314" ht="14.25" customHeight="1">
      <c r="A314" s="2" t="s">
        <v>385</v>
      </c>
      <c r="B314" s="2" t="s">
        <v>18</v>
      </c>
      <c r="C314" s="2" t="s">
        <v>39</v>
      </c>
      <c r="D314" s="2" t="s">
        <v>53</v>
      </c>
      <c r="F314" s="3">
        <v>45225.0</v>
      </c>
      <c r="G314" s="3">
        <v>45551.0</v>
      </c>
      <c r="H314" s="2">
        <v>326.0</v>
      </c>
      <c r="I314" s="2">
        <v>1.068051373E9</v>
      </c>
      <c r="J314" s="2" t="s">
        <v>26</v>
      </c>
      <c r="K314" s="2" t="s">
        <v>22</v>
      </c>
    </row>
    <row r="315" ht="14.25" customHeight="1">
      <c r="A315" s="2" t="s">
        <v>386</v>
      </c>
      <c r="B315" s="2" t="s">
        <v>30</v>
      </c>
      <c r="C315" s="2" t="s">
        <v>31</v>
      </c>
      <c r="D315" s="2" t="s">
        <v>32</v>
      </c>
      <c r="F315" s="3">
        <v>45075.0</v>
      </c>
      <c r="G315" s="3">
        <v>45276.0</v>
      </c>
      <c r="H315" s="2">
        <v>201.0</v>
      </c>
      <c r="I315" s="2">
        <v>4.104914231E9</v>
      </c>
      <c r="J315" s="2" t="s">
        <v>33</v>
      </c>
      <c r="K315" s="2" t="s">
        <v>16</v>
      </c>
    </row>
    <row r="316" ht="14.25" customHeight="1">
      <c r="A316" s="2" t="s">
        <v>387</v>
      </c>
      <c r="B316" s="2" t="s">
        <v>60</v>
      </c>
      <c r="C316" s="2" t="s">
        <v>13</v>
      </c>
      <c r="D316" s="2" t="s">
        <v>182</v>
      </c>
      <c r="F316" s="3">
        <v>44928.0</v>
      </c>
      <c r="G316" s="3">
        <v>45006.0</v>
      </c>
      <c r="H316" s="2">
        <v>78.0</v>
      </c>
      <c r="I316" s="2">
        <v>1.890268233E9</v>
      </c>
      <c r="J316" s="2" t="s">
        <v>50</v>
      </c>
      <c r="K316" s="2" t="s">
        <v>22</v>
      </c>
    </row>
    <row r="317" ht="14.25" customHeight="1">
      <c r="A317" s="2" t="s">
        <v>388</v>
      </c>
      <c r="B317" s="2" t="s">
        <v>60</v>
      </c>
      <c r="C317" s="2" t="s">
        <v>13</v>
      </c>
      <c r="D317" s="2" t="s">
        <v>182</v>
      </c>
      <c r="F317" s="3">
        <v>44950.0</v>
      </c>
      <c r="G317" s="3">
        <v>45078.0</v>
      </c>
      <c r="H317" s="2">
        <v>128.0</v>
      </c>
      <c r="I317" s="2">
        <v>3.351647773E9</v>
      </c>
      <c r="J317" s="2" t="s">
        <v>21</v>
      </c>
      <c r="K317" s="2" t="s">
        <v>16</v>
      </c>
    </row>
    <row r="318" ht="14.25" customHeight="1">
      <c r="A318" s="2" t="s">
        <v>389</v>
      </c>
      <c r="B318" s="2" t="s">
        <v>30</v>
      </c>
      <c r="C318" s="2" t="s">
        <v>42</v>
      </c>
      <c r="D318" s="2" t="s">
        <v>43</v>
      </c>
      <c r="F318" s="3">
        <v>45081.0</v>
      </c>
      <c r="G318" s="3">
        <v>45151.0</v>
      </c>
      <c r="H318" s="2">
        <v>70.0</v>
      </c>
      <c r="I318" s="2">
        <v>2.472560736E9</v>
      </c>
      <c r="J318" s="2" t="s">
        <v>50</v>
      </c>
      <c r="K318" s="2" t="s">
        <v>16</v>
      </c>
    </row>
    <row r="319" ht="14.25" customHeight="1">
      <c r="A319" s="2" t="s">
        <v>390</v>
      </c>
      <c r="B319" s="2" t="s">
        <v>30</v>
      </c>
      <c r="C319" s="2" t="s">
        <v>48</v>
      </c>
      <c r="D319" s="2" t="s">
        <v>101</v>
      </c>
      <c r="F319" s="3">
        <v>45228.0</v>
      </c>
      <c r="G319" s="3">
        <v>45515.0</v>
      </c>
      <c r="H319" s="2">
        <v>287.0</v>
      </c>
      <c r="I319" s="2">
        <v>2.790887739E9</v>
      </c>
      <c r="J319" s="2" t="s">
        <v>44</v>
      </c>
      <c r="K319" s="2" t="s">
        <v>16</v>
      </c>
    </row>
    <row r="320" ht="14.25" customHeight="1">
      <c r="A320" s="2" t="s">
        <v>391</v>
      </c>
      <c r="B320" s="2" t="s">
        <v>30</v>
      </c>
      <c r="C320" s="2" t="s">
        <v>48</v>
      </c>
      <c r="D320" s="2" t="s">
        <v>101</v>
      </c>
      <c r="F320" s="3">
        <v>45023.0</v>
      </c>
      <c r="G320" s="3">
        <v>45075.0</v>
      </c>
      <c r="H320" s="2">
        <v>52.0</v>
      </c>
      <c r="I320" s="2">
        <v>2.069527428E9</v>
      </c>
      <c r="J320" s="2" t="s">
        <v>21</v>
      </c>
      <c r="K320" s="2" t="s">
        <v>16</v>
      </c>
    </row>
    <row r="321" ht="14.25" customHeight="1">
      <c r="A321" s="2" t="s">
        <v>392</v>
      </c>
      <c r="B321" s="2" t="s">
        <v>35</v>
      </c>
      <c r="C321" s="2" t="s">
        <v>19</v>
      </c>
      <c r="D321" s="2" t="s">
        <v>97</v>
      </c>
      <c r="E321" s="2">
        <v>2.29</v>
      </c>
      <c r="F321" s="3">
        <v>45099.0</v>
      </c>
      <c r="G321" s="3">
        <v>45154.0</v>
      </c>
      <c r="H321" s="2">
        <v>55.0</v>
      </c>
      <c r="I321" s="2">
        <v>1.717103314E9</v>
      </c>
      <c r="J321" s="2" t="s">
        <v>44</v>
      </c>
      <c r="K321" s="2" t="s">
        <v>16</v>
      </c>
    </row>
    <row r="322" ht="14.25" customHeight="1">
      <c r="A322" s="2" t="s">
        <v>393</v>
      </c>
      <c r="B322" s="2" t="s">
        <v>12</v>
      </c>
      <c r="C322" s="2" t="s">
        <v>48</v>
      </c>
      <c r="D322" s="2" t="s">
        <v>171</v>
      </c>
      <c r="E322" s="2">
        <v>32.71</v>
      </c>
      <c r="F322" s="3">
        <v>45473.0</v>
      </c>
      <c r="G322" s="3">
        <v>45155.0</v>
      </c>
      <c r="H322" s="2">
        <v>-318.0</v>
      </c>
      <c r="I322" s="2">
        <v>3.27735809E9</v>
      </c>
      <c r="J322" s="2" t="s">
        <v>33</v>
      </c>
      <c r="K322" s="2" t="s">
        <v>22</v>
      </c>
    </row>
    <row r="323" ht="14.25" customHeight="1">
      <c r="A323" s="2" t="s">
        <v>394</v>
      </c>
      <c r="B323" s="2" t="s">
        <v>30</v>
      </c>
      <c r="C323" s="2" t="s">
        <v>36</v>
      </c>
      <c r="D323" s="2" t="s">
        <v>93</v>
      </c>
      <c r="F323" s="3">
        <v>45126.0</v>
      </c>
      <c r="G323" s="3">
        <v>45187.0</v>
      </c>
      <c r="H323" s="2">
        <v>61.0</v>
      </c>
      <c r="I323" s="2">
        <v>2.287529322E9</v>
      </c>
      <c r="J323" s="2" t="s">
        <v>26</v>
      </c>
      <c r="K323" s="2" t="s">
        <v>22</v>
      </c>
    </row>
    <row r="324" ht="14.25" customHeight="1">
      <c r="A324" s="2" t="s">
        <v>395</v>
      </c>
      <c r="B324" s="2" t="s">
        <v>18</v>
      </c>
      <c r="C324" s="2" t="s">
        <v>24</v>
      </c>
      <c r="D324" s="2" t="s">
        <v>95</v>
      </c>
      <c r="F324" s="3">
        <v>45097.0</v>
      </c>
      <c r="G324" s="3">
        <v>45129.0</v>
      </c>
      <c r="H324" s="2">
        <v>32.0</v>
      </c>
      <c r="I324" s="2">
        <v>8.81721909E8</v>
      </c>
      <c r="J324" s="2" t="s">
        <v>50</v>
      </c>
      <c r="K324" s="2" t="s">
        <v>22</v>
      </c>
    </row>
    <row r="325" ht="14.25" customHeight="1">
      <c r="A325" s="2" t="s">
        <v>396</v>
      </c>
      <c r="B325" s="2" t="s">
        <v>12</v>
      </c>
      <c r="C325" s="2" t="s">
        <v>19</v>
      </c>
      <c r="D325" s="2" t="s">
        <v>28</v>
      </c>
      <c r="E325" s="2">
        <v>7.26</v>
      </c>
      <c r="F325" s="3">
        <v>45119.0</v>
      </c>
      <c r="G325" s="3">
        <v>45427.0</v>
      </c>
      <c r="H325" s="2">
        <v>308.0</v>
      </c>
      <c r="I325" s="2">
        <v>4.840317832E9</v>
      </c>
      <c r="J325" s="2" t="s">
        <v>33</v>
      </c>
      <c r="K325" s="2" t="s">
        <v>16</v>
      </c>
    </row>
    <row r="326" ht="14.25" customHeight="1">
      <c r="A326" s="2" t="s">
        <v>397</v>
      </c>
      <c r="B326" s="2" t="s">
        <v>35</v>
      </c>
      <c r="C326" s="2" t="s">
        <v>39</v>
      </c>
      <c r="D326" s="2" t="s">
        <v>145</v>
      </c>
      <c r="E326" s="2">
        <v>3.3</v>
      </c>
      <c r="F326" s="3">
        <v>45147.0</v>
      </c>
      <c r="G326" s="3">
        <v>45343.0</v>
      </c>
      <c r="H326" s="2">
        <v>196.0</v>
      </c>
      <c r="I326" s="2">
        <v>4.282584724E9</v>
      </c>
      <c r="J326" s="2" t="s">
        <v>67</v>
      </c>
      <c r="K326" s="2" t="s">
        <v>22</v>
      </c>
    </row>
    <row r="327" ht="14.25" customHeight="1">
      <c r="A327" s="2" t="s">
        <v>398</v>
      </c>
      <c r="B327" s="2" t="s">
        <v>60</v>
      </c>
      <c r="C327" s="2" t="s">
        <v>19</v>
      </c>
      <c r="D327" s="2" t="s">
        <v>87</v>
      </c>
      <c r="F327" s="3">
        <v>45020.0</v>
      </c>
      <c r="G327" s="3">
        <v>45200.0</v>
      </c>
      <c r="H327" s="2">
        <v>180.0</v>
      </c>
      <c r="I327" s="2">
        <v>2.576135698E9</v>
      </c>
      <c r="J327" s="2" t="s">
        <v>15</v>
      </c>
      <c r="K327" s="2" t="s">
        <v>16</v>
      </c>
    </row>
    <row r="328" ht="14.25" customHeight="1">
      <c r="A328" s="2" t="s">
        <v>399</v>
      </c>
      <c r="B328" s="2" t="s">
        <v>35</v>
      </c>
      <c r="C328" s="2" t="s">
        <v>36</v>
      </c>
      <c r="D328" s="2" t="s">
        <v>37</v>
      </c>
      <c r="E328" s="2">
        <v>1.68</v>
      </c>
      <c r="F328" s="3">
        <v>45503.0</v>
      </c>
      <c r="G328" s="3">
        <v>45153.0</v>
      </c>
      <c r="H328" s="2">
        <v>-350.0</v>
      </c>
      <c r="I328" s="2">
        <v>1.303515862E9</v>
      </c>
      <c r="J328" s="2" t="s">
        <v>67</v>
      </c>
      <c r="K328" s="2" t="s">
        <v>22</v>
      </c>
    </row>
    <row r="329" ht="14.25" customHeight="1">
      <c r="A329" s="2" t="s">
        <v>400</v>
      </c>
      <c r="B329" s="2" t="s">
        <v>60</v>
      </c>
      <c r="C329" s="2" t="s">
        <v>39</v>
      </c>
      <c r="D329" s="2" t="s">
        <v>185</v>
      </c>
      <c r="F329" s="3">
        <v>45119.0</v>
      </c>
      <c r="G329" s="3">
        <v>45218.0</v>
      </c>
      <c r="H329" s="2">
        <v>99.0</v>
      </c>
      <c r="I329" s="2">
        <v>2.076389941E9</v>
      </c>
      <c r="K329" s="2" t="s">
        <v>16</v>
      </c>
    </row>
    <row r="330" ht="14.25" customHeight="1">
      <c r="A330" s="2" t="s">
        <v>401</v>
      </c>
      <c r="B330" s="2" t="s">
        <v>35</v>
      </c>
      <c r="C330" s="2" t="s">
        <v>42</v>
      </c>
      <c r="D330" s="2" t="s">
        <v>69</v>
      </c>
      <c r="E330" s="2">
        <v>0.88</v>
      </c>
      <c r="F330" s="3">
        <v>44971.0</v>
      </c>
      <c r="G330" s="3">
        <v>45228.0</v>
      </c>
      <c r="H330" s="2">
        <v>257.0</v>
      </c>
      <c r="I330" s="2">
        <v>2.399496504E9</v>
      </c>
      <c r="J330" s="2" t="s">
        <v>21</v>
      </c>
      <c r="K330" s="2" t="s">
        <v>16</v>
      </c>
    </row>
    <row r="331" ht="14.25" customHeight="1">
      <c r="A331" s="2" t="s">
        <v>402</v>
      </c>
      <c r="B331" s="2" t="s">
        <v>12</v>
      </c>
      <c r="C331" s="2" t="s">
        <v>36</v>
      </c>
      <c r="D331" s="2" t="s">
        <v>46</v>
      </c>
      <c r="E331" s="2">
        <v>14.53</v>
      </c>
      <c r="F331" s="3">
        <v>45205.0</v>
      </c>
      <c r="G331" s="3">
        <v>45535.0</v>
      </c>
      <c r="H331" s="2">
        <v>330.0</v>
      </c>
      <c r="I331" s="2">
        <v>1.354431233E9</v>
      </c>
      <c r="J331" s="2" t="s">
        <v>15</v>
      </c>
      <c r="K331" s="2" t="s">
        <v>22</v>
      </c>
    </row>
    <row r="332" ht="14.25" customHeight="1">
      <c r="A332" s="2" t="s">
        <v>403</v>
      </c>
      <c r="B332" s="2" t="s">
        <v>30</v>
      </c>
      <c r="C332" s="2" t="s">
        <v>24</v>
      </c>
      <c r="D332" s="2" t="s">
        <v>85</v>
      </c>
      <c r="F332" s="3">
        <v>45161.0</v>
      </c>
      <c r="G332" s="3">
        <v>45100.0</v>
      </c>
      <c r="H332" s="2">
        <v>-61.0</v>
      </c>
      <c r="I332" s="2">
        <v>3.557051428E9</v>
      </c>
      <c r="J332" s="2" t="s">
        <v>15</v>
      </c>
      <c r="K332" s="2" t="s">
        <v>16</v>
      </c>
    </row>
    <row r="333" ht="14.25" customHeight="1">
      <c r="A333" s="2" t="s">
        <v>404</v>
      </c>
      <c r="B333" s="2" t="s">
        <v>60</v>
      </c>
      <c r="C333" s="2" t="s">
        <v>19</v>
      </c>
      <c r="D333" s="2" t="s">
        <v>87</v>
      </c>
      <c r="F333" s="3">
        <v>44976.0</v>
      </c>
      <c r="G333" s="3">
        <v>45318.0</v>
      </c>
      <c r="H333" s="2">
        <v>342.0</v>
      </c>
      <c r="I333" s="2">
        <v>1.895431566E9</v>
      </c>
      <c r="J333" s="2" t="s">
        <v>50</v>
      </c>
      <c r="K333" s="2" t="s">
        <v>22</v>
      </c>
    </row>
    <row r="334" ht="14.25" customHeight="1">
      <c r="A334" s="2" t="s">
        <v>405</v>
      </c>
      <c r="B334" s="2" t="s">
        <v>12</v>
      </c>
      <c r="C334" s="2" t="s">
        <v>48</v>
      </c>
      <c r="D334" s="2" t="s">
        <v>171</v>
      </c>
      <c r="E334" s="2">
        <v>21.75</v>
      </c>
      <c r="F334" s="3">
        <v>45242.0</v>
      </c>
      <c r="G334" s="3">
        <v>45345.0</v>
      </c>
      <c r="H334" s="2">
        <v>103.0</v>
      </c>
      <c r="I334" s="2">
        <v>4.062769325E9</v>
      </c>
      <c r="J334" s="2" t="s">
        <v>26</v>
      </c>
      <c r="K334" s="2" t="s">
        <v>16</v>
      </c>
    </row>
    <row r="335" ht="14.25" customHeight="1">
      <c r="A335" s="2" t="s">
        <v>406</v>
      </c>
      <c r="B335" s="2" t="s">
        <v>30</v>
      </c>
      <c r="C335" s="2" t="s">
        <v>36</v>
      </c>
      <c r="D335" s="2" t="s">
        <v>93</v>
      </c>
      <c r="F335" s="3">
        <v>45024.0</v>
      </c>
      <c r="G335" s="3">
        <v>45253.0</v>
      </c>
      <c r="H335" s="2">
        <v>229.0</v>
      </c>
      <c r="I335" s="2">
        <v>2.598853831E9</v>
      </c>
      <c r="J335" s="2" t="s">
        <v>33</v>
      </c>
      <c r="K335" s="2" t="s">
        <v>16</v>
      </c>
    </row>
    <row r="336" ht="14.25" customHeight="1">
      <c r="A336" s="2" t="s">
        <v>407</v>
      </c>
      <c r="B336" s="2" t="s">
        <v>12</v>
      </c>
      <c r="C336" s="2" t="s">
        <v>31</v>
      </c>
      <c r="D336" s="2" t="s">
        <v>83</v>
      </c>
      <c r="E336" s="2">
        <v>35.32</v>
      </c>
      <c r="F336" s="3">
        <v>45039.0</v>
      </c>
      <c r="G336" s="3">
        <v>45306.0</v>
      </c>
      <c r="H336" s="2">
        <v>267.0</v>
      </c>
      <c r="I336" s="2">
        <v>7.76615332E8</v>
      </c>
      <c r="J336" s="2" t="s">
        <v>44</v>
      </c>
      <c r="K336" s="2" t="s">
        <v>16</v>
      </c>
    </row>
    <row r="337" ht="14.25" customHeight="1">
      <c r="A337" s="2" t="s">
        <v>408</v>
      </c>
      <c r="B337" s="2" t="s">
        <v>60</v>
      </c>
      <c r="C337" s="2" t="s">
        <v>39</v>
      </c>
      <c r="D337" s="2" t="s">
        <v>185</v>
      </c>
      <c r="F337" s="3">
        <v>45242.0</v>
      </c>
      <c r="G337" s="3">
        <v>45305.0</v>
      </c>
      <c r="H337" s="2">
        <v>63.0</v>
      </c>
      <c r="I337" s="2">
        <v>8.92741759E8</v>
      </c>
      <c r="J337" s="2" t="s">
        <v>15</v>
      </c>
      <c r="K337" s="2" t="s">
        <v>22</v>
      </c>
    </row>
    <row r="338" ht="14.25" customHeight="1">
      <c r="A338" s="2" t="s">
        <v>409</v>
      </c>
      <c r="B338" s="2" t="s">
        <v>18</v>
      </c>
      <c r="C338" s="2" t="s">
        <v>13</v>
      </c>
      <c r="D338" s="2" t="s">
        <v>143</v>
      </c>
      <c r="F338" s="3">
        <v>45333.0</v>
      </c>
      <c r="G338" s="3">
        <v>45141.0</v>
      </c>
      <c r="H338" s="2">
        <v>-192.0</v>
      </c>
      <c r="I338" s="2">
        <v>1.297969155E9</v>
      </c>
      <c r="J338" s="2" t="s">
        <v>26</v>
      </c>
      <c r="K338" s="2" t="s">
        <v>16</v>
      </c>
    </row>
    <row r="339" ht="14.25" customHeight="1">
      <c r="A339" s="2" t="s">
        <v>410</v>
      </c>
      <c r="B339" s="2" t="s">
        <v>30</v>
      </c>
      <c r="C339" s="2" t="s">
        <v>24</v>
      </c>
      <c r="D339" s="2" t="s">
        <v>85</v>
      </c>
      <c r="F339" s="3">
        <v>45635.0</v>
      </c>
      <c r="G339" s="3">
        <v>45281.0</v>
      </c>
      <c r="H339" s="2">
        <v>-354.0</v>
      </c>
      <c r="I339" s="2">
        <v>4.430380846E9</v>
      </c>
      <c r="J339" s="2" t="s">
        <v>50</v>
      </c>
      <c r="K339" s="2" t="s">
        <v>16</v>
      </c>
    </row>
    <row r="340" ht="14.25" customHeight="1">
      <c r="A340" s="2" t="s">
        <v>411</v>
      </c>
      <c r="B340" s="2" t="s">
        <v>12</v>
      </c>
      <c r="C340" s="2" t="s">
        <v>19</v>
      </c>
      <c r="D340" s="2" t="s">
        <v>28</v>
      </c>
      <c r="E340" s="2">
        <v>12.05</v>
      </c>
      <c r="F340" s="3">
        <v>45268.0</v>
      </c>
      <c r="G340" s="3">
        <v>45476.0</v>
      </c>
      <c r="H340" s="2">
        <v>208.0</v>
      </c>
      <c r="I340" s="2">
        <v>2.367336478E9</v>
      </c>
      <c r="J340" s="2" t="s">
        <v>67</v>
      </c>
      <c r="K340" s="2" t="s">
        <v>16</v>
      </c>
    </row>
    <row r="341" ht="14.25" customHeight="1">
      <c r="A341" s="2" t="s">
        <v>412</v>
      </c>
      <c r="B341" s="2" t="s">
        <v>12</v>
      </c>
      <c r="C341" s="2" t="s">
        <v>48</v>
      </c>
      <c r="D341" s="2" t="s">
        <v>171</v>
      </c>
      <c r="E341" s="2">
        <v>23.17</v>
      </c>
      <c r="F341" s="3">
        <v>45172.0</v>
      </c>
      <c r="G341" s="3">
        <v>45435.0</v>
      </c>
      <c r="H341" s="2">
        <v>263.0</v>
      </c>
      <c r="I341" s="2">
        <v>2.92534333E9</v>
      </c>
      <c r="J341" s="2" t="s">
        <v>50</v>
      </c>
      <c r="K341" s="2" t="s">
        <v>16</v>
      </c>
    </row>
    <row r="342" ht="14.25" customHeight="1">
      <c r="A342" s="2" t="s">
        <v>413</v>
      </c>
      <c r="B342" s="2" t="s">
        <v>30</v>
      </c>
      <c r="C342" s="2" t="s">
        <v>36</v>
      </c>
      <c r="D342" s="2" t="s">
        <v>93</v>
      </c>
      <c r="F342" s="3">
        <v>45039.0</v>
      </c>
      <c r="G342" s="3">
        <v>45274.0</v>
      </c>
      <c r="H342" s="2">
        <v>235.0</v>
      </c>
      <c r="I342" s="2">
        <v>9.20456507E8</v>
      </c>
      <c r="J342" s="2" t="s">
        <v>67</v>
      </c>
      <c r="K342" s="2" t="s">
        <v>16</v>
      </c>
    </row>
    <row r="343" ht="14.25" customHeight="1">
      <c r="A343" s="2" t="s">
        <v>414</v>
      </c>
      <c r="B343" s="2" t="s">
        <v>12</v>
      </c>
      <c r="C343" s="2" t="s">
        <v>31</v>
      </c>
      <c r="D343" s="2" t="s">
        <v>83</v>
      </c>
      <c r="E343" s="2">
        <v>16.82</v>
      </c>
      <c r="F343" s="3">
        <v>45234.0</v>
      </c>
      <c r="G343" s="3">
        <v>45426.0</v>
      </c>
      <c r="H343" s="2">
        <v>192.0</v>
      </c>
      <c r="I343" s="2">
        <v>4.678440839E9</v>
      </c>
      <c r="J343" s="2" t="s">
        <v>15</v>
      </c>
      <c r="K343" s="2" t="s">
        <v>16</v>
      </c>
    </row>
    <row r="344" ht="14.25" customHeight="1">
      <c r="A344" s="2" t="s">
        <v>415</v>
      </c>
      <c r="B344" s="2" t="s">
        <v>35</v>
      </c>
      <c r="C344" s="2" t="s">
        <v>13</v>
      </c>
      <c r="D344" s="2" t="s">
        <v>78</v>
      </c>
      <c r="E344" s="2">
        <v>1.81</v>
      </c>
      <c r="F344" s="3">
        <v>44940.0</v>
      </c>
      <c r="G344" s="3">
        <v>45043.0</v>
      </c>
      <c r="H344" s="2">
        <v>103.0</v>
      </c>
      <c r="I344" s="2">
        <v>3.118256179E9</v>
      </c>
      <c r="J344" s="2" t="s">
        <v>50</v>
      </c>
      <c r="K344" s="2" t="s">
        <v>16</v>
      </c>
    </row>
    <row r="345" ht="14.25" customHeight="1">
      <c r="A345" s="2" t="s">
        <v>416</v>
      </c>
      <c r="B345" s="2" t="s">
        <v>12</v>
      </c>
      <c r="C345" s="2" t="s">
        <v>36</v>
      </c>
      <c r="D345" s="2" t="s">
        <v>46</v>
      </c>
      <c r="E345" s="2">
        <v>10.09</v>
      </c>
      <c r="F345" s="3">
        <v>44929.0</v>
      </c>
      <c r="G345" s="3">
        <v>45041.0</v>
      </c>
      <c r="H345" s="2">
        <v>112.0</v>
      </c>
      <c r="I345" s="2">
        <v>4.275587459E9</v>
      </c>
      <c r="J345" s="2" t="s">
        <v>26</v>
      </c>
      <c r="K345" s="2" t="s">
        <v>22</v>
      </c>
    </row>
    <row r="346" ht="14.25" customHeight="1">
      <c r="A346" s="2" t="s">
        <v>417</v>
      </c>
      <c r="B346" s="2" t="s">
        <v>60</v>
      </c>
      <c r="C346" s="2" t="s">
        <v>19</v>
      </c>
      <c r="D346" s="2" t="s">
        <v>87</v>
      </c>
      <c r="F346" s="3">
        <v>45158.0</v>
      </c>
      <c r="G346" s="3">
        <v>45284.0</v>
      </c>
      <c r="H346" s="2">
        <v>126.0</v>
      </c>
      <c r="I346" s="2">
        <v>2.338771193E9</v>
      </c>
      <c r="J346" s="2" t="s">
        <v>26</v>
      </c>
      <c r="K346" s="2" t="s">
        <v>16</v>
      </c>
    </row>
    <row r="347" ht="14.25" customHeight="1">
      <c r="A347" s="2" t="s">
        <v>418</v>
      </c>
      <c r="B347" s="2" t="s">
        <v>12</v>
      </c>
      <c r="C347" s="2" t="s">
        <v>39</v>
      </c>
      <c r="D347" s="2" t="s">
        <v>160</v>
      </c>
      <c r="E347" s="2">
        <v>18.2</v>
      </c>
      <c r="F347" s="3">
        <v>44959.0</v>
      </c>
      <c r="G347" s="3">
        <v>45150.0</v>
      </c>
      <c r="H347" s="2">
        <v>191.0</v>
      </c>
      <c r="I347" s="2">
        <v>4.646191132E9</v>
      </c>
      <c r="J347" s="2" t="s">
        <v>50</v>
      </c>
      <c r="K347" s="2" t="s">
        <v>22</v>
      </c>
    </row>
    <row r="348" ht="14.25" customHeight="1">
      <c r="A348" s="2" t="s">
        <v>419</v>
      </c>
      <c r="B348" s="2" t="s">
        <v>35</v>
      </c>
      <c r="C348" s="2" t="s">
        <v>13</v>
      </c>
      <c r="D348" s="2" t="s">
        <v>78</v>
      </c>
      <c r="E348" s="2">
        <v>0.75</v>
      </c>
      <c r="F348" s="3">
        <v>45042.0</v>
      </c>
      <c r="G348" s="3">
        <v>45364.0</v>
      </c>
      <c r="H348" s="2">
        <v>322.0</v>
      </c>
      <c r="I348" s="2">
        <v>4.906763561E9</v>
      </c>
      <c r="J348" s="2" t="s">
        <v>50</v>
      </c>
      <c r="K348" s="2" t="s">
        <v>16</v>
      </c>
    </row>
    <row r="349" ht="14.25" customHeight="1">
      <c r="A349" s="2" t="s">
        <v>420</v>
      </c>
      <c r="B349" s="2" t="s">
        <v>60</v>
      </c>
      <c r="C349" s="2" t="s">
        <v>24</v>
      </c>
      <c r="D349" s="2" t="s">
        <v>80</v>
      </c>
      <c r="F349" s="3">
        <v>44963.0</v>
      </c>
      <c r="G349" s="3">
        <v>45313.0</v>
      </c>
      <c r="H349" s="2">
        <v>350.0</v>
      </c>
      <c r="I349" s="2">
        <v>9.08561074E8</v>
      </c>
      <c r="J349" s="2" t="s">
        <v>67</v>
      </c>
      <c r="K349" s="2" t="s">
        <v>16</v>
      </c>
    </row>
    <row r="350" ht="14.25" customHeight="1">
      <c r="A350" s="2" t="s">
        <v>421</v>
      </c>
      <c r="B350" s="2" t="s">
        <v>60</v>
      </c>
      <c r="C350" s="2" t="s">
        <v>42</v>
      </c>
      <c r="D350" s="2" t="s">
        <v>154</v>
      </c>
      <c r="F350" s="3">
        <v>44940.0</v>
      </c>
      <c r="G350" s="3">
        <v>45206.0</v>
      </c>
      <c r="H350" s="2">
        <v>266.0</v>
      </c>
      <c r="I350" s="2">
        <v>7.68209992E8</v>
      </c>
      <c r="J350" s="2" t="s">
        <v>26</v>
      </c>
      <c r="K350" s="2" t="s">
        <v>22</v>
      </c>
    </row>
    <row r="351" ht="14.25" customHeight="1">
      <c r="A351" s="2" t="s">
        <v>422</v>
      </c>
      <c r="B351" s="2" t="s">
        <v>18</v>
      </c>
      <c r="C351" s="2" t="s">
        <v>42</v>
      </c>
      <c r="D351" s="2" t="s">
        <v>135</v>
      </c>
      <c r="F351" s="3">
        <v>45202.0</v>
      </c>
      <c r="G351" s="3">
        <v>45532.0</v>
      </c>
      <c r="H351" s="2">
        <v>330.0</v>
      </c>
      <c r="I351" s="2">
        <v>3.735060272E9</v>
      </c>
      <c r="J351" s="2" t="s">
        <v>21</v>
      </c>
      <c r="K351" s="2" t="s">
        <v>22</v>
      </c>
    </row>
    <row r="352" ht="14.25" customHeight="1">
      <c r="A352" s="2" t="s">
        <v>423</v>
      </c>
      <c r="B352" s="2" t="s">
        <v>18</v>
      </c>
      <c r="C352" s="2" t="s">
        <v>31</v>
      </c>
      <c r="D352" s="2" t="s">
        <v>74</v>
      </c>
      <c r="F352" s="3">
        <v>45197.0</v>
      </c>
      <c r="G352" s="3">
        <v>45426.0</v>
      </c>
      <c r="H352" s="2">
        <v>229.0</v>
      </c>
      <c r="I352" s="2">
        <v>2.28349952E9</v>
      </c>
      <c r="J352" s="2" t="s">
        <v>33</v>
      </c>
      <c r="K352" s="2" t="s">
        <v>22</v>
      </c>
    </row>
    <row r="353" ht="14.25" customHeight="1">
      <c r="A353" s="2" t="s">
        <v>424</v>
      </c>
      <c r="B353" s="2" t="s">
        <v>60</v>
      </c>
      <c r="C353" s="2" t="s">
        <v>13</v>
      </c>
      <c r="D353" s="2" t="s">
        <v>182</v>
      </c>
      <c r="F353" s="3">
        <v>45219.0</v>
      </c>
      <c r="G353" s="3">
        <v>45583.0</v>
      </c>
      <c r="H353" s="2">
        <v>364.0</v>
      </c>
      <c r="I353" s="2">
        <v>2.114342686E9</v>
      </c>
      <c r="J353" s="2" t="s">
        <v>33</v>
      </c>
      <c r="K353" s="2" t="s">
        <v>22</v>
      </c>
    </row>
    <row r="354" ht="14.25" customHeight="1">
      <c r="A354" s="2" t="s">
        <v>425</v>
      </c>
      <c r="B354" s="2" t="s">
        <v>18</v>
      </c>
      <c r="C354" s="2" t="s">
        <v>36</v>
      </c>
      <c r="D354" s="2" t="s">
        <v>71</v>
      </c>
      <c r="F354" s="3">
        <v>45104.0</v>
      </c>
      <c r="G354" s="3">
        <v>45195.0</v>
      </c>
      <c r="H354" s="2">
        <v>91.0</v>
      </c>
      <c r="I354" s="2">
        <v>9.6341488E8</v>
      </c>
      <c r="J354" s="2" t="s">
        <v>26</v>
      </c>
      <c r="K354" s="2" t="s">
        <v>16</v>
      </c>
    </row>
    <row r="355" ht="14.25" customHeight="1">
      <c r="A355" s="2" t="s">
        <v>426</v>
      </c>
      <c r="B355" s="2" t="s">
        <v>30</v>
      </c>
      <c r="C355" s="2" t="s">
        <v>24</v>
      </c>
      <c r="D355" s="2" t="s">
        <v>85</v>
      </c>
      <c r="F355" s="3">
        <v>45240.0</v>
      </c>
      <c r="G355" s="3">
        <v>45466.0</v>
      </c>
      <c r="H355" s="2">
        <v>226.0</v>
      </c>
      <c r="I355" s="2">
        <v>2.665919382E9</v>
      </c>
      <c r="J355" s="2" t="s">
        <v>44</v>
      </c>
      <c r="K355" s="2" t="s">
        <v>16</v>
      </c>
    </row>
    <row r="356" ht="14.25" customHeight="1">
      <c r="A356" s="2" t="s">
        <v>427</v>
      </c>
      <c r="B356" s="2" t="s">
        <v>35</v>
      </c>
      <c r="C356" s="2" t="s">
        <v>31</v>
      </c>
      <c r="D356" s="2" t="s">
        <v>91</v>
      </c>
      <c r="E356" s="2">
        <v>2.35</v>
      </c>
      <c r="F356" s="3">
        <v>45053.0</v>
      </c>
      <c r="G356" s="3">
        <v>45410.0</v>
      </c>
      <c r="H356" s="2">
        <v>357.0</v>
      </c>
      <c r="I356" s="2">
        <v>1.366329722E9</v>
      </c>
      <c r="J356" s="2" t="s">
        <v>33</v>
      </c>
      <c r="K356" s="2" t="s">
        <v>16</v>
      </c>
    </row>
    <row r="357" ht="14.25" customHeight="1">
      <c r="A357" s="2" t="s">
        <v>428</v>
      </c>
      <c r="B357" s="2" t="s">
        <v>30</v>
      </c>
      <c r="C357" s="2" t="s">
        <v>19</v>
      </c>
      <c r="D357" s="2" t="s">
        <v>58</v>
      </c>
      <c r="F357" s="3">
        <v>44959.0</v>
      </c>
      <c r="G357" s="3">
        <v>45167.0</v>
      </c>
      <c r="H357" s="2">
        <v>208.0</v>
      </c>
      <c r="I357" s="2">
        <v>1.734922665E9</v>
      </c>
      <c r="K357" s="2" t="s">
        <v>22</v>
      </c>
    </row>
    <row r="358" ht="14.25" customHeight="1">
      <c r="A358" s="2" t="s">
        <v>429</v>
      </c>
      <c r="B358" s="2" t="s">
        <v>35</v>
      </c>
      <c r="C358" s="2" t="s">
        <v>36</v>
      </c>
      <c r="D358" s="2" t="s">
        <v>37</v>
      </c>
      <c r="E358" s="2">
        <v>3.7</v>
      </c>
      <c r="F358" s="3">
        <v>45015.0</v>
      </c>
      <c r="G358" s="3">
        <v>45074.0</v>
      </c>
      <c r="H358" s="2">
        <v>59.0</v>
      </c>
      <c r="I358" s="2">
        <v>4.69330008E9</v>
      </c>
      <c r="J358" s="2" t="s">
        <v>21</v>
      </c>
      <c r="K358" s="2" t="s">
        <v>16</v>
      </c>
    </row>
    <row r="359" ht="14.25" customHeight="1">
      <c r="A359" s="2" t="s">
        <v>430</v>
      </c>
      <c r="B359" s="2" t="s">
        <v>12</v>
      </c>
      <c r="C359" s="2" t="s">
        <v>48</v>
      </c>
      <c r="D359" s="2" t="s">
        <v>171</v>
      </c>
      <c r="E359" s="2">
        <v>7.42</v>
      </c>
      <c r="F359" s="3">
        <v>45060.0</v>
      </c>
      <c r="G359" s="3">
        <v>45231.0</v>
      </c>
      <c r="H359" s="2">
        <v>171.0</v>
      </c>
      <c r="I359" s="2">
        <v>3.133206855E9</v>
      </c>
      <c r="J359" s="2" t="s">
        <v>67</v>
      </c>
      <c r="K359" s="2" t="s">
        <v>16</v>
      </c>
    </row>
    <row r="360" ht="14.25" customHeight="1">
      <c r="A360" s="2" t="s">
        <v>431</v>
      </c>
      <c r="B360" s="2" t="s">
        <v>12</v>
      </c>
      <c r="C360" s="2" t="s">
        <v>42</v>
      </c>
      <c r="D360" s="2" t="s">
        <v>63</v>
      </c>
      <c r="E360" s="2">
        <v>22.67</v>
      </c>
      <c r="F360" s="3">
        <v>45192.0</v>
      </c>
      <c r="G360" s="3">
        <v>45532.0</v>
      </c>
      <c r="H360" s="2">
        <v>340.0</v>
      </c>
      <c r="I360" s="2">
        <v>8.36168321E8</v>
      </c>
      <c r="J360" s="2" t="s">
        <v>26</v>
      </c>
      <c r="K360" s="2" t="s">
        <v>16</v>
      </c>
    </row>
    <row r="361" ht="14.25" customHeight="1">
      <c r="A361" s="2" t="s">
        <v>432</v>
      </c>
      <c r="B361" s="2" t="s">
        <v>35</v>
      </c>
      <c r="C361" s="2" t="s">
        <v>48</v>
      </c>
      <c r="D361" s="2" t="s">
        <v>49</v>
      </c>
      <c r="E361" s="2">
        <v>4.22</v>
      </c>
      <c r="F361" s="3">
        <v>45106.0</v>
      </c>
      <c r="G361" s="3">
        <v>45144.0</v>
      </c>
      <c r="H361" s="2">
        <v>38.0</v>
      </c>
      <c r="I361" s="2">
        <v>2.917845732E9</v>
      </c>
      <c r="J361" s="2" t="s">
        <v>21</v>
      </c>
      <c r="K361" s="2" t="s">
        <v>16</v>
      </c>
    </row>
    <row r="362" ht="14.25" customHeight="1">
      <c r="A362" s="2" t="s">
        <v>433</v>
      </c>
      <c r="B362" s="2" t="s">
        <v>12</v>
      </c>
      <c r="C362" s="2" t="s">
        <v>48</v>
      </c>
      <c r="D362" s="2" t="s">
        <v>171</v>
      </c>
      <c r="E362" s="2">
        <v>22.9</v>
      </c>
      <c r="F362" s="3">
        <v>45123.0</v>
      </c>
      <c r="G362" s="3">
        <v>45315.0</v>
      </c>
      <c r="H362" s="2">
        <v>192.0</v>
      </c>
      <c r="I362" s="2">
        <v>4.564771156E9</v>
      </c>
      <c r="J362" s="2" t="s">
        <v>33</v>
      </c>
      <c r="K362" s="2" t="s">
        <v>22</v>
      </c>
    </row>
    <row r="363" ht="14.25" customHeight="1">
      <c r="A363" s="2" t="s">
        <v>434</v>
      </c>
      <c r="B363" s="2" t="s">
        <v>60</v>
      </c>
      <c r="C363" s="2" t="s">
        <v>39</v>
      </c>
      <c r="D363" s="2" t="s">
        <v>185</v>
      </c>
      <c r="F363" s="3">
        <v>44990.0</v>
      </c>
      <c r="G363" s="3">
        <v>45020.0</v>
      </c>
      <c r="H363" s="2">
        <v>30.0</v>
      </c>
      <c r="I363" s="2">
        <v>5.76545047E8</v>
      </c>
      <c r="J363" s="2" t="s">
        <v>50</v>
      </c>
      <c r="K363" s="2" t="s">
        <v>22</v>
      </c>
    </row>
    <row r="364" ht="14.25" customHeight="1">
      <c r="A364" s="2" t="s">
        <v>435</v>
      </c>
      <c r="B364" s="2" t="s">
        <v>60</v>
      </c>
      <c r="C364" s="2" t="s">
        <v>13</v>
      </c>
      <c r="D364" s="2" t="s">
        <v>182</v>
      </c>
      <c r="F364" s="3">
        <v>45272.0</v>
      </c>
      <c r="G364" s="3">
        <v>45481.0</v>
      </c>
      <c r="H364" s="2">
        <v>209.0</v>
      </c>
      <c r="I364" s="2">
        <v>2.078921702E9</v>
      </c>
      <c r="J364" s="2" t="s">
        <v>15</v>
      </c>
      <c r="K364" s="2" t="s">
        <v>16</v>
      </c>
    </row>
    <row r="365" ht="14.25" customHeight="1">
      <c r="A365" s="2" t="s">
        <v>436</v>
      </c>
      <c r="B365" s="2" t="s">
        <v>30</v>
      </c>
      <c r="C365" s="2" t="s">
        <v>31</v>
      </c>
      <c r="D365" s="2" t="s">
        <v>32</v>
      </c>
      <c r="F365" s="3">
        <v>45093.0</v>
      </c>
      <c r="G365" s="3">
        <v>45383.0</v>
      </c>
      <c r="H365" s="2">
        <v>290.0</v>
      </c>
      <c r="I365" s="2">
        <v>4.113571513E9</v>
      </c>
      <c r="K365" s="2" t="s">
        <v>22</v>
      </c>
    </row>
    <row r="366" ht="14.25" customHeight="1">
      <c r="A366" s="2" t="s">
        <v>437</v>
      </c>
      <c r="B366" s="2" t="s">
        <v>30</v>
      </c>
      <c r="C366" s="2" t="s">
        <v>36</v>
      </c>
      <c r="D366" s="2" t="s">
        <v>93</v>
      </c>
      <c r="F366" s="3">
        <v>45130.0</v>
      </c>
      <c r="G366" s="3">
        <v>45465.0</v>
      </c>
      <c r="H366" s="2">
        <v>335.0</v>
      </c>
      <c r="I366" s="2">
        <v>3.858453286E9</v>
      </c>
      <c r="J366" s="2" t="s">
        <v>26</v>
      </c>
      <c r="K366" s="2" t="s">
        <v>16</v>
      </c>
    </row>
    <row r="367" ht="14.25" customHeight="1">
      <c r="A367" s="2" t="s">
        <v>438</v>
      </c>
      <c r="B367" s="2" t="s">
        <v>12</v>
      </c>
      <c r="C367" s="2" t="s">
        <v>42</v>
      </c>
      <c r="D367" s="2" t="s">
        <v>63</v>
      </c>
      <c r="E367" s="2">
        <v>25.54</v>
      </c>
      <c r="F367" s="3">
        <v>45135.0</v>
      </c>
      <c r="G367" s="3">
        <v>45357.0</v>
      </c>
      <c r="H367" s="2">
        <v>222.0</v>
      </c>
      <c r="I367" s="2">
        <v>3.026042602E9</v>
      </c>
      <c r="J367" s="2" t="s">
        <v>33</v>
      </c>
      <c r="K367" s="2" t="s">
        <v>16</v>
      </c>
    </row>
    <row r="368" ht="14.25" customHeight="1">
      <c r="A368" s="2" t="s">
        <v>439</v>
      </c>
      <c r="B368" s="2" t="s">
        <v>35</v>
      </c>
      <c r="C368" s="2" t="s">
        <v>24</v>
      </c>
      <c r="D368" s="2" t="s">
        <v>133</v>
      </c>
      <c r="E368" s="2">
        <v>4.79</v>
      </c>
      <c r="F368" s="3">
        <v>45249.0</v>
      </c>
      <c r="G368" s="3">
        <v>45478.0</v>
      </c>
      <c r="H368" s="2">
        <v>229.0</v>
      </c>
      <c r="I368" s="2">
        <v>1.101338227E9</v>
      </c>
      <c r="J368" s="2" t="s">
        <v>50</v>
      </c>
      <c r="K368" s="2" t="s">
        <v>16</v>
      </c>
    </row>
    <row r="369" ht="14.25" customHeight="1">
      <c r="A369" s="2" t="s">
        <v>440</v>
      </c>
      <c r="B369" s="2" t="s">
        <v>18</v>
      </c>
      <c r="C369" s="2" t="s">
        <v>42</v>
      </c>
      <c r="D369" s="2" t="s">
        <v>135</v>
      </c>
      <c r="F369" s="3">
        <v>45192.0</v>
      </c>
      <c r="G369" s="3">
        <v>45361.0</v>
      </c>
      <c r="H369" s="2">
        <v>169.0</v>
      </c>
      <c r="I369" s="2">
        <v>1.245018599E9</v>
      </c>
      <c r="J369" s="2" t="s">
        <v>33</v>
      </c>
      <c r="K369" s="2" t="s">
        <v>16</v>
      </c>
    </row>
    <row r="370" ht="14.25" customHeight="1">
      <c r="A370" s="2" t="s">
        <v>441</v>
      </c>
      <c r="B370" s="2" t="s">
        <v>18</v>
      </c>
      <c r="C370" s="2" t="s">
        <v>13</v>
      </c>
      <c r="D370" s="2" t="s">
        <v>143</v>
      </c>
      <c r="F370" s="3">
        <v>45268.0</v>
      </c>
      <c r="G370" s="3">
        <v>45413.0</v>
      </c>
      <c r="H370" s="2">
        <v>145.0</v>
      </c>
      <c r="I370" s="2">
        <v>4.159520675E9</v>
      </c>
      <c r="J370" s="2" t="s">
        <v>26</v>
      </c>
      <c r="K370" s="2" t="s">
        <v>16</v>
      </c>
    </row>
    <row r="371" ht="14.25" customHeight="1">
      <c r="A371" s="2" t="s">
        <v>442</v>
      </c>
      <c r="B371" s="2" t="s">
        <v>18</v>
      </c>
      <c r="C371" s="2" t="s">
        <v>42</v>
      </c>
      <c r="D371" s="2" t="s">
        <v>135</v>
      </c>
      <c r="F371" s="3">
        <v>45008.0</v>
      </c>
      <c r="G371" s="3">
        <v>45268.0</v>
      </c>
      <c r="H371" s="2">
        <v>260.0</v>
      </c>
      <c r="I371" s="2">
        <v>1.109098605E9</v>
      </c>
      <c r="J371" s="2" t="s">
        <v>33</v>
      </c>
      <c r="K371" s="2" t="s">
        <v>16</v>
      </c>
    </row>
    <row r="372" ht="14.25" customHeight="1">
      <c r="A372" s="2" t="s">
        <v>443</v>
      </c>
      <c r="B372" s="2" t="s">
        <v>35</v>
      </c>
      <c r="C372" s="2" t="s">
        <v>48</v>
      </c>
      <c r="D372" s="2" t="s">
        <v>49</v>
      </c>
      <c r="E372" s="2">
        <v>3.9</v>
      </c>
      <c r="F372" s="3">
        <v>45162.0</v>
      </c>
      <c r="G372" s="3">
        <v>45254.0</v>
      </c>
      <c r="H372" s="2">
        <v>92.0</v>
      </c>
      <c r="I372" s="2">
        <v>4.389231268E9</v>
      </c>
      <c r="K372" s="2" t="s">
        <v>16</v>
      </c>
    </row>
    <row r="373" ht="14.25" customHeight="1">
      <c r="A373" s="2" t="s">
        <v>444</v>
      </c>
      <c r="B373" s="2" t="s">
        <v>60</v>
      </c>
      <c r="C373" s="2" t="s">
        <v>19</v>
      </c>
      <c r="D373" s="2" t="s">
        <v>87</v>
      </c>
      <c r="F373" s="3">
        <v>45009.0</v>
      </c>
      <c r="G373" s="3">
        <v>45316.0</v>
      </c>
      <c r="H373" s="2">
        <v>307.0</v>
      </c>
      <c r="I373" s="2">
        <v>1.602590465E9</v>
      </c>
      <c r="J373" s="2" t="s">
        <v>33</v>
      </c>
      <c r="K373" s="2" t="s">
        <v>16</v>
      </c>
    </row>
    <row r="374" ht="14.25" customHeight="1">
      <c r="A374" s="2" t="s">
        <v>445</v>
      </c>
      <c r="B374" s="2" t="s">
        <v>12</v>
      </c>
      <c r="C374" s="2" t="s">
        <v>19</v>
      </c>
      <c r="D374" s="2" t="s">
        <v>28</v>
      </c>
      <c r="E374" s="2">
        <v>26.45</v>
      </c>
      <c r="F374" s="3">
        <v>45020.0</v>
      </c>
      <c r="G374" s="3">
        <v>45381.0</v>
      </c>
      <c r="H374" s="2">
        <v>361.0</v>
      </c>
      <c r="I374" s="2">
        <v>8.4000383E8</v>
      </c>
      <c r="J374" s="2" t="s">
        <v>26</v>
      </c>
      <c r="K374" s="2" t="s">
        <v>22</v>
      </c>
    </row>
    <row r="375" ht="14.25" customHeight="1">
      <c r="A375" s="2" t="s">
        <v>446</v>
      </c>
      <c r="B375" s="2" t="s">
        <v>30</v>
      </c>
      <c r="C375" s="2" t="s">
        <v>39</v>
      </c>
      <c r="D375" s="2" t="s">
        <v>40</v>
      </c>
      <c r="F375" s="3">
        <v>45369.0</v>
      </c>
      <c r="G375" s="3">
        <v>45191.0</v>
      </c>
      <c r="H375" s="2">
        <v>-178.0</v>
      </c>
      <c r="I375" s="2">
        <v>7.54872847E8</v>
      </c>
      <c r="J375" s="2" t="s">
        <v>67</v>
      </c>
      <c r="K375" s="2" t="s">
        <v>16</v>
      </c>
    </row>
    <row r="376" ht="14.25" customHeight="1">
      <c r="A376" s="2" t="s">
        <v>447</v>
      </c>
      <c r="B376" s="2" t="s">
        <v>35</v>
      </c>
      <c r="C376" s="2" t="s">
        <v>31</v>
      </c>
      <c r="D376" s="2" t="s">
        <v>91</v>
      </c>
      <c r="E376" s="2">
        <v>4.92</v>
      </c>
      <c r="F376" s="3">
        <v>44951.0</v>
      </c>
      <c r="G376" s="3">
        <v>45262.0</v>
      </c>
      <c r="H376" s="2">
        <v>311.0</v>
      </c>
      <c r="I376" s="2">
        <v>4.303891111E9</v>
      </c>
      <c r="J376" s="2" t="s">
        <v>67</v>
      </c>
      <c r="K376" s="2" t="s">
        <v>16</v>
      </c>
    </row>
    <row r="377" ht="14.25" customHeight="1">
      <c r="A377" s="2" t="s">
        <v>448</v>
      </c>
      <c r="B377" s="2" t="s">
        <v>30</v>
      </c>
      <c r="C377" s="2" t="s">
        <v>31</v>
      </c>
      <c r="D377" s="2" t="s">
        <v>32</v>
      </c>
      <c r="F377" s="3">
        <v>45167.0</v>
      </c>
      <c r="G377" s="3">
        <v>45453.0</v>
      </c>
      <c r="H377" s="2">
        <v>286.0</v>
      </c>
      <c r="I377" s="2">
        <v>2.996543076E9</v>
      </c>
      <c r="J377" s="2" t="s">
        <v>67</v>
      </c>
      <c r="K377" s="2" t="s">
        <v>16</v>
      </c>
    </row>
    <row r="378" ht="14.25" customHeight="1">
      <c r="A378" s="2" t="s">
        <v>449</v>
      </c>
      <c r="B378" s="2" t="s">
        <v>60</v>
      </c>
      <c r="C378" s="2" t="s">
        <v>36</v>
      </c>
      <c r="D378" s="2" t="s">
        <v>61</v>
      </c>
      <c r="F378" s="3">
        <v>45509.0</v>
      </c>
      <c r="G378" s="3">
        <v>45187.0</v>
      </c>
      <c r="H378" s="2">
        <v>-322.0</v>
      </c>
      <c r="I378" s="2">
        <v>2.298809413E9</v>
      </c>
      <c r="J378" s="2" t="s">
        <v>67</v>
      </c>
      <c r="K378" s="2" t="s">
        <v>16</v>
      </c>
    </row>
    <row r="379" ht="14.25" customHeight="1">
      <c r="A379" s="2" t="s">
        <v>450</v>
      </c>
      <c r="B379" s="2" t="s">
        <v>12</v>
      </c>
      <c r="C379" s="2" t="s">
        <v>19</v>
      </c>
      <c r="D379" s="2" t="s">
        <v>28</v>
      </c>
      <c r="E379" s="2">
        <v>18.3</v>
      </c>
      <c r="F379" s="3">
        <v>45059.0</v>
      </c>
      <c r="G379" s="3">
        <v>45390.0</v>
      </c>
      <c r="H379" s="2">
        <v>331.0</v>
      </c>
      <c r="I379" s="2">
        <v>4.700731298E9</v>
      </c>
      <c r="J379" s="2" t="s">
        <v>33</v>
      </c>
      <c r="K379" s="2" t="s">
        <v>22</v>
      </c>
    </row>
    <row r="380" ht="14.25" customHeight="1">
      <c r="A380" s="2" t="s">
        <v>451</v>
      </c>
      <c r="B380" s="2" t="s">
        <v>60</v>
      </c>
      <c r="C380" s="2" t="s">
        <v>48</v>
      </c>
      <c r="D380" s="2" t="s">
        <v>66</v>
      </c>
      <c r="F380" s="3">
        <v>44986.0</v>
      </c>
      <c r="G380" s="3">
        <v>45105.0</v>
      </c>
      <c r="H380" s="2">
        <v>119.0</v>
      </c>
      <c r="I380" s="2">
        <v>4.655492935E9</v>
      </c>
      <c r="J380" s="2" t="s">
        <v>50</v>
      </c>
      <c r="K380" s="2" t="s">
        <v>16</v>
      </c>
    </row>
    <row r="381" ht="14.25" customHeight="1">
      <c r="A381" s="2" t="s">
        <v>452</v>
      </c>
      <c r="B381" s="2" t="s">
        <v>30</v>
      </c>
      <c r="C381" s="2" t="s">
        <v>39</v>
      </c>
      <c r="D381" s="2" t="s">
        <v>40</v>
      </c>
      <c r="F381" s="3">
        <v>45080.0</v>
      </c>
      <c r="G381" s="3">
        <v>45423.0</v>
      </c>
      <c r="H381" s="2">
        <v>343.0</v>
      </c>
      <c r="I381" s="2">
        <v>3.094133672E9</v>
      </c>
      <c r="J381" s="2" t="s">
        <v>33</v>
      </c>
      <c r="K381" s="2" t="s">
        <v>22</v>
      </c>
    </row>
    <row r="382" ht="14.25" customHeight="1">
      <c r="A382" s="2" t="s">
        <v>453</v>
      </c>
      <c r="B382" s="2" t="s">
        <v>12</v>
      </c>
      <c r="C382" s="2" t="s">
        <v>48</v>
      </c>
      <c r="D382" s="2" t="s">
        <v>171</v>
      </c>
      <c r="E382" s="2">
        <v>13.16</v>
      </c>
      <c r="F382" s="3">
        <v>45143.0</v>
      </c>
      <c r="G382" s="3">
        <v>45201.0</v>
      </c>
      <c r="H382" s="2">
        <v>58.0</v>
      </c>
      <c r="I382" s="2">
        <v>1.801438952E9</v>
      </c>
      <c r="J382" s="2" t="s">
        <v>33</v>
      </c>
      <c r="K382" s="2" t="s">
        <v>16</v>
      </c>
    </row>
    <row r="383" ht="14.25" customHeight="1">
      <c r="A383" s="2" t="s">
        <v>454</v>
      </c>
      <c r="B383" s="2" t="s">
        <v>35</v>
      </c>
      <c r="C383" s="2" t="s">
        <v>39</v>
      </c>
      <c r="D383" s="2" t="s">
        <v>145</v>
      </c>
      <c r="E383" s="2">
        <v>3.89</v>
      </c>
      <c r="F383" s="3">
        <v>45168.0</v>
      </c>
      <c r="G383" s="3">
        <v>45236.0</v>
      </c>
      <c r="H383" s="2">
        <v>68.0</v>
      </c>
      <c r="I383" s="2">
        <v>3.654306193E9</v>
      </c>
      <c r="J383" s="2" t="s">
        <v>50</v>
      </c>
      <c r="K383" s="2" t="s">
        <v>16</v>
      </c>
    </row>
    <row r="384" ht="14.25" customHeight="1">
      <c r="A384" s="2" t="s">
        <v>455</v>
      </c>
      <c r="B384" s="2" t="s">
        <v>12</v>
      </c>
      <c r="C384" s="2" t="s">
        <v>31</v>
      </c>
      <c r="D384" s="2" t="s">
        <v>83</v>
      </c>
      <c r="E384" s="2">
        <v>44.18</v>
      </c>
      <c r="F384" s="3">
        <v>45055.0</v>
      </c>
      <c r="G384" s="3">
        <v>44950.0</v>
      </c>
      <c r="H384" s="2">
        <v>-105.0</v>
      </c>
      <c r="I384" s="2">
        <v>3.158941776E9</v>
      </c>
      <c r="J384" s="2" t="s">
        <v>67</v>
      </c>
      <c r="K384" s="2" t="s">
        <v>16</v>
      </c>
    </row>
    <row r="385" ht="14.25" customHeight="1">
      <c r="A385" s="2" t="s">
        <v>456</v>
      </c>
      <c r="B385" s="2" t="s">
        <v>18</v>
      </c>
      <c r="C385" s="2" t="s">
        <v>39</v>
      </c>
      <c r="D385" s="2" t="s">
        <v>53</v>
      </c>
      <c r="F385" s="3">
        <v>45031.0</v>
      </c>
      <c r="G385" s="3">
        <v>45123.0</v>
      </c>
      <c r="H385" s="2">
        <v>92.0</v>
      </c>
      <c r="I385" s="2">
        <v>8.10544145E8</v>
      </c>
      <c r="J385" s="2" t="s">
        <v>33</v>
      </c>
      <c r="K385" s="2" t="s">
        <v>22</v>
      </c>
    </row>
    <row r="386" ht="14.25" customHeight="1">
      <c r="A386" s="2" t="s">
        <v>457</v>
      </c>
      <c r="B386" s="2" t="s">
        <v>60</v>
      </c>
      <c r="C386" s="2" t="s">
        <v>36</v>
      </c>
      <c r="D386" s="2" t="s">
        <v>61</v>
      </c>
      <c r="F386" s="3">
        <v>45009.0</v>
      </c>
      <c r="G386" s="3">
        <v>45280.0</v>
      </c>
      <c r="H386" s="2">
        <v>271.0</v>
      </c>
      <c r="I386" s="2">
        <v>1.636890242E9</v>
      </c>
      <c r="J386" s="2" t="s">
        <v>33</v>
      </c>
      <c r="K386" s="2" t="s">
        <v>16</v>
      </c>
    </row>
    <row r="387" ht="14.25" customHeight="1">
      <c r="A387" s="2" t="s">
        <v>458</v>
      </c>
      <c r="B387" s="2" t="s">
        <v>30</v>
      </c>
      <c r="C387" s="2" t="s">
        <v>48</v>
      </c>
      <c r="D387" s="2" t="s">
        <v>101</v>
      </c>
      <c r="F387" s="3">
        <v>44950.0</v>
      </c>
      <c r="G387" s="3">
        <v>45023.0</v>
      </c>
      <c r="H387" s="2">
        <v>73.0</v>
      </c>
      <c r="I387" s="2">
        <v>7.78449433E8</v>
      </c>
      <c r="J387" s="2" t="s">
        <v>44</v>
      </c>
      <c r="K387" s="2" t="s">
        <v>22</v>
      </c>
    </row>
    <row r="388" ht="14.25" customHeight="1">
      <c r="A388" s="2" t="s">
        <v>459</v>
      </c>
      <c r="B388" s="2" t="s">
        <v>18</v>
      </c>
      <c r="C388" s="2" t="s">
        <v>24</v>
      </c>
      <c r="D388" s="2" t="s">
        <v>95</v>
      </c>
      <c r="F388" s="3">
        <v>45287.0</v>
      </c>
      <c r="G388" s="3">
        <v>45343.0</v>
      </c>
      <c r="H388" s="2">
        <v>56.0</v>
      </c>
      <c r="I388" s="2">
        <v>3.520519105E9</v>
      </c>
      <c r="K388" s="2" t="s">
        <v>16</v>
      </c>
    </row>
    <row r="389" ht="14.25" customHeight="1">
      <c r="A389" s="2" t="s">
        <v>460</v>
      </c>
      <c r="B389" s="2" t="s">
        <v>12</v>
      </c>
      <c r="C389" s="2" t="s">
        <v>19</v>
      </c>
      <c r="D389" s="2" t="s">
        <v>28</v>
      </c>
      <c r="E389" s="2">
        <v>19.09</v>
      </c>
      <c r="F389" s="3">
        <v>45081.0</v>
      </c>
      <c r="G389" s="3">
        <v>45142.0</v>
      </c>
      <c r="H389" s="2">
        <v>61.0</v>
      </c>
      <c r="I389" s="2">
        <v>1.332548604E9</v>
      </c>
      <c r="J389" s="2" t="s">
        <v>50</v>
      </c>
      <c r="K389" s="2" t="s">
        <v>22</v>
      </c>
    </row>
    <row r="390" ht="14.25" customHeight="1">
      <c r="A390" s="2" t="s">
        <v>461</v>
      </c>
      <c r="B390" s="2" t="s">
        <v>60</v>
      </c>
      <c r="C390" s="2" t="s">
        <v>13</v>
      </c>
      <c r="D390" s="2" t="s">
        <v>182</v>
      </c>
      <c r="F390" s="3">
        <v>45136.0</v>
      </c>
      <c r="G390" s="3">
        <v>45380.0</v>
      </c>
      <c r="H390" s="2">
        <v>244.0</v>
      </c>
      <c r="I390" s="2">
        <v>4.394738122E9</v>
      </c>
      <c r="J390" s="2" t="s">
        <v>21</v>
      </c>
      <c r="K390" s="2" t="s">
        <v>22</v>
      </c>
    </row>
    <row r="391" ht="14.25" customHeight="1">
      <c r="A391" s="2" t="s">
        <v>462</v>
      </c>
      <c r="B391" s="2" t="s">
        <v>18</v>
      </c>
      <c r="C391" s="2" t="s">
        <v>24</v>
      </c>
      <c r="D391" s="2" t="s">
        <v>95</v>
      </c>
      <c r="F391" s="3">
        <v>45017.0</v>
      </c>
      <c r="G391" s="3">
        <v>45053.0</v>
      </c>
      <c r="H391" s="2">
        <v>36.0</v>
      </c>
      <c r="I391" s="2">
        <v>3.940550451E9</v>
      </c>
      <c r="J391" s="2" t="s">
        <v>44</v>
      </c>
      <c r="K391" s="2" t="s">
        <v>16</v>
      </c>
    </row>
    <row r="392" ht="14.25" customHeight="1">
      <c r="A392" s="2" t="s">
        <v>463</v>
      </c>
      <c r="B392" s="2" t="s">
        <v>30</v>
      </c>
      <c r="C392" s="2" t="s">
        <v>31</v>
      </c>
      <c r="D392" s="2" t="s">
        <v>32</v>
      </c>
      <c r="F392" s="3">
        <v>45049.0</v>
      </c>
      <c r="G392" s="3">
        <v>45401.0</v>
      </c>
      <c r="H392" s="2">
        <v>352.0</v>
      </c>
      <c r="I392" s="2">
        <v>3.935905756E9</v>
      </c>
      <c r="J392" s="2" t="s">
        <v>26</v>
      </c>
      <c r="K392" s="2" t="s">
        <v>16</v>
      </c>
    </row>
    <row r="393" ht="14.25" customHeight="1">
      <c r="A393" s="2" t="s">
        <v>464</v>
      </c>
      <c r="B393" s="2" t="s">
        <v>30</v>
      </c>
      <c r="C393" s="2" t="s">
        <v>19</v>
      </c>
      <c r="D393" s="2" t="s">
        <v>58</v>
      </c>
      <c r="F393" s="3">
        <v>45255.0</v>
      </c>
      <c r="G393" s="3">
        <v>45461.0</v>
      </c>
      <c r="H393" s="2">
        <v>206.0</v>
      </c>
      <c r="I393" s="2">
        <v>1.346956957E9</v>
      </c>
      <c r="K393" s="2" t="s">
        <v>16</v>
      </c>
    </row>
    <row r="394" ht="14.25" customHeight="1">
      <c r="A394" s="2" t="s">
        <v>465</v>
      </c>
      <c r="B394" s="2" t="s">
        <v>30</v>
      </c>
      <c r="C394" s="2" t="s">
        <v>39</v>
      </c>
      <c r="D394" s="2" t="s">
        <v>40</v>
      </c>
      <c r="F394" s="3">
        <v>45194.0</v>
      </c>
      <c r="G394" s="3">
        <v>45231.0</v>
      </c>
      <c r="H394" s="2">
        <v>37.0</v>
      </c>
      <c r="I394" s="2">
        <v>1.151068145E9</v>
      </c>
      <c r="J394" s="2" t="s">
        <v>67</v>
      </c>
      <c r="K394" s="2" t="s">
        <v>16</v>
      </c>
    </row>
    <row r="395" ht="14.25" customHeight="1">
      <c r="A395" s="2" t="s">
        <v>466</v>
      </c>
      <c r="B395" s="2" t="s">
        <v>60</v>
      </c>
      <c r="C395" s="2" t="s">
        <v>31</v>
      </c>
      <c r="D395" s="2" t="s">
        <v>111</v>
      </c>
      <c r="F395" s="3">
        <v>44935.0</v>
      </c>
      <c r="G395" s="3">
        <v>44971.0</v>
      </c>
      <c r="H395" s="2">
        <v>36.0</v>
      </c>
      <c r="I395" s="2">
        <v>3.703019558E9</v>
      </c>
      <c r="J395" s="2" t="s">
        <v>44</v>
      </c>
      <c r="K395" s="2" t="s">
        <v>22</v>
      </c>
    </row>
    <row r="396" ht="14.25" customHeight="1">
      <c r="A396" s="2" t="s">
        <v>467</v>
      </c>
      <c r="B396" s="2" t="s">
        <v>18</v>
      </c>
      <c r="C396" s="2" t="s">
        <v>13</v>
      </c>
      <c r="D396" s="2" t="s">
        <v>143</v>
      </c>
      <c r="F396" s="3">
        <v>44939.0</v>
      </c>
      <c r="G396" s="3">
        <v>45185.0</v>
      </c>
      <c r="H396" s="2">
        <v>246.0</v>
      </c>
      <c r="I396" s="2">
        <v>4.501329618E9</v>
      </c>
      <c r="J396" s="2" t="s">
        <v>26</v>
      </c>
      <c r="K396" s="2" t="s">
        <v>22</v>
      </c>
    </row>
    <row r="397" ht="14.25" customHeight="1">
      <c r="A397" s="2" t="s">
        <v>468</v>
      </c>
      <c r="B397" s="2" t="s">
        <v>12</v>
      </c>
      <c r="C397" s="2" t="s">
        <v>48</v>
      </c>
      <c r="D397" s="2" t="s">
        <v>171</v>
      </c>
      <c r="E397" s="2">
        <v>46.14</v>
      </c>
      <c r="F397" s="3">
        <v>45207.0</v>
      </c>
      <c r="G397" s="3">
        <v>45572.0</v>
      </c>
      <c r="H397" s="2">
        <v>365.0</v>
      </c>
      <c r="I397" s="2">
        <v>2.360422703E9</v>
      </c>
      <c r="J397" s="2" t="s">
        <v>67</v>
      </c>
      <c r="K397" s="2" t="s">
        <v>22</v>
      </c>
    </row>
    <row r="398" ht="14.25" customHeight="1">
      <c r="A398" s="2" t="s">
        <v>469</v>
      </c>
      <c r="B398" s="2" t="s">
        <v>35</v>
      </c>
      <c r="C398" s="2" t="s">
        <v>36</v>
      </c>
      <c r="D398" s="2" t="s">
        <v>37</v>
      </c>
      <c r="E398" s="2">
        <v>4.58</v>
      </c>
      <c r="F398" s="3">
        <v>45055.0</v>
      </c>
      <c r="G398" s="3">
        <v>45273.0</v>
      </c>
      <c r="H398" s="2">
        <v>218.0</v>
      </c>
      <c r="I398" s="2">
        <v>1.926029132E9</v>
      </c>
      <c r="J398" s="2" t="s">
        <v>26</v>
      </c>
      <c r="K398" s="2" t="s">
        <v>16</v>
      </c>
    </row>
    <row r="399" ht="14.25" customHeight="1">
      <c r="A399" s="2" t="s">
        <v>470</v>
      </c>
      <c r="B399" s="2" t="s">
        <v>30</v>
      </c>
      <c r="C399" s="2" t="s">
        <v>36</v>
      </c>
      <c r="D399" s="2" t="s">
        <v>93</v>
      </c>
      <c r="F399" s="3">
        <v>44941.0</v>
      </c>
      <c r="G399" s="3">
        <v>45095.0</v>
      </c>
      <c r="H399" s="2">
        <v>154.0</v>
      </c>
      <c r="I399" s="2">
        <v>3.422170546E9</v>
      </c>
      <c r="K399" s="2" t="s">
        <v>16</v>
      </c>
    </row>
    <row r="400" ht="14.25" customHeight="1">
      <c r="A400" s="2" t="s">
        <v>471</v>
      </c>
      <c r="B400" s="2" t="s">
        <v>35</v>
      </c>
      <c r="C400" s="2" t="s">
        <v>24</v>
      </c>
      <c r="D400" s="2" t="s">
        <v>133</v>
      </c>
      <c r="E400" s="2">
        <v>4.06</v>
      </c>
      <c r="F400" s="3">
        <v>45346.0</v>
      </c>
      <c r="G400" s="3">
        <v>45031.0</v>
      </c>
      <c r="H400" s="2">
        <v>-315.0</v>
      </c>
      <c r="I400" s="2">
        <v>3.187951091E9</v>
      </c>
      <c r="J400" s="2" t="s">
        <v>50</v>
      </c>
      <c r="K400" s="2" t="s">
        <v>22</v>
      </c>
    </row>
    <row r="401" ht="14.25" customHeight="1">
      <c r="A401" s="2" t="s">
        <v>472</v>
      </c>
      <c r="B401" s="2" t="s">
        <v>60</v>
      </c>
      <c r="C401" s="2" t="s">
        <v>36</v>
      </c>
      <c r="D401" s="2" t="s">
        <v>61</v>
      </c>
      <c r="F401" s="3">
        <v>45057.0</v>
      </c>
      <c r="G401" s="3">
        <v>45261.0</v>
      </c>
      <c r="H401" s="2">
        <v>204.0</v>
      </c>
      <c r="I401" s="2">
        <v>1.172184978E9</v>
      </c>
      <c r="J401" s="2" t="s">
        <v>21</v>
      </c>
      <c r="K401" s="2" t="s">
        <v>22</v>
      </c>
    </row>
    <row r="402" ht="14.25" customHeight="1">
      <c r="A402" s="2" t="s">
        <v>473</v>
      </c>
      <c r="B402" s="2" t="s">
        <v>35</v>
      </c>
      <c r="C402" s="2" t="s">
        <v>13</v>
      </c>
      <c r="D402" s="2" t="s">
        <v>78</v>
      </c>
      <c r="E402" s="2">
        <v>1.83</v>
      </c>
      <c r="F402" s="3">
        <v>45125.0</v>
      </c>
      <c r="G402" s="3">
        <v>45277.0</v>
      </c>
      <c r="H402" s="2">
        <v>152.0</v>
      </c>
      <c r="I402" s="2">
        <v>4.574000268E9</v>
      </c>
      <c r="K402" s="2" t="s">
        <v>22</v>
      </c>
    </row>
    <row r="403" ht="14.25" customHeight="1">
      <c r="A403" s="2" t="s">
        <v>474</v>
      </c>
      <c r="B403" s="2" t="s">
        <v>12</v>
      </c>
      <c r="C403" s="2" t="s">
        <v>36</v>
      </c>
      <c r="D403" s="2" t="s">
        <v>46</v>
      </c>
      <c r="E403" s="2">
        <v>35.4</v>
      </c>
      <c r="F403" s="3">
        <v>45026.0</v>
      </c>
      <c r="G403" s="3">
        <v>45320.0</v>
      </c>
      <c r="H403" s="2">
        <v>294.0</v>
      </c>
      <c r="I403" s="2">
        <v>1.270905259E9</v>
      </c>
      <c r="J403" s="2" t="s">
        <v>67</v>
      </c>
      <c r="K403" s="2" t="s">
        <v>22</v>
      </c>
    </row>
    <row r="404" ht="14.25" customHeight="1">
      <c r="A404" s="2" t="s">
        <v>475</v>
      </c>
      <c r="B404" s="2" t="s">
        <v>35</v>
      </c>
      <c r="C404" s="2" t="s">
        <v>31</v>
      </c>
      <c r="D404" s="2" t="s">
        <v>91</v>
      </c>
      <c r="E404" s="2">
        <v>1.42</v>
      </c>
      <c r="F404" s="3">
        <v>44994.0</v>
      </c>
      <c r="G404" s="3">
        <v>45231.0</v>
      </c>
      <c r="H404" s="2">
        <v>237.0</v>
      </c>
      <c r="I404" s="2">
        <v>3.332041783E9</v>
      </c>
      <c r="J404" s="2" t="s">
        <v>44</v>
      </c>
      <c r="K404" s="2" t="s">
        <v>22</v>
      </c>
    </row>
    <row r="405" ht="14.25" customHeight="1">
      <c r="A405" s="2" t="s">
        <v>476</v>
      </c>
      <c r="B405" s="2" t="s">
        <v>60</v>
      </c>
      <c r="C405" s="2" t="s">
        <v>42</v>
      </c>
      <c r="D405" s="2" t="s">
        <v>154</v>
      </c>
      <c r="F405" s="3">
        <v>44990.0</v>
      </c>
      <c r="G405" s="3">
        <v>45311.0</v>
      </c>
      <c r="H405" s="2">
        <v>321.0</v>
      </c>
      <c r="I405" s="2">
        <v>2.563343661E9</v>
      </c>
      <c r="J405" s="2" t="s">
        <v>44</v>
      </c>
      <c r="K405" s="2" t="s">
        <v>16</v>
      </c>
    </row>
    <row r="406" ht="14.25" customHeight="1">
      <c r="A406" s="2" t="s">
        <v>477</v>
      </c>
      <c r="B406" s="2" t="s">
        <v>60</v>
      </c>
      <c r="C406" s="2" t="s">
        <v>39</v>
      </c>
      <c r="D406" s="2" t="s">
        <v>185</v>
      </c>
      <c r="F406" s="3">
        <v>44965.0</v>
      </c>
      <c r="G406" s="3">
        <v>45066.0</v>
      </c>
      <c r="H406" s="2">
        <v>101.0</v>
      </c>
      <c r="I406" s="2">
        <v>1.98765842E9</v>
      </c>
      <c r="J406" s="2" t="s">
        <v>44</v>
      </c>
      <c r="K406" s="2" t="s">
        <v>16</v>
      </c>
    </row>
    <row r="407" ht="14.25" customHeight="1">
      <c r="A407" s="2" t="s">
        <v>478</v>
      </c>
      <c r="B407" s="2" t="s">
        <v>18</v>
      </c>
      <c r="C407" s="2" t="s">
        <v>39</v>
      </c>
      <c r="D407" s="2" t="s">
        <v>53</v>
      </c>
      <c r="F407" s="3">
        <v>45187.0</v>
      </c>
      <c r="G407" s="3">
        <v>45493.0</v>
      </c>
      <c r="H407" s="2">
        <v>306.0</v>
      </c>
      <c r="I407" s="2">
        <v>2.378015996E9</v>
      </c>
      <c r="J407" s="2" t="s">
        <v>26</v>
      </c>
      <c r="K407" s="2" t="s">
        <v>22</v>
      </c>
    </row>
    <row r="408" ht="14.25" customHeight="1">
      <c r="A408" s="2" t="s">
        <v>479</v>
      </c>
      <c r="B408" s="2" t="s">
        <v>60</v>
      </c>
      <c r="C408" s="2" t="s">
        <v>36</v>
      </c>
      <c r="D408" s="2" t="s">
        <v>61</v>
      </c>
      <c r="F408" s="3">
        <v>45395.0</v>
      </c>
      <c r="G408" s="3">
        <v>45132.0</v>
      </c>
      <c r="H408" s="2">
        <v>-263.0</v>
      </c>
      <c r="I408" s="2">
        <v>3.512241019E9</v>
      </c>
      <c r="J408" s="2" t="s">
        <v>50</v>
      </c>
      <c r="K408" s="2" t="s">
        <v>22</v>
      </c>
    </row>
    <row r="409" ht="14.25" customHeight="1">
      <c r="A409" s="2" t="s">
        <v>480</v>
      </c>
      <c r="B409" s="2" t="s">
        <v>30</v>
      </c>
      <c r="C409" s="2" t="s">
        <v>13</v>
      </c>
      <c r="D409" s="2" t="s">
        <v>56</v>
      </c>
      <c r="F409" s="3">
        <v>45106.0</v>
      </c>
      <c r="G409" s="3">
        <v>45212.0</v>
      </c>
      <c r="H409" s="2">
        <v>106.0</v>
      </c>
      <c r="I409" s="2">
        <v>6.65731145E8</v>
      </c>
      <c r="J409" s="2" t="s">
        <v>15</v>
      </c>
      <c r="K409" s="2" t="s">
        <v>22</v>
      </c>
    </row>
    <row r="410" ht="14.25" customHeight="1">
      <c r="A410" s="2" t="s">
        <v>481</v>
      </c>
      <c r="B410" s="2" t="s">
        <v>18</v>
      </c>
      <c r="C410" s="2" t="s">
        <v>13</v>
      </c>
      <c r="D410" s="2" t="s">
        <v>143</v>
      </c>
      <c r="F410" s="3">
        <v>45099.0</v>
      </c>
      <c r="G410" s="3">
        <v>45245.0</v>
      </c>
      <c r="H410" s="2">
        <v>146.0</v>
      </c>
      <c r="I410" s="2">
        <v>2.002675874E9</v>
      </c>
      <c r="J410" s="2" t="s">
        <v>15</v>
      </c>
      <c r="K410" s="2" t="s">
        <v>16</v>
      </c>
    </row>
    <row r="411" ht="14.25" customHeight="1">
      <c r="A411" s="2" t="s">
        <v>482</v>
      </c>
      <c r="B411" s="2" t="s">
        <v>30</v>
      </c>
      <c r="C411" s="2" t="s">
        <v>48</v>
      </c>
      <c r="D411" s="2" t="s">
        <v>101</v>
      </c>
      <c r="F411" s="3">
        <v>45220.0</v>
      </c>
      <c r="G411" s="3">
        <v>45327.0</v>
      </c>
      <c r="H411" s="2">
        <v>107.0</v>
      </c>
      <c r="I411" s="2">
        <v>3.669779091E9</v>
      </c>
      <c r="J411" s="2" t="s">
        <v>67</v>
      </c>
      <c r="K411" s="2" t="s">
        <v>22</v>
      </c>
    </row>
    <row r="412" ht="14.25" customHeight="1">
      <c r="A412" s="2" t="s">
        <v>483</v>
      </c>
      <c r="B412" s="2" t="s">
        <v>60</v>
      </c>
      <c r="C412" s="2" t="s">
        <v>31</v>
      </c>
      <c r="D412" s="2" t="s">
        <v>111</v>
      </c>
      <c r="F412" s="3">
        <v>45081.0</v>
      </c>
      <c r="G412" s="3">
        <v>45386.0</v>
      </c>
      <c r="H412" s="2">
        <v>305.0</v>
      </c>
      <c r="I412" s="2">
        <v>2.278178091E9</v>
      </c>
      <c r="J412" s="2" t="s">
        <v>67</v>
      </c>
      <c r="K412" s="2" t="s">
        <v>16</v>
      </c>
    </row>
    <row r="413" ht="14.25" customHeight="1">
      <c r="A413" s="2" t="s">
        <v>484</v>
      </c>
      <c r="B413" s="2" t="s">
        <v>18</v>
      </c>
      <c r="C413" s="2" t="s">
        <v>48</v>
      </c>
      <c r="D413" s="2" t="s">
        <v>121</v>
      </c>
      <c r="F413" s="3">
        <v>45133.0</v>
      </c>
      <c r="G413" s="3">
        <v>45429.0</v>
      </c>
      <c r="H413" s="2">
        <v>296.0</v>
      </c>
      <c r="I413" s="2">
        <v>6.15227784E8</v>
      </c>
      <c r="J413" s="2" t="s">
        <v>67</v>
      </c>
      <c r="K413" s="2" t="s">
        <v>16</v>
      </c>
    </row>
    <row r="414" ht="14.25" customHeight="1">
      <c r="A414" s="2" t="s">
        <v>485</v>
      </c>
      <c r="B414" s="2" t="s">
        <v>18</v>
      </c>
      <c r="C414" s="2" t="s">
        <v>36</v>
      </c>
      <c r="D414" s="2" t="s">
        <v>71</v>
      </c>
      <c r="F414" s="3">
        <v>45149.0</v>
      </c>
      <c r="G414" s="3">
        <v>45285.0</v>
      </c>
      <c r="H414" s="2">
        <v>136.0</v>
      </c>
      <c r="I414" s="2">
        <v>4.852625379E9</v>
      </c>
      <c r="J414" s="2" t="s">
        <v>44</v>
      </c>
      <c r="K414" s="2" t="s">
        <v>22</v>
      </c>
    </row>
    <row r="415" ht="14.25" customHeight="1">
      <c r="A415" s="2" t="s">
        <v>486</v>
      </c>
      <c r="B415" s="2" t="s">
        <v>30</v>
      </c>
      <c r="C415" s="2" t="s">
        <v>39</v>
      </c>
      <c r="D415" s="2" t="s">
        <v>40</v>
      </c>
      <c r="F415" s="3">
        <v>45188.0</v>
      </c>
      <c r="G415" s="3">
        <v>45245.0</v>
      </c>
      <c r="H415" s="2">
        <v>57.0</v>
      </c>
      <c r="I415" s="2">
        <v>2.025433107E9</v>
      </c>
      <c r="J415" s="2" t="s">
        <v>50</v>
      </c>
      <c r="K415" s="2" t="s">
        <v>22</v>
      </c>
    </row>
    <row r="416" ht="14.25" customHeight="1">
      <c r="A416" s="2" t="s">
        <v>487</v>
      </c>
      <c r="B416" s="2" t="s">
        <v>18</v>
      </c>
      <c r="C416" s="2" t="s">
        <v>31</v>
      </c>
      <c r="D416" s="2" t="s">
        <v>74</v>
      </c>
      <c r="F416" s="3">
        <v>45118.0</v>
      </c>
      <c r="G416" s="3">
        <v>45452.0</v>
      </c>
      <c r="H416" s="2">
        <v>334.0</v>
      </c>
      <c r="I416" s="2">
        <v>4.44574101E9</v>
      </c>
      <c r="J416" s="2" t="s">
        <v>67</v>
      </c>
      <c r="K416" s="2" t="s">
        <v>22</v>
      </c>
    </row>
    <row r="417" ht="14.25" customHeight="1">
      <c r="A417" s="2" t="s">
        <v>488</v>
      </c>
      <c r="B417" s="2" t="s">
        <v>60</v>
      </c>
      <c r="C417" s="2" t="s">
        <v>24</v>
      </c>
      <c r="D417" s="2" t="s">
        <v>80</v>
      </c>
      <c r="F417" s="3">
        <v>45159.0</v>
      </c>
      <c r="G417" s="3">
        <v>45272.0</v>
      </c>
      <c r="H417" s="2">
        <v>113.0</v>
      </c>
      <c r="I417" s="2">
        <v>2.848920877E9</v>
      </c>
      <c r="J417" s="2" t="s">
        <v>50</v>
      </c>
      <c r="K417" s="2" t="s">
        <v>16</v>
      </c>
    </row>
    <row r="418" ht="14.25" customHeight="1">
      <c r="A418" s="2" t="s">
        <v>489</v>
      </c>
      <c r="B418" s="2" t="s">
        <v>18</v>
      </c>
      <c r="C418" s="2" t="s">
        <v>48</v>
      </c>
      <c r="D418" s="2" t="s">
        <v>121</v>
      </c>
      <c r="F418" s="3">
        <v>45260.0</v>
      </c>
      <c r="G418" s="3">
        <v>45384.0</v>
      </c>
      <c r="H418" s="2">
        <v>124.0</v>
      </c>
      <c r="I418" s="2">
        <v>3.100655734E9</v>
      </c>
      <c r="J418" s="2" t="s">
        <v>67</v>
      </c>
      <c r="K418" s="2" t="s">
        <v>16</v>
      </c>
    </row>
    <row r="419" ht="14.25" customHeight="1">
      <c r="A419" s="2" t="s">
        <v>490</v>
      </c>
      <c r="B419" s="2" t="s">
        <v>60</v>
      </c>
      <c r="C419" s="2" t="s">
        <v>48</v>
      </c>
      <c r="D419" s="2" t="s">
        <v>66</v>
      </c>
      <c r="F419" s="3">
        <v>45284.0</v>
      </c>
      <c r="G419" s="3">
        <v>45473.0</v>
      </c>
      <c r="H419" s="2">
        <v>189.0</v>
      </c>
      <c r="I419" s="2">
        <v>1.586028533E9</v>
      </c>
      <c r="J419" s="2" t="s">
        <v>21</v>
      </c>
      <c r="K419" s="2" t="s">
        <v>16</v>
      </c>
    </row>
    <row r="420" ht="14.25" customHeight="1">
      <c r="A420" s="2" t="s">
        <v>491</v>
      </c>
      <c r="B420" s="2" t="s">
        <v>30</v>
      </c>
      <c r="C420" s="2" t="s">
        <v>36</v>
      </c>
      <c r="D420" s="2" t="s">
        <v>93</v>
      </c>
      <c r="F420" s="3">
        <v>45178.0</v>
      </c>
      <c r="G420" s="3">
        <v>45279.0</v>
      </c>
      <c r="H420" s="2">
        <v>101.0</v>
      </c>
      <c r="I420" s="2">
        <v>9.1373382E8</v>
      </c>
      <c r="J420" s="2" t="s">
        <v>33</v>
      </c>
      <c r="K420" s="2" t="s">
        <v>22</v>
      </c>
    </row>
    <row r="421" ht="14.25" customHeight="1">
      <c r="A421" s="2" t="s">
        <v>492</v>
      </c>
      <c r="B421" s="2" t="s">
        <v>60</v>
      </c>
      <c r="C421" s="2" t="s">
        <v>19</v>
      </c>
      <c r="D421" s="2" t="s">
        <v>87</v>
      </c>
      <c r="F421" s="3">
        <v>44947.0</v>
      </c>
      <c r="G421" s="3">
        <v>45177.0</v>
      </c>
      <c r="H421" s="2">
        <v>230.0</v>
      </c>
      <c r="I421" s="2">
        <v>8.60825264E8</v>
      </c>
      <c r="J421" s="2" t="s">
        <v>33</v>
      </c>
      <c r="K421" s="2" t="s">
        <v>22</v>
      </c>
    </row>
    <row r="422" ht="14.25" customHeight="1">
      <c r="A422" s="2" t="s">
        <v>493</v>
      </c>
      <c r="B422" s="2" t="s">
        <v>30</v>
      </c>
      <c r="C422" s="2" t="s">
        <v>24</v>
      </c>
      <c r="D422" s="2" t="s">
        <v>85</v>
      </c>
      <c r="F422" s="3">
        <v>45160.0</v>
      </c>
      <c r="G422" s="3">
        <v>45197.0</v>
      </c>
      <c r="H422" s="2">
        <v>37.0</v>
      </c>
      <c r="I422" s="2">
        <v>4.819772203E9</v>
      </c>
      <c r="K422" s="2" t="s">
        <v>16</v>
      </c>
    </row>
    <row r="423" ht="14.25" customHeight="1">
      <c r="A423" s="2" t="s">
        <v>494</v>
      </c>
      <c r="B423" s="2" t="s">
        <v>35</v>
      </c>
      <c r="C423" s="2" t="s">
        <v>39</v>
      </c>
      <c r="D423" s="2" t="s">
        <v>145</v>
      </c>
      <c r="E423" s="2">
        <v>4.79</v>
      </c>
      <c r="F423" s="3">
        <v>44928.0</v>
      </c>
      <c r="G423" s="3">
        <v>45271.0</v>
      </c>
      <c r="H423" s="2">
        <v>343.0</v>
      </c>
      <c r="I423" s="2">
        <v>2.052551598E9</v>
      </c>
      <c r="K423" s="2" t="s">
        <v>16</v>
      </c>
    </row>
    <row r="424" ht="14.25" customHeight="1">
      <c r="A424" s="2" t="s">
        <v>495</v>
      </c>
      <c r="B424" s="2" t="s">
        <v>18</v>
      </c>
      <c r="C424" s="2" t="s">
        <v>48</v>
      </c>
      <c r="D424" s="2" t="s">
        <v>121</v>
      </c>
      <c r="F424" s="3">
        <v>45259.0</v>
      </c>
      <c r="G424" s="3">
        <v>45457.0</v>
      </c>
      <c r="H424" s="2">
        <v>198.0</v>
      </c>
      <c r="I424" s="2">
        <v>4.162093936E9</v>
      </c>
      <c r="J424" s="2" t="s">
        <v>26</v>
      </c>
      <c r="K424" s="2" t="s">
        <v>16</v>
      </c>
    </row>
    <row r="425" ht="14.25" customHeight="1">
      <c r="A425" s="2" t="s">
        <v>496</v>
      </c>
      <c r="B425" s="2" t="s">
        <v>18</v>
      </c>
      <c r="C425" s="2" t="s">
        <v>24</v>
      </c>
      <c r="D425" s="2" t="s">
        <v>95</v>
      </c>
      <c r="F425" s="3">
        <v>44949.0</v>
      </c>
      <c r="G425" s="3">
        <v>44986.0</v>
      </c>
      <c r="H425" s="2">
        <v>37.0</v>
      </c>
      <c r="I425" s="2">
        <v>2.552168451E9</v>
      </c>
      <c r="J425" s="2" t="s">
        <v>15</v>
      </c>
      <c r="K425" s="2" t="s">
        <v>22</v>
      </c>
    </row>
    <row r="426" ht="14.25" customHeight="1">
      <c r="A426" s="2" t="s">
        <v>497</v>
      </c>
      <c r="B426" s="2" t="s">
        <v>60</v>
      </c>
      <c r="C426" s="2" t="s">
        <v>24</v>
      </c>
      <c r="D426" s="2" t="s">
        <v>80</v>
      </c>
      <c r="F426" s="3">
        <v>45045.0</v>
      </c>
      <c r="G426" s="3">
        <v>45404.0</v>
      </c>
      <c r="H426" s="2">
        <v>359.0</v>
      </c>
      <c r="I426" s="2">
        <v>9.16485139E8</v>
      </c>
      <c r="J426" s="2" t="s">
        <v>26</v>
      </c>
      <c r="K426" s="2" t="s">
        <v>16</v>
      </c>
    </row>
    <row r="427" ht="14.25" customHeight="1">
      <c r="A427" s="2" t="s">
        <v>498</v>
      </c>
      <c r="B427" s="2" t="s">
        <v>30</v>
      </c>
      <c r="C427" s="2" t="s">
        <v>31</v>
      </c>
      <c r="D427" s="2" t="s">
        <v>32</v>
      </c>
      <c r="F427" s="3">
        <v>44991.0</v>
      </c>
      <c r="G427" s="3">
        <v>45269.0</v>
      </c>
      <c r="H427" s="2">
        <v>278.0</v>
      </c>
      <c r="I427" s="2">
        <v>1.299752291E9</v>
      </c>
      <c r="J427" s="2" t="s">
        <v>15</v>
      </c>
      <c r="K427" s="2" t="s">
        <v>22</v>
      </c>
    </row>
    <row r="428" ht="14.25" customHeight="1">
      <c r="A428" s="2" t="s">
        <v>499</v>
      </c>
      <c r="B428" s="2" t="s">
        <v>60</v>
      </c>
      <c r="C428" s="2" t="s">
        <v>36</v>
      </c>
      <c r="D428" s="2" t="s">
        <v>61</v>
      </c>
      <c r="F428" s="3">
        <v>45073.0</v>
      </c>
      <c r="G428" s="3">
        <v>45368.0</v>
      </c>
      <c r="H428" s="2">
        <v>295.0</v>
      </c>
      <c r="I428" s="2">
        <v>4.191553187E9</v>
      </c>
      <c r="J428" s="2" t="s">
        <v>67</v>
      </c>
      <c r="K428" s="2" t="s">
        <v>16</v>
      </c>
    </row>
    <row r="429" ht="14.25" customHeight="1">
      <c r="A429" s="2" t="s">
        <v>500</v>
      </c>
      <c r="B429" s="2" t="s">
        <v>30</v>
      </c>
      <c r="C429" s="2" t="s">
        <v>48</v>
      </c>
      <c r="D429" s="2" t="s">
        <v>101</v>
      </c>
      <c r="F429" s="3">
        <v>44942.0</v>
      </c>
      <c r="G429" s="3">
        <v>45034.0</v>
      </c>
      <c r="H429" s="2">
        <v>92.0</v>
      </c>
      <c r="I429" s="2">
        <v>8.93084011E8</v>
      </c>
      <c r="K429" s="2" t="s">
        <v>16</v>
      </c>
    </row>
    <row r="430" ht="14.25" customHeight="1">
      <c r="A430" s="2" t="s">
        <v>501</v>
      </c>
      <c r="B430" s="2" t="s">
        <v>12</v>
      </c>
      <c r="C430" s="2" t="s">
        <v>31</v>
      </c>
      <c r="D430" s="2" t="s">
        <v>83</v>
      </c>
      <c r="E430" s="2">
        <v>10.46</v>
      </c>
      <c r="F430" s="3">
        <v>45206.0</v>
      </c>
      <c r="G430" s="3">
        <v>45293.0</v>
      </c>
      <c r="H430" s="2">
        <v>87.0</v>
      </c>
      <c r="I430" s="2">
        <v>3.966057508E9</v>
      </c>
      <c r="J430" s="2" t="s">
        <v>50</v>
      </c>
      <c r="K430" s="2" t="s">
        <v>16</v>
      </c>
    </row>
    <row r="431" ht="14.25" customHeight="1">
      <c r="A431" s="2" t="s">
        <v>502</v>
      </c>
      <c r="B431" s="2" t="s">
        <v>18</v>
      </c>
      <c r="C431" s="2" t="s">
        <v>13</v>
      </c>
      <c r="D431" s="2" t="s">
        <v>143</v>
      </c>
      <c r="F431" s="3">
        <v>45000.0</v>
      </c>
      <c r="G431" s="3">
        <v>45038.0</v>
      </c>
      <c r="H431" s="2">
        <v>38.0</v>
      </c>
      <c r="I431" s="2">
        <v>1.022543599E9</v>
      </c>
      <c r="J431" s="2" t="s">
        <v>44</v>
      </c>
      <c r="K431" s="2" t="s">
        <v>22</v>
      </c>
    </row>
    <row r="432" ht="14.25" customHeight="1">
      <c r="A432" s="2" t="s">
        <v>503</v>
      </c>
      <c r="B432" s="2" t="s">
        <v>30</v>
      </c>
      <c r="C432" s="2" t="s">
        <v>24</v>
      </c>
      <c r="D432" s="2" t="s">
        <v>85</v>
      </c>
      <c r="F432" s="3">
        <v>45254.0</v>
      </c>
      <c r="G432" s="3">
        <v>45547.0</v>
      </c>
      <c r="H432" s="2">
        <v>293.0</v>
      </c>
      <c r="I432" s="2">
        <v>3.864266476E9</v>
      </c>
      <c r="J432" s="2" t="s">
        <v>26</v>
      </c>
      <c r="K432" s="2" t="s">
        <v>22</v>
      </c>
    </row>
    <row r="433" ht="14.25" customHeight="1">
      <c r="A433" s="2" t="s">
        <v>504</v>
      </c>
      <c r="B433" s="2" t="s">
        <v>30</v>
      </c>
      <c r="C433" s="2" t="s">
        <v>39</v>
      </c>
      <c r="D433" s="2" t="s">
        <v>40</v>
      </c>
      <c r="F433" s="3">
        <v>45262.0</v>
      </c>
      <c r="G433" s="3">
        <v>45476.0</v>
      </c>
      <c r="H433" s="2">
        <v>214.0</v>
      </c>
      <c r="I433" s="2">
        <v>1.843611851E9</v>
      </c>
      <c r="J433" s="2" t="s">
        <v>26</v>
      </c>
      <c r="K433" s="2" t="s">
        <v>22</v>
      </c>
    </row>
    <row r="434" ht="14.25" customHeight="1">
      <c r="A434" s="2" t="s">
        <v>505</v>
      </c>
      <c r="B434" s="2" t="s">
        <v>12</v>
      </c>
      <c r="C434" s="2" t="s">
        <v>48</v>
      </c>
      <c r="D434" s="2" t="s">
        <v>171</v>
      </c>
      <c r="E434" s="2">
        <v>19.53</v>
      </c>
      <c r="F434" s="3">
        <v>45035.0</v>
      </c>
      <c r="G434" s="3">
        <v>45179.0</v>
      </c>
      <c r="H434" s="2">
        <v>144.0</v>
      </c>
      <c r="I434" s="2">
        <v>3.728646829E9</v>
      </c>
      <c r="J434" s="2" t="s">
        <v>33</v>
      </c>
      <c r="K434" s="2" t="s">
        <v>16</v>
      </c>
    </row>
    <row r="435" ht="14.25" customHeight="1">
      <c r="A435" s="2" t="s">
        <v>506</v>
      </c>
      <c r="B435" s="2" t="s">
        <v>35</v>
      </c>
      <c r="C435" s="2" t="s">
        <v>36</v>
      </c>
      <c r="D435" s="2" t="s">
        <v>37</v>
      </c>
      <c r="E435" s="2">
        <v>3.18</v>
      </c>
      <c r="F435" s="3">
        <v>45084.0</v>
      </c>
      <c r="G435" s="3">
        <v>45379.0</v>
      </c>
      <c r="H435" s="2">
        <v>295.0</v>
      </c>
      <c r="I435" s="2">
        <v>1.964339229E9</v>
      </c>
      <c r="J435" s="2" t="s">
        <v>44</v>
      </c>
      <c r="K435" s="2" t="s">
        <v>22</v>
      </c>
    </row>
    <row r="436" ht="14.25" customHeight="1">
      <c r="A436" s="2" t="s">
        <v>507</v>
      </c>
      <c r="B436" s="2" t="s">
        <v>35</v>
      </c>
      <c r="C436" s="2" t="s">
        <v>24</v>
      </c>
      <c r="D436" s="2" t="s">
        <v>133</v>
      </c>
      <c r="E436" s="2">
        <v>1.29</v>
      </c>
      <c r="F436" s="3">
        <v>45282.0</v>
      </c>
      <c r="G436" s="3">
        <v>45595.0</v>
      </c>
      <c r="H436" s="2">
        <v>313.0</v>
      </c>
      <c r="I436" s="2">
        <v>3.759910602E9</v>
      </c>
      <c r="J436" s="2" t="s">
        <v>26</v>
      </c>
      <c r="K436" s="2" t="s">
        <v>16</v>
      </c>
    </row>
    <row r="437" ht="14.25" customHeight="1">
      <c r="A437" s="2" t="s">
        <v>508</v>
      </c>
      <c r="B437" s="2" t="s">
        <v>35</v>
      </c>
      <c r="C437" s="2" t="s">
        <v>36</v>
      </c>
      <c r="D437" s="2" t="s">
        <v>37</v>
      </c>
      <c r="E437" s="2">
        <v>4.65</v>
      </c>
      <c r="F437" s="3">
        <v>45289.0</v>
      </c>
      <c r="G437" s="3">
        <v>45346.0</v>
      </c>
      <c r="H437" s="2">
        <v>57.0</v>
      </c>
      <c r="I437" s="2">
        <v>4.649545365E9</v>
      </c>
      <c r="J437" s="2" t="s">
        <v>21</v>
      </c>
      <c r="K437" s="2" t="s">
        <v>22</v>
      </c>
    </row>
    <row r="438" ht="14.25" customHeight="1">
      <c r="A438" s="2" t="s">
        <v>509</v>
      </c>
      <c r="B438" s="2" t="s">
        <v>18</v>
      </c>
      <c r="C438" s="2" t="s">
        <v>31</v>
      </c>
      <c r="D438" s="2" t="s">
        <v>74</v>
      </c>
      <c r="F438" s="3">
        <v>45195.0</v>
      </c>
      <c r="G438" s="3">
        <v>45533.0</v>
      </c>
      <c r="H438" s="2">
        <v>338.0</v>
      </c>
      <c r="I438" s="2">
        <v>3.601576385E9</v>
      </c>
      <c r="J438" s="2" t="s">
        <v>44</v>
      </c>
      <c r="K438" s="2" t="s">
        <v>16</v>
      </c>
    </row>
    <row r="439" ht="14.25" customHeight="1">
      <c r="A439" s="2" t="s">
        <v>510</v>
      </c>
      <c r="B439" s="2" t="s">
        <v>30</v>
      </c>
      <c r="C439" s="2" t="s">
        <v>24</v>
      </c>
      <c r="D439" s="2" t="s">
        <v>85</v>
      </c>
      <c r="F439" s="3">
        <v>45056.0</v>
      </c>
      <c r="G439" s="3">
        <v>45387.0</v>
      </c>
      <c r="H439" s="2">
        <v>331.0</v>
      </c>
      <c r="I439" s="2">
        <v>9.46747297E8</v>
      </c>
      <c r="J439" s="2" t="s">
        <v>26</v>
      </c>
      <c r="K439" s="2" t="s">
        <v>16</v>
      </c>
    </row>
    <row r="440" ht="14.25" customHeight="1">
      <c r="A440" s="2" t="s">
        <v>511</v>
      </c>
      <c r="B440" s="2" t="s">
        <v>18</v>
      </c>
      <c r="C440" s="2" t="s">
        <v>39</v>
      </c>
      <c r="D440" s="2" t="s">
        <v>53</v>
      </c>
      <c r="F440" s="3">
        <v>45334.0</v>
      </c>
      <c r="G440" s="3">
        <v>45178.0</v>
      </c>
      <c r="H440" s="2">
        <v>-156.0</v>
      </c>
      <c r="I440" s="2">
        <v>4.264707991E9</v>
      </c>
      <c r="J440" s="2" t="s">
        <v>26</v>
      </c>
      <c r="K440" s="2" t="s">
        <v>16</v>
      </c>
    </row>
    <row r="441" ht="14.25" customHeight="1">
      <c r="A441" s="2" t="s">
        <v>512</v>
      </c>
      <c r="B441" s="2" t="s">
        <v>12</v>
      </c>
      <c r="C441" s="2" t="s">
        <v>24</v>
      </c>
      <c r="D441" s="2" t="s">
        <v>25</v>
      </c>
      <c r="E441" s="2">
        <v>31.68</v>
      </c>
      <c r="F441" s="3">
        <v>45247.0</v>
      </c>
      <c r="G441" s="3">
        <v>45499.0</v>
      </c>
      <c r="H441" s="2">
        <v>252.0</v>
      </c>
      <c r="I441" s="2">
        <v>3.418041353E9</v>
      </c>
      <c r="J441" s="2" t="s">
        <v>33</v>
      </c>
      <c r="K441" s="2" t="s">
        <v>16</v>
      </c>
    </row>
    <row r="442" ht="14.25" customHeight="1">
      <c r="A442" s="2" t="s">
        <v>513</v>
      </c>
      <c r="B442" s="2" t="s">
        <v>60</v>
      </c>
      <c r="C442" s="2" t="s">
        <v>39</v>
      </c>
      <c r="D442" s="2" t="s">
        <v>185</v>
      </c>
      <c r="F442" s="3">
        <v>45245.0</v>
      </c>
      <c r="G442" s="3">
        <v>45348.0</v>
      </c>
      <c r="H442" s="2">
        <v>103.0</v>
      </c>
      <c r="I442" s="2">
        <v>1.73727283E9</v>
      </c>
      <c r="J442" s="2" t="s">
        <v>26</v>
      </c>
      <c r="K442" s="2" t="s">
        <v>22</v>
      </c>
    </row>
    <row r="443" ht="14.25" customHeight="1">
      <c r="A443" s="2" t="s">
        <v>514</v>
      </c>
      <c r="B443" s="2" t="s">
        <v>18</v>
      </c>
      <c r="C443" s="2" t="s">
        <v>19</v>
      </c>
      <c r="D443" s="2" t="s">
        <v>20</v>
      </c>
      <c r="F443" s="3">
        <v>45078.0</v>
      </c>
      <c r="G443" s="3">
        <v>45296.0</v>
      </c>
      <c r="H443" s="2">
        <v>218.0</v>
      </c>
      <c r="I443" s="2">
        <v>2.021755297E9</v>
      </c>
      <c r="J443" s="2" t="s">
        <v>26</v>
      </c>
      <c r="K443" s="2" t="s">
        <v>16</v>
      </c>
    </row>
    <row r="444" ht="14.25" customHeight="1">
      <c r="A444" s="2" t="s">
        <v>515</v>
      </c>
      <c r="B444" s="2" t="s">
        <v>30</v>
      </c>
      <c r="C444" s="2" t="s">
        <v>39</v>
      </c>
      <c r="D444" s="2" t="s">
        <v>40</v>
      </c>
      <c r="F444" s="3">
        <v>45205.0</v>
      </c>
      <c r="G444" s="3">
        <v>45283.0</v>
      </c>
      <c r="H444" s="2">
        <v>78.0</v>
      </c>
      <c r="I444" s="2">
        <v>3.118618659E9</v>
      </c>
      <c r="J444" s="2" t="s">
        <v>44</v>
      </c>
      <c r="K444" s="2" t="s">
        <v>16</v>
      </c>
    </row>
    <row r="445" ht="14.25" customHeight="1">
      <c r="A445" s="2" t="s">
        <v>516</v>
      </c>
      <c r="B445" s="2" t="s">
        <v>18</v>
      </c>
      <c r="C445" s="2" t="s">
        <v>42</v>
      </c>
      <c r="D445" s="2" t="s">
        <v>135</v>
      </c>
      <c r="F445" s="3">
        <v>45286.0</v>
      </c>
      <c r="G445" s="3">
        <v>45368.0</v>
      </c>
      <c r="H445" s="2">
        <v>82.0</v>
      </c>
      <c r="I445" s="2">
        <v>2.916469277E9</v>
      </c>
      <c r="J445" s="2" t="s">
        <v>26</v>
      </c>
      <c r="K445" s="2" t="s">
        <v>22</v>
      </c>
    </row>
    <row r="446" ht="14.25" customHeight="1">
      <c r="A446" s="2" t="s">
        <v>517</v>
      </c>
      <c r="B446" s="2" t="s">
        <v>60</v>
      </c>
      <c r="C446" s="2" t="s">
        <v>42</v>
      </c>
      <c r="D446" s="2" t="s">
        <v>154</v>
      </c>
      <c r="F446" s="3">
        <v>44975.0</v>
      </c>
      <c r="G446" s="3">
        <v>45256.0</v>
      </c>
      <c r="H446" s="2">
        <v>281.0</v>
      </c>
      <c r="I446" s="2">
        <v>3.034599826E9</v>
      </c>
      <c r="J446" s="2" t="s">
        <v>21</v>
      </c>
      <c r="K446" s="2" t="s">
        <v>16</v>
      </c>
    </row>
    <row r="447" ht="14.25" customHeight="1">
      <c r="A447" s="2" t="s">
        <v>518</v>
      </c>
      <c r="B447" s="2" t="s">
        <v>35</v>
      </c>
      <c r="C447" s="2" t="s">
        <v>42</v>
      </c>
      <c r="D447" s="2" t="s">
        <v>69</v>
      </c>
      <c r="E447" s="2">
        <v>1.87</v>
      </c>
      <c r="F447" s="3">
        <v>44946.0</v>
      </c>
      <c r="G447" s="3">
        <v>45105.0</v>
      </c>
      <c r="H447" s="2">
        <v>159.0</v>
      </c>
      <c r="I447" s="2">
        <v>1.640651583E9</v>
      </c>
      <c r="J447" s="2" t="s">
        <v>15</v>
      </c>
      <c r="K447" s="2" t="s">
        <v>22</v>
      </c>
    </row>
    <row r="448" ht="14.25" customHeight="1">
      <c r="A448" s="2" t="s">
        <v>519</v>
      </c>
      <c r="B448" s="2" t="s">
        <v>18</v>
      </c>
      <c r="C448" s="2" t="s">
        <v>24</v>
      </c>
      <c r="D448" s="2" t="s">
        <v>95</v>
      </c>
      <c r="F448" s="3">
        <v>45125.0</v>
      </c>
      <c r="G448" s="3">
        <v>45327.0</v>
      </c>
      <c r="H448" s="2">
        <v>202.0</v>
      </c>
      <c r="I448" s="2">
        <v>2.941417536E9</v>
      </c>
      <c r="K448" s="2" t="s">
        <v>16</v>
      </c>
    </row>
    <row r="449" ht="14.25" customHeight="1">
      <c r="A449" s="2" t="s">
        <v>520</v>
      </c>
      <c r="B449" s="2" t="s">
        <v>60</v>
      </c>
      <c r="C449" s="2" t="s">
        <v>36</v>
      </c>
      <c r="D449" s="2" t="s">
        <v>61</v>
      </c>
      <c r="F449" s="3">
        <v>45140.0</v>
      </c>
      <c r="G449" s="3">
        <v>45473.0</v>
      </c>
      <c r="H449" s="2">
        <v>333.0</v>
      </c>
      <c r="I449" s="2">
        <v>4.050332377E9</v>
      </c>
      <c r="J449" s="2" t="s">
        <v>26</v>
      </c>
      <c r="K449" s="2" t="s">
        <v>16</v>
      </c>
    </row>
    <row r="450" ht="14.25" customHeight="1">
      <c r="A450" s="2" t="s">
        <v>521</v>
      </c>
      <c r="B450" s="2" t="s">
        <v>18</v>
      </c>
      <c r="C450" s="2" t="s">
        <v>48</v>
      </c>
      <c r="D450" s="2" t="s">
        <v>121</v>
      </c>
      <c r="F450" s="3">
        <v>45221.0</v>
      </c>
      <c r="G450" s="3">
        <v>45307.0</v>
      </c>
      <c r="H450" s="2">
        <v>86.0</v>
      </c>
      <c r="I450" s="2">
        <v>1.329006371E9</v>
      </c>
      <c r="J450" s="2" t="s">
        <v>50</v>
      </c>
      <c r="K450" s="2" t="s">
        <v>16</v>
      </c>
    </row>
    <row r="451" ht="14.25" customHeight="1">
      <c r="A451" s="2" t="s">
        <v>522</v>
      </c>
      <c r="B451" s="2" t="s">
        <v>18</v>
      </c>
      <c r="C451" s="2" t="s">
        <v>36</v>
      </c>
      <c r="D451" s="2" t="s">
        <v>71</v>
      </c>
      <c r="F451" s="3">
        <v>45001.0</v>
      </c>
      <c r="G451" s="3">
        <v>45173.0</v>
      </c>
      <c r="H451" s="2">
        <v>172.0</v>
      </c>
      <c r="I451" s="2">
        <v>6.99243364E8</v>
      </c>
      <c r="J451" s="2" t="s">
        <v>50</v>
      </c>
      <c r="K451" s="2" t="s">
        <v>22</v>
      </c>
    </row>
    <row r="452" ht="14.25" customHeight="1">
      <c r="A452" s="2" t="s">
        <v>523</v>
      </c>
      <c r="B452" s="2" t="s">
        <v>12</v>
      </c>
      <c r="C452" s="2" t="s">
        <v>24</v>
      </c>
      <c r="D452" s="2" t="s">
        <v>25</v>
      </c>
      <c r="E452" s="2">
        <v>32.38</v>
      </c>
      <c r="F452" s="3">
        <v>45234.0</v>
      </c>
      <c r="G452" s="3">
        <v>45264.0</v>
      </c>
      <c r="H452" s="2">
        <v>30.0</v>
      </c>
      <c r="I452" s="2">
        <v>3.22112387E9</v>
      </c>
      <c r="J452" s="2" t="s">
        <v>44</v>
      </c>
      <c r="K452" s="2" t="s">
        <v>16</v>
      </c>
    </row>
    <row r="453" ht="14.25" customHeight="1">
      <c r="A453" s="2" t="s">
        <v>524</v>
      </c>
      <c r="B453" s="2" t="s">
        <v>18</v>
      </c>
      <c r="C453" s="2" t="s">
        <v>39</v>
      </c>
      <c r="D453" s="2" t="s">
        <v>53</v>
      </c>
      <c r="F453" s="3">
        <v>45022.0</v>
      </c>
      <c r="G453" s="3">
        <v>45248.0</v>
      </c>
      <c r="H453" s="2">
        <v>226.0</v>
      </c>
      <c r="I453" s="2">
        <v>3.02521325E9</v>
      </c>
      <c r="J453" s="2" t="s">
        <v>67</v>
      </c>
      <c r="K453" s="2" t="s">
        <v>22</v>
      </c>
    </row>
    <row r="454" ht="14.25" customHeight="1">
      <c r="A454" s="2" t="s">
        <v>525</v>
      </c>
      <c r="B454" s="2" t="s">
        <v>18</v>
      </c>
      <c r="C454" s="2" t="s">
        <v>31</v>
      </c>
      <c r="D454" s="2" t="s">
        <v>74</v>
      </c>
      <c r="F454" s="3">
        <v>45010.0</v>
      </c>
      <c r="G454" s="3">
        <v>45049.0</v>
      </c>
      <c r="H454" s="2">
        <v>39.0</v>
      </c>
      <c r="I454" s="2">
        <v>2.380180098E9</v>
      </c>
      <c r="J454" s="2" t="s">
        <v>26</v>
      </c>
      <c r="K454" s="2" t="s">
        <v>16</v>
      </c>
    </row>
    <row r="455" ht="14.25" customHeight="1">
      <c r="A455" s="2" t="s">
        <v>526</v>
      </c>
      <c r="B455" s="2" t="s">
        <v>30</v>
      </c>
      <c r="C455" s="2" t="s">
        <v>36</v>
      </c>
      <c r="D455" s="2" t="s">
        <v>93</v>
      </c>
      <c r="F455" s="3">
        <v>45263.0</v>
      </c>
      <c r="G455" s="3">
        <v>45306.0</v>
      </c>
      <c r="H455" s="2">
        <v>43.0</v>
      </c>
      <c r="I455" s="2">
        <v>2.796806458E9</v>
      </c>
      <c r="J455" s="2" t="s">
        <v>44</v>
      </c>
      <c r="K455" s="2" t="s">
        <v>22</v>
      </c>
    </row>
    <row r="456" ht="14.25" customHeight="1">
      <c r="A456" s="2" t="s">
        <v>527</v>
      </c>
      <c r="B456" s="2" t="s">
        <v>18</v>
      </c>
      <c r="C456" s="2" t="s">
        <v>19</v>
      </c>
      <c r="D456" s="2" t="s">
        <v>20</v>
      </c>
      <c r="F456" s="3">
        <v>45265.0</v>
      </c>
      <c r="G456" s="3">
        <v>45562.0</v>
      </c>
      <c r="H456" s="2">
        <v>297.0</v>
      </c>
      <c r="I456" s="2">
        <v>3.809777591E9</v>
      </c>
      <c r="J456" s="2" t="s">
        <v>33</v>
      </c>
      <c r="K456" s="2" t="s">
        <v>22</v>
      </c>
    </row>
    <row r="457" ht="14.25" customHeight="1">
      <c r="A457" s="2" t="s">
        <v>528</v>
      </c>
      <c r="B457" s="2" t="s">
        <v>12</v>
      </c>
      <c r="C457" s="2" t="s">
        <v>48</v>
      </c>
      <c r="D457" s="2" t="s">
        <v>171</v>
      </c>
      <c r="E457" s="2">
        <v>32.14</v>
      </c>
      <c r="F457" s="3">
        <v>45266.0</v>
      </c>
      <c r="G457" s="3">
        <v>45425.0</v>
      </c>
      <c r="H457" s="2">
        <v>159.0</v>
      </c>
      <c r="I457" s="2">
        <v>4.345181073E9</v>
      </c>
      <c r="J457" s="2" t="s">
        <v>67</v>
      </c>
      <c r="K457" s="2" t="s">
        <v>16</v>
      </c>
    </row>
    <row r="458" ht="14.25" customHeight="1">
      <c r="A458" s="2" t="s">
        <v>529</v>
      </c>
      <c r="B458" s="2" t="s">
        <v>30</v>
      </c>
      <c r="C458" s="2" t="s">
        <v>31</v>
      </c>
      <c r="D458" s="2" t="s">
        <v>32</v>
      </c>
      <c r="F458" s="3">
        <v>44996.0</v>
      </c>
      <c r="G458" s="3">
        <v>45203.0</v>
      </c>
      <c r="H458" s="2">
        <v>207.0</v>
      </c>
      <c r="I458" s="2">
        <v>2.974114626E9</v>
      </c>
      <c r="J458" s="2" t="s">
        <v>21</v>
      </c>
      <c r="K458" s="2" t="s">
        <v>16</v>
      </c>
    </row>
    <row r="459" ht="14.25" customHeight="1">
      <c r="A459" s="2" t="s">
        <v>530</v>
      </c>
      <c r="B459" s="2" t="s">
        <v>60</v>
      </c>
      <c r="C459" s="2" t="s">
        <v>13</v>
      </c>
      <c r="D459" s="2" t="s">
        <v>182</v>
      </c>
      <c r="F459" s="3">
        <v>44996.0</v>
      </c>
      <c r="G459" s="3">
        <v>45181.0</v>
      </c>
      <c r="H459" s="2">
        <v>185.0</v>
      </c>
      <c r="I459" s="2">
        <v>2.350386163E9</v>
      </c>
      <c r="J459" s="2" t="s">
        <v>50</v>
      </c>
      <c r="K459" s="2" t="s">
        <v>22</v>
      </c>
    </row>
    <row r="460" ht="14.25" customHeight="1">
      <c r="A460" s="2" t="s">
        <v>531</v>
      </c>
      <c r="B460" s="2" t="s">
        <v>35</v>
      </c>
      <c r="C460" s="2" t="s">
        <v>19</v>
      </c>
      <c r="D460" s="2" t="s">
        <v>97</v>
      </c>
      <c r="E460" s="2">
        <v>4.42</v>
      </c>
      <c r="F460" s="3">
        <v>45230.0</v>
      </c>
      <c r="G460" s="3">
        <v>45310.0</v>
      </c>
      <c r="H460" s="2">
        <v>80.0</v>
      </c>
      <c r="I460" s="2">
        <v>1.55884611E9</v>
      </c>
      <c r="J460" s="2" t="s">
        <v>67</v>
      </c>
      <c r="K460" s="2" t="s">
        <v>22</v>
      </c>
    </row>
    <row r="461" ht="14.25" customHeight="1">
      <c r="A461" s="2" t="s">
        <v>532</v>
      </c>
      <c r="B461" s="2" t="s">
        <v>30</v>
      </c>
      <c r="C461" s="2" t="s">
        <v>42</v>
      </c>
      <c r="D461" s="2" t="s">
        <v>43</v>
      </c>
      <c r="F461" s="3">
        <v>45140.0</v>
      </c>
      <c r="G461" s="3">
        <v>45487.0</v>
      </c>
      <c r="H461" s="2">
        <v>347.0</v>
      </c>
      <c r="I461" s="2">
        <v>3.606184174E9</v>
      </c>
      <c r="J461" s="2" t="s">
        <v>44</v>
      </c>
      <c r="K461" s="2" t="s">
        <v>22</v>
      </c>
    </row>
    <row r="462" ht="14.25" customHeight="1">
      <c r="A462" s="2" t="s">
        <v>533</v>
      </c>
      <c r="B462" s="2" t="s">
        <v>60</v>
      </c>
      <c r="C462" s="2" t="s">
        <v>42</v>
      </c>
      <c r="D462" s="2" t="s">
        <v>154</v>
      </c>
      <c r="F462" s="3">
        <v>45237.0</v>
      </c>
      <c r="G462" s="3">
        <v>45413.0</v>
      </c>
      <c r="H462" s="2">
        <v>176.0</v>
      </c>
      <c r="I462" s="2">
        <v>3.774483706E9</v>
      </c>
      <c r="J462" s="2" t="s">
        <v>15</v>
      </c>
      <c r="K462" s="2" t="s">
        <v>16</v>
      </c>
    </row>
    <row r="463" ht="14.25" customHeight="1">
      <c r="A463" s="2" t="s">
        <v>534</v>
      </c>
      <c r="B463" s="2" t="s">
        <v>60</v>
      </c>
      <c r="C463" s="2" t="s">
        <v>24</v>
      </c>
      <c r="D463" s="2" t="s">
        <v>80</v>
      </c>
      <c r="F463" s="3">
        <v>45045.0</v>
      </c>
      <c r="G463" s="3">
        <v>45150.0</v>
      </c>
      <c r="H463" s="2">
        <v>105.0</v>
      </c>
      <c r="I463" s="2">
        <v>3.448791185E9</v>
      </c>
      <c r="J463" s="2" t="s">
        <v>33</v>
      </c>
      <c r="K463" s="2" t="s">
        <v>16</v>
      </c>
    </row>
    <row r="464" ht="14.25" customHeight="1">
      <c r="A464" s="2" t="s">
        <v>535</v>
      </c>
      <c r="B464" s="2" t="s">
        <v>12</v>
      </c>
      <c r="C464" s="2" t="s">
        <v>19</v>
      </c>
      <c r="D464" s="2" t="s">
        <v>28</v>
      </c>
      <c r="E464" s="2">
        <v>33.38</v>
      </c>
      <c r="F464" s="3">
        <v>44979.0</v>
      </c>
      <c r="G464" s="3">
        <v>45058.0</v>
      </c>
      <c r="H464" s="2">
        <v>79.0</v>
      </c>
      <c r="I464" s="2">
        <v>3.589886462E9</v>
      </c>
      <c r="J464" s="2" t="s">
        <v>44</v>
      </c>
      <c r="K464" s="2" t="s">
        <v>16</v>
      </c>
    </row>
    <row r="465" ht="14.25" customHeight="1">
      <c r="A465" s="2" t="s">
        <v>536</v>
      </c>
      <c r="B465" s="2" t="s">
        <v>35</v>
      </c>
      <c r="C465" s="2" t="s">
        <v>13</v>
      </c>
      <c r="D465" s="2" t="s">
        <v>78</v>
      </c>
      <c r="E465" s="2">
        <v>4.34</v>
      </c>
      <c r="F465" s="3">
        <v>45286.0</v>
      </c>
      <c r="G465" s="3">
        <v>45570.0</v>
      </c>
      <c r="H465" s="2">
        <v>284.0</v>
      </c>
      <c r="I465" s="2">
        <v>1.664798924E9</v>
      </c>
      <c r="J465" s="2" t="s">
        <v>50</v>
      </c>
      <c r="K465" s="2" t="s">
        <v>22</v>
      </c>
    </row>
    <row r="466" ht="14.25" customHeight="1">
      <c r="A466" s="2" t="s">
        <v>537</v>
      </c>
      <c r="B466" s="2" t="s">
        <v>35</v>
      </c>
      <c r="C466" s="2" t="s">
        <v>31</v>
      </c>
      <c r="D466" s="2" t="s">
        <v>91</v>
      </c>
      <c r="E466" s="2">
        <v>4.62</v>
      </c>
      <c r="F466" s="3">
        <v>45074.0</v>
      </c>
      <c r="G466" s="3">
        <v>45215.0</v>
      </c>
      <c r="H466" s="2">
        <v>141.0</v>
      </c>
      <c r="I466" s="2">
        <v>1.877425962E9</v>
      </c>
      <c r="J466" s="2" t="s">
        <v>15</v>
      </c>
      <c r="K466" s="2" t="s">
        <v>16</v>
      </c>
    </row>
    <row r="467" ht="14.25" customHeight="1">
      <c r="A467" s="2" t="s">
        <v>538</v>
      </c>
      <c r="B467" s="2" t="s">
        <v>60</v>
      </c>
      <c r="C467" s="2" t="s">
        <v>39</v>
      </c>
      <c r="D467" s="2" t="s">
        <v>185</v>
      </c>
      <c r="F467" s="3">
        <v>45131.0</v>
      </c>
      <c r="G467" s="3">
        <v>45271.0</v>
      </c>
      <c r="H467" s="2">
        <v>140.0</v>
      </c>
      <c r="I467" s="2">
        <v>2.599801376E9</v>
      </c>
      <c r="J467" s="2" t="s">
        <v>44</v>
      </c>
      <c r="K467" s="2" t="s">
        <v>22</v>
      </c>
    </row>
    <row r="468" ht="14.25" customHeight="1">
      <c r="A468" s="2" t="s">
        <v>539</v>
      </c>
      <c r="B468" s="2" t="s">
        <v>30</v>
      </c>
      <c r="C468" s="2" t="s">
        <v>42</v>
      </c>
      <c r="D468" s="2" t="s">
        <v>43</v>
      </c>
      <c r="F468" s="3">
        <v>45090.0</v>
      </c>
      <c r="G468" s="3">
        <v>45220.0</v>
      </c>
      <c r="H468" s="2">
        <v>130.0</v>
      </c>
      <c r="I468" s="2">
        <v>2.133270368E9</v>
      </c>
      <c r="J468" s="2" t="s">
        <v>67</v>
      </c>
      <c r="K468" s="2" t="s">
        <v>16</v>
      </c>
    </row>
    <row r="469" ht="14.25" customHeight="1">
      <c r="A469" s="2" t="s">
        <v>540</v>
      </c>
      <c r="B469" s="2" t="s">
        <v>35</v>
      </c>
      <c r="C469" s="2" t="s">
        <v>31</v>
      </c>
      <c r="D469" s="2" t="s">
        <v>91</v>
      </c>
      <c r="E469" s="2">
        <v>2.89</v>
      </c>
      <c r="F469" s="3">
        <v>45128.0</v>
      </c>
      <c r="G469" s="3">
        <v>45492.0</v>
      </c>
      <c r="H469" s="2">
        <v>364.0</v>
      </c>
      <c r="I469" s="2">
        <v>2.51082974E9</v>
      </c>
      <c r="J469" s="2" t="s">
        <v>33</v>
      </c>
      <c r="K469" s="2" t="s">
        <v>16</v>
      </c>
    </row>
    <row r="470" ht="14.25" customHeight="1">
      <c r="A470" s="2" t="s">
        <v>541</v>
      </c>
      <c r="B470" s="2" t="s">
        <v>60</v>
      </c>
      <c r="C470" s="2" t="s">
        <v>48</v>
      </c>
      <c r="D470" s="2" t="s">
        <v>66</v>
      </c>
      <c r="F470" s="3">
        <v>45116.0</v>
      </c>
      <c r="G470" s="3">
        <v>45350.0</v>
      </c>
      <c r="H470" s="2">
        <v>234.0</v>
      </c>
      <c r="I470" s="2">
        <v>4.92485841E9</v>
      </c>
      <c r="J470" s="2" t="s">
        <v>15</v>
      </c>
      <c r="K470" s="2" t="s">
        <v>22</v>
      </c>
    </row>
    <row r="471" ht="14.25" customHeight="1">
      <c r="A471" s="2" t="s">
        <v>542</v>
      </c>
      <c r="B471" s="2" t="s">
        <v>18</v>
      </c>
      <c r="C471" s="2" t="s">
        <v>31</v>
      </c>
      <c r="D471" s="2" t="s">
        <v>74</v>
      </c>
      <c r="F471" s="3">
        <v>45286.0</v>
      </c>
      <c r="G471" s="3">
        <v>45044.0</v>
      </c>
      <c r="H471" s="2">
        <v>-242.0</v>
      </c>
      <c r="I471" s="2">
        <v>4.408514128E9</v>
      </c>
      <c r="J471" s="2" t="s">
        <v>26</v>
      </c>
      <c r="K471" s="2" t="s">
        <v>16</v>
      </c>
    </row>
    <row r="472" ht="14.25" customHeight="1">
      <c r="A472" s="2" t="s">
        <v>543</v>
      </c>
      <c r="B472" s="2" t="s">
        <v>35</v>
      </c>
      <c r="C472" s="2" t="s">
        <v>31</v>
      </c>
      <c r="D472" s="2" t="s">
        <v>91</v>
      </c>
      <c r="E472" s="2">
        <v>3.76</v>
      </c>
      <c r="F472" s="3">
        <v>45222.0</v>
      </c>
      <c r="G472" s="3">
        <v>45341.0</v>
      </c>
      <c r="H472" s="2">
        <v>119.0</v>
      </c>
      <c r="I472" s="2">
        <v>2.978704235E9</v>
      </c>
      <c r="J472" s="2" t="s">
        <v>26</v>
      </c>
      <c r="K472" s="2" t="s">
        <v>16</v>
      </c>
    </row>
    <row r="473" ht="14.25" customHeight="1">
      <c r="A473" s="2" t="s">
        <v>544</v>
      </c>
      <c r="B473" s="2" t="s">
        <v>60</v>
      </c>
      <c r="C473" s="2" t="s">
        <v>42</v>
      </c>
      <c r="D473" s="2" t="s">
        <v>154</v>
      </c>
      <c r="F473" s="3">
        <v>45078.0</v>
      </c>
      <c r="G473" s="3">
        <v>45220.0</v>
      </c>
      <c r="H473" s="2">
        <v>142.0</v>
      </c>
      <c r="I473" s="2">
        <v>3.175397973E9</v>
      </c>
      <c r="K473" s="2" t="s">
        <v>22</v>
      </c>
    </row>
    <row r="474" ht="14.25" customHeight="1">
      <c r="A474" s="2" t="s">
        <v>545</v>
      </c>
      <c r="B474" s="2" t="s">
        <v>12</v>
      </c>
      <c r="C474" s="2" t="s">
        <v>36</v>
      </c>
      <c r="D474" s="2" t="s">
        <v>46</v>
      </c>
      <c r="E474" s="2">
        <v>22.64</v>
      </c>
      <c r="F474" s="3">
        <v>45008.0</v>
      </c>
      <c r="G474" s="3">
        <v>45121.0</v>
      </c>
      <c r="H474" s="2">
        <v>113.0</v>
      </c>
      <c r="I474" s="2">
        <v>1.901580512E9</v>
      </c>
      <c r="J474" s="2" t="s">
        <v>15</v>
      </c>
      <c r="K474" s="2" t="s">
        <v>22</v>
      </c>
    </row>
    <row r="475" ht="14.25" customHeight="1">
      <c r="A475" s="2" t="s">
        <v>546</v>
      </c>
      <c r="B475" s="2" t="s">
        <v>60</v>
      </c>
      <c r="C475" s="2" t="s">
        <v>19</v>
      </c>
      <c r="D475" s="2" t="s">
        <v>87</v>
      </c>
      <c r="F475" s="3">
        <v>45285.0</v>
      </c>
      <c r="G475" s="3">
        <v>45567.0</v>
      </c>
      <c r="H475" s="2">
        <v>282.0</v>
      </c>
      <c r="I475" s="2">
        <v>3.264449998E9</v>
      </c>
      <c r="J475" s="2" t="s">
        <v>50</v>
      </c>
      <c r="K475" s="2" t="s">
        <v>16</v>
      </c>
    </row>
    <row r="476" ht="14.25" customHeight="1">
      <c r="A476" s="2" t="s">
        <v>547</v>
      </c>
      <c r="B476" s="2" t="s">
        <v>18</v>
      </c>
      <c r="C476" s="2" t="s">
        <v>36</v>
      </c>
      <c r="D476" s="2" t="s">
        <v>71</v>
      </c>
      <c r="F476" s="3">
        <v>45284.0</v>
      </c>
      <c r="G476" s="3">
        <v>45536.0</v>
      </c>
      <c r="H476" s="2">
        <v>252.0</v>
      </c>
      <c r="I476" s="2">
        <v>1.763975986E9</v>
      </c>
      <c r="J476" s="2" t="s">
        <v>15</v>
      </c>
      <c r="K476" s="2" t="s">
        <v>16</v>
      </c>
    </row>
    <row r="477" ht="14.25" customHeight="1">
      <c r="A477" s="2" t="s">
        <v>548</v>
      </c>
      <c r="B477" s="2" t="s">
        <v>30</v>
      </c>
      <c r="C477" s="2" t="s">
        <v>36</v>
      </c>
      <c r="D477" s="2" t="s">
        <v>93</v>
      </c>
      <c r="F477" s="3">
        <v>45113.0</v>
      </c>
      <c r="G477" s="3">
        <v>45253.0</v>
      </c>
      <c r="H477" s="2">
        <v>140.0</v>
      </c>
      <c r="I477" s="2">
        <v>4.957028228E9</v>
      </c>
      <c r="J477" s="2" t="s">
        <v>50</v>
      </c>
      <c r="K477" s="2" t="s">
        <v>22</v>
      </c>
    </row>
    <row r="478" ht="14.25" customHeight="1">
      <c r="A478" s="2" t="s">
        <v>549</v>
      </c>
      <c r="B478" s="2" t="s">
        <v>18</v>
      </c>
      <c r="C478" s="2" t="s">
        <v>48</v>
      </c>
      <c r="D478" s="2" t="s">
        <v>121</v>
      </c>
      <c r="F478" s="3">
        <v>45202.0</v>
      </c>
      <c r="G478" s="3">
        <v>45387.0</v>
      </c>
      <c r="H478" s="2">
        <v>185.0</v>
      </c>
      <c r="I478" s="2">
        <v>3.770486736E9</v>
      </c>
      <c r="J478" s="2" t="s">
        <v>15</v>
      </c>
      <c r="K478" s="2" t="s">
        <v>16</v>
      </c>
    </row>
    <row r="479" ht="14.25" customHeight="1">
      <c r="A479" s="2" t="s">
        <v>550</v>
      </c>
      <c r="B479" s="2" t="s">
        <v>18</v>
      </c>
      <c r="C479" s="2" t="s">
        <v>24</v>
      </c>
      <c r="D479" s="2" t="s">
        <v>95</v>
      </c>
      <c r="F479" s="3">
        <v>45143.0</v>
      </c>
      <c r="G479" s="3">
        <v>45254.0</v>
      </c>
      <c r="H479" s="2">
        <v>111.0</v>
      </c>
      <c r="I479" s="2">
        <v>3.476318267E9</v>
      </c>
      <c r="J479" s="2" t="s">
        <v>15</v>
      </c>
      <c r="K479" s="2" t="s">
        <v>22</v>
      </c>
    </row>
    <row r="480" ht="14.25" customHeight="1">
      <c r="A480" s="2" t="s">
        <v>551</v>
      </c>
      <c r="B480" s="2" t="s">
        <v>35</v>
      </c>
      <c r="C480" s="2" t="s">
        <v>19</v>
      </c>
      <c r="D480" s="2" t="s">
        <v>97</v>
      </c>
      <c r="E480" s="2">
        <v>0.79</v>
      </c>
      <c r="F480" s="3">
        <v>44969.0</v>
      </c>
      <c r="G480" s="3">
        <v>45030.0</v>
      </c>
      <c r="H480" s="2">
        <v>61.0</v>
      </c>
      <c r="I480" s="2">
        <v>3.4187974E9</v>
      </c>
      <c r="J480" s="2" t="s">
        <v>44</v>
      </c>
      <c r="K480" s="2" t="s">
        <v>16</v>
      </c>
    </row>
    <row r="481" ht="14.25" customHeight="1">
      <c r="A481" s="2" t="s">
        <v>552</v>
      </c>
      <c r="B481" s="2" t="s">
        <v>30</v>
      </c>
      <c r="C481" s="2" t="s">
        <v>13</v>
      </c>
      <c r="D481" s="2" t="s">
        <v>56</v>
      </c>
      <c r="F481" s="3">
        <v>45117.0</v>
      </c>
      <c r="G481" s="3">
        <v>45156.0</v>
      </c>
      <c r="H481" s="2">
        <v>39.0</v>
      </c>
      <c r="I481" s="2">
        <v>3.386766731E9</v>
      </c>
      <c r="J481" s="2" t="s">
        <v>26</v>
      </c>
      <c r="K481" s="2" t="s">
        <v>22</v>
      </c>
    </row>
    <row r="482" ht="14.25" customHeight="1">
      <c r="A482" s="2" t="s">
        <v>553</v>
      </c>
      <c r="B482" s="2" t="s">
        <v>12</v>
      </c>
      <c r="C482" s="2" t="s">
        <v>42</v>
      </c>
      <c r="D482" s="2" t="s">
        <v>63</v>
      </c>
      <c r="E482" s="2">
        <v>47.53</v>
      </c>
      <c r="F482" s="3">
        <v>45157.0</v>
      </c>
      <c r="G482" s="3">
        <v>45305.0</v>
      </c>
      <c r="H482" s="2">
        <v>148.0</v>
      </c>
      <c r="I482" s="2">
        <v>3.753861728E9</v>
      </c>
      <c r="K482" s="2" t="s">
        <v>16</v>
      </c>
    </row>
    <row r="483" ht="14.25" customHeight="1">
      <c r="A483" s="2" t="s">
        <v>554</v>
      </c>
      <c r="B483" s="2" t="s">
        <v>30</v>
      </c>
      <c r="C483" s="2" t="s">
        <v>31</v>
      </c>
      <c r="D483" s="2" t="s">
        <v>32</v>
      </c>
      <c r="F483" s="3">
        <v>45098.0</v>
      </c>
      <c r="G483" s="3">
        <v>45292.0</v>
      </c>
      <c r="H483" s="2">
        <v>194.0</v>
      </c>
      <c r="I483" s="2">
        <v>3.66137188E9</v>
      </c>
      <c r="J483" s="2" t="s">
        <v>26</v>
      </c>
      <c r="K483" s="2" t="s">
        <v>22</v>
      </c>
    </row>
    <row r="484" ht="14.25" customHeight="1">
      <c r="A484" s="2" t="s">
        <v>555</v>
      </c>
      <c r="B484" s="2" t="s">
        <v>60</v>
      </c>
      <c r="C484" s="2" t="s">
        <v>19</v>
      </c>
      <c r="D484" s="2" t="s">
        <v>87</v>
      </c>
      <c r="F484" s="3">
        <v>45283.0</v>
      </c>
      <c r="G484" s="3">
        <v>45588.0</v>
      </c>
      <c r="H484" s="2">
        <v>305.0</v>
      </c>
      <c r="I484" s="2">
        <v>2.187637997E9</v>
      </c>
      <c r="J484" s="2" t="s">
        <v>15</v>
      </c>
      <c r="K484" s="2" t="s">
        <v>16</v>
      </c>
    </row>
    <row r="485" ht="14.25" customHeight="1">
      <c r="A485" s="2" t="s">
        <v>556</v>
      </c>
      <c r="B485" s="2" t="s">
        <v>60</v>
      </c>
      <c r="C485" s="2" t="s">
        <v>24</v>
      </c>
      <c r="D485" s="2" t="s">
        <v>80</v>
      </c>
      <c r="F485" s="3">
        <v>44927.0</v>
      </c>
      <c r="G485" s="3">
        <v>45062.0</v>
      </c>
      <c r="H485" s="2">
        <v>135.0</v>
      </c>
      <c r="I485" s="2">
        <v>4.726372711E9</v>
      </c>
      <c r="K485" s="2" t="s">
        <v>22</v>
      </c>
    </row>
    <row r="486" ht="14.25" customHeight="1">
      <c r="A486" s="2" t="s">
        <v>557</v>
      </c>
      <c r="B486" s="2" t="s">
        <v>30</v>
      </c>
      <c r="C486" s="2" t="s">
        <v>24</v>
      </c>
      <c r="D486" s="2" t="s">
        <v>85</v>
      </c>
      <c r="F486" s="3">
        <v>45121.0</v>
      </c>
      <c r="G486" s="3">
        <v>45161.0</v>
      </c>
      <c r="H486" s="2">
        <v>40.0</v>
      </c>
      <c r="I486" s="2">
        <v>1.759227411E9</v>
      </c>
      <c r="J486" s="2" t="s">
        <v>15</v>
      </c>
      <c r="K486" s="2" t="s">
        <v>22</v>
      </c>
    </row>
    <row r="487" ht="14.25" customHeight="1">
      <c r="A487" s="2" t="s">
        <v>558</v>
      </c>
      <c r="B487" s="2" t="s">
        <v>30</v>
      </c>
      <c r="C487" s="2" t="s">
        <v>13</v>
      </c>
      <c r="D487" s="2" t="s">
        <v>56</v>
      </c>
      <c r="F487" s="3">
        <v>45211.0</v>
      </c>
      <c r="G487" s="3">
        <v>45297.0</v>
      </c>
      <c r="H487" s="2">
        <v>86.0</v>
      </c>
      <c r="I487" s="2">
        <v>4.243309922E9</v>
      </c>
      <c r="K487" s="2" t="s">
        <v>16</v>
      </c>
    </row>
    <row r="488" ht="14.25" customHeight="1">
      <c r="A488" s="2" t="s">
        <v>559</v>
      </c>
      <c r="B488" s="2" t="s">
        <v>18</v>
      </c>
      <c r="C488" s="2" t="s">
        <v>42</v>
      </c>
      <c r="D488" s="2" t="s">
        <v>135</v>
      </c>
      <c r="F488" s="3">
        <v>45016.0</v>
      </c>
      <c r="G488" s="3">
        <v>45248.0</v>
      </c>
      <c r="H488" s="2">
        <v>232.0</v>
      </c>
      <c r="I488" s="2">
        <v>7.59851962E8</v>
      </c>
      <c r="J488" s="2" t="s">
        <v>67</v>
      </c>
      <c r="K488" s="2" t="s">
        <v>16</v>
      </c>
    </row>
    <row r="489" ht="14.25" customHeight="1">
      <c r="A489" s="2" t="s">
        <v>560</v>
      </c>
      <c r="B489" s="2" t="s">
        <v>35</v>
      </c>
      <c r="C489" s="2" t="s">
        <v>13</v>
      </c>
      <c r="D489" s="2" t="s">
        <v>78</v>
      </c>
      <c r="E489" s="2">
        <v>1.29</v>
      </c>
      <c r="F489" s="3">
        <v>45154.0</v>
      </c>
      <c r="G489" s="3">
        <v>45341.0</v>
      </c>
      <c r="H489" s="2">
        <v>187.0</v>
      </c>
      <c r="I489" s="2">
        <v>3.346172318E9</v>
      </c>
      <c r="J489" s="2" t="s">
        <v>21</v>
      </c>
      <c r="K489" s="2" t="s">
        <v>22</v>
      </c>
    </row>
    <row r="490" ht="14.25" customHeight="1">
      <c r="A490" s="2" t="s">
        <v>561</v>
      </c>
      <c r="B490" s="2" t="s">
        <v>60</v>
      </c>
      <c r="C490" s="2" t="s">
        <v>19</v>
      </c>
      <c r="D490" s="2" t="s">
        <v>87</v>
      </c>
      <c r="F490" s="3">
        <v>45262.0</v>
      </c>
      <c r="G490" s="3">
        <v>45620.0</v>
      </c>
      <c r="H490" s="2">
        <v>358.0</v>
      </c>
      <c r="I490" s="2">
        <v>3.842662557E9</v>
      </c>
      <c r="J490" s="2" t="s">
        <v>26</v>
      </c>
      <c r="K490" s="2" t="s">
        <v>22</v>
      </c>
    </row>
    <row r="491" ht="14.25" customHeight="1">
      <c r="A491" s="2" t="s">
        <v>562</v>
      </c>
      <c r="B491" s="2" t="s">
        <v>35</v>
      </c>
      <c r="C491" s="2" t="s">
        <v>39</v>
      </c>
      <c r="D491" s="2" t="s">
        <v>145</v>
      </c>
      <c r="E491" s="2">
        <v>0.21</v>
      </c>
      <c r="F491" s="3">
        <v>44961.0</v>
      </c>
      <c r="G491" s="3">
        <v>45078.0</v>
      </c>
      <c r="H491" s="2">
        <v>117.0</v>
      </c>
      <c r="I491" s="2">
        <v>1.717769032E9</v>
      </c>
      <c r="J491" s="2" t="s">
        <v>44</v>
      </c>
      <c r="K491" s="2" t="s">
        <v>22</v>
      </c>
    </row>
    <row r="492" ht="14.25" customHeight="1">
      <c r="A492" s="2" t="s">
        <v>563</v>
      </c>
      <c r="B492" s="2" t="s">
        <v>18</v>
      </c>
      <c r="C492" s="2" t="s">
        <v>48</v>
      </c>
      <c r="D492" s="2" t="s">
        <v>121</v>
      </c>
      <c r="F492" s="3">
        <v>44994.0</v>
      </c>
      <c r="G492" s="3">
        <v>45074.0</v>
      </c>
      <c r="H492" s="2">
        <v>80.0</v>
      </c>
      <c r="I492" s="2">
        <v>4.895841826E9</v>
      </c>
      <c r="J492" s="2" t="s">
        <v>50</v>
      </c>
      <c r="K492" s="2" t="s">
        <v>16</v>
      </c>
    </row>
    <row r="493" ht="14.25" customHeight="1">
      <c r="A493" s="2" t="s">
        <v>564</v>
      </c>
      <c r="B493" s="2" t="s">
        <v>30</v>
      </c>
      <c r="C493" s="2" t="s">
        <v>31</v>
      </c>
      <c r="D493" s="2" t="s">
        <v>32</v>
      </c>
      <c r="F493" s="3">
        <v>44944.0</v>
      </c>
      <c r="G493" s="3">
        <v>45284.0</v>
      </c>
      <c r="H493" s="2">
        <v>340.0</v>
      </c>
      <c r="I493" s="2">
        <v>3.377631127E9</v>
      </c>
      <c r="J493" s="2" t="s">
        <v>26</v>
      </c>
      <c r="K493" s="2" t="s">
        <v>22</v>
      </c>
    </row>
    <row r="494" ht="14.25" customHeight="1">
      <c r="A494" s="2" t="s">
        <v>565</v>
      </c>
      <c r="B494" s="2" t="s">
        <v>30</v>
      </c>
      <c r="C494" s="2" t="s">
        <v>48</v>
      </c>
      <c r="D494" s="2" t="s">
        <v>101</v>
      </c>
      <c r="F494" s="3">
        <v>45099.0</v>
      </c>
      <c r="G494" s="3">
        <v>45254.0</v>
      </c>
      <c r="H494" s="2">
        <v>155.0</v>
      </c>
      <c r="I494" s="2">
        <v>6.63542001E8</v>
      </c>
      <c r="J494" s="2" t="s">
        <v>15</v>
      </c>
      <c r="K494" s="2" t="s">
        <v>16</v>
      </c>
    </row>
    <row r="495" ht="14.25" customHeight="1">
      <c r="A495" s="2" t="s">
        <v>566</v>
      </c>
      <c r="B495" s="2" t="s">
        <v>12</v>
      </c>
      <c r="C495" s="2" t="s">
        <v>36</v>
      </c>
      <c r="D495" s="2" t="s">
        <v>46</v>
      </c>
      <c r="E495" s="2">
        <v>15.25</v>
      </c>
      <c r="F495" s="3">
        <v>45148.0</v>
      </c>
      <c r="G495" s="3">
        <v>45259.0</v>
      </c>
      <c r="H495" s="2">
        <v>111.0</v>
      </c>
      <c r="I495" s="2">
        <v>3.003196759E9</v>
      </c>
      <c r="J495" s="2" t="s">
        <v>44</v>
      </c>
      <c r="K495" s="2" t="s">
        <v>16</v>
      </c>
    </row>
    <row r="496" ht="14.25" customHeight="1">
      <c r="A496" s="2" t="s">
        <v>567</v>
      </c>
      <c r="B496" s="2" t="s">
        <v>18</v>
      </c>
      <c r="C496" s="2" t="s">
        <v>36</v>
      </c>
      <c r="D496" s="2" t="s">
        <v>71</v>
      </c>
      <c r="F496" s="3">
        <v>45013.0</v>
      </c>
      <c r="G496" s="3">
        <v>45095.0</v>
      </c>
      <c r="H496" s="2">
        <v>82.0</v>
      </c>
      <c r="I496" s="2">
        <v>3.822455475E9</v>
      </c>
      <c r="J496" s="2" t="s">
        <v>26</v>
      </c>
      <c r="K496" s="2" t="s">
        <v>16</v>
      </c>
    </row>
    <row r="497" ht="14.25" customHeight="1">
      <c r="A497" s="2" t="s">
        <v>568</v>
      </c>
      <c r="B497" s="2" t="s">
        <v>60</v>
      </c>
      <c r="C497" s="2" t="s">
        <v>13</v>
      </c>
      <c r="D497" s="2" t="s">
        <v>182</v>
      </c>
      <c r="F497" s="3">
        <v>45137.0</v>
      </c>
      <c r="G497" s="3">
        <v>45248.0</v>
      </c>
      <c r="H497" s="2">
        <v>111.0</v>
      </c>
      <c r="I497" s="2">
        <v>6.49207809E8</v>
      </c>
      <c r="J497" s="2" t="s">
        <v>21</v>
      </c>
      <c r="K497" s="2" t="s">
        <v>22</v>
      </c>
    </row>
    <row r="498" ht="14.25" customHeight="1">
      <c r="A498" s="2" t="s">
        <v>569</v>
      </c>
      <c r="B498" s="2" t="s">
        <v>60</v>
      </c>
      <c r="C498" s="2" t="s">
        <v>36</v>
      </c>
      <c r="D498" s="2" t="s">
        <v>61</v>
      </c>
      <c r="F498" s="3">
        <v>45010.0</v>
      </c>
      <c r="G498" s="3">
        <v>45091.0</v>
      </c>
      <c r="H498" s="2">
        <v>81.0</v>
      </c>
      <c r="I498" s="2">
        <v>8.79010819E8</v>
      </c>
      <c r="K498" s="2" t="s">
        <v>22</v>
      </c>
    </row>
    <row r="499" ht="14.25" customHeight="1">
      <c r="A499" s="2" t="s">
        <v>570</v>
      </c>
      <c r="B499" s="2" t="s">
        <v>18</v>
      </c>
      <c r="C499" s="2" t="s">
        <v>24</v>
      </c>
      <c r="D499" s="2" t="s">
        <v>95</v>
      </c>
      <c r="F499" s="3">
        <v>45240.0</v>
      </c>
      <c r="G499" s="3">
        <v>45346.0</v>
      </c>
      <c r="H499" s="2">
        <v>106.0</v>
      </c>
      <c r="I499" s="2">
        <v>7.77445759E8</v>
      </c>
      <c r="J499" s="2" t="s">
        <v>50</v>
      </c>
      <c r="K499" s="2" t="s">
        <v>16</v>
      </c>
    </row>
    <row r="500" ht="14.25" customHeight="1">
      <c r="A500" s="2" t="s">
        <v>571</v>
      </c>
      <c r="B500" s="2" t="s">
        <v>18</v>
      </c>
      <c r="C500" s="2" t="s">
        <v>19</v>
      </c>
      <c r="D500" s="2" t="s">
        <v>20</v>
      </c>
      <c r="F500" s="3">
        <v>45272.0</v>
      </c>
      <c r="G500" s="3">
        <v>45553.0</v>
      </c>
      <c r="H500" s="2">
        <v>281.0</v>
      </c>
      <c r="I500" s="2">
        <v>2.086976641E9</v>
      </c>
      <c r="J500" s="2" t="s">
        <v>50</v>
      </c>
      <c r="K500" s="2" t="s">
        <v>16</v>
      </c>
    </row>
    <row r="501" ht="14.25" customHeight="1">
      <c r="A501" s="2" t="s">
        <v>572</v>
      </c>
      <c r="B501" s="2" t="s">
        <v>30</v>
      </c>
      <c r="C501" s="2" t="s">
        <v>42</v>
      </c>
      <c r="D501" s="2" t="s">
        <v>43</v>
      </c>
      <c r="F501" s="3">
        <v>45129.0</v>
      </c>
      <c r="G501" s="3">
        <v>44945.0</v>
      </c>
      <c r="H501" s="2">
        <v>-184.0</v>
      </c>
      <c r="I501" s="2">
        <v>6.63692182E8</v>
      </c>
      <c r="J501" s="2" t="s">
        <v>67</v>
      </c>
      <c r="K501" s="2" t="s">
        <v>22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501">
    <sortState ref="A1:K501">
      <sortCondition ref="A1:A501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43"/>
    <col customWidth="1" min="2" max="2" width="15.29"/>
    <col customWidth="1" min="3" max="3" width="9.43"/>
    <col customWidth="1" min="4" max="4" width="35.57"/>
    <col customWidth="1" min="5" max="5" width="16.57"/>
    <col customWidth="1" min="6" max="6" width="17.57"/>
    <col customWidth="1" min="7" max="7" width="16.57"/>
    <col customWidth="1" min="8" max="8" width="30.14"/>
    <col customWidth="1" min="9" max="9" width="17.14"/>
    <col customWidth="1" min="10" max="10" width="19.57"/>
    <col customWidth="1" min="11" max="11" width="13.71"/>
    <col customWidth="1" min="12" max="12" width="20.43"/>
    <col customWidth="1" min="13" max="13" width="20.86"/>
    <col customWidth="1" min="14" max="14" width="21.86"/>
    <col customWidth="1" min="15" max="15" width="16.57"/>
    <col customWidth="1" min="16" max="16" width="17.71"/>
    <col customWidth="1" min="17" max="17" width="20.57"/>
    <col customWidth="1" min="18" max="18" width="18.14"/>
    <col customWidth="1" min="19" max="19" width="17.43"/>
    <col customWidth="1" min="20" max="22" width="20.71"/>
    <col customWidth="1" min="23" max="23" width="21.71"/>
    <col customWidth="1" min="24" max="24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4"/>
      <c r="J1" s="5"/>
      <c r="K1" s="5"/>
      <c r="L1" s="5"/>
      <c r="M1" s="5"/>
      <c r="N1" s="5"/>
      <c r="O1" s="5"/>
      <c r="P1" s="5"/>
      <c r="Q1" s="5"/>
      <c r="R1" s="4"/>
      <c r="S1" s="4"/>
      <c r="T1" s="4"/>
      <c r="U1" s="4"/>
      <c r="V1" s="4"/>
      <c r="W1" s="4"/>
      <c r="X1" s="4"/>
    </row>
    <row r="2" ht="14.25" customHeight="1">
      <c r="A2" s="2" t="s">
        <v>11</v>
      </c>
      <c r="B2" s="2" t="s">
        <v>35</v>
      </c>
      <c r="C2" s="2" t="s">
        <v>36</v>
      </c>
      <c r="D2" s="2" t="s">
        <v>37</v>
      </c>
      <c r="E2" s="6">
        <v>44927.0</v>
      </c>
      <c r="F2" s="6">
        <v>44994.0</v>
      </c>
      <c r="G2" s="7">
        <v>6.49208256E8</v>
      </c>
      <c r="H2" s="8" t="s">
        <v>573</v>
      </c>
    </row>
    <row r="3" ht="14.25" customHeight="1">
      <c r="A3" s="8" t="s">
        <v>574</v>
      </c>
      <c r="B3" s="2" t="s">
        <v>35</v>
      </c>
      <c r="C3" s="2" t="s">
        <v>48</v>
      </c>
      <c r="D3" s="2" t="s">
        <v>49</v>
      </c>
      <c r="E3" s="6">
        <v>45319.0</v>
      </c>
      <c r="F3" s="9">
        <v>45323.0</v>
      </c>
      <c r="G3" s="7">
        <v>3.26999652E8</v>
      </c>
      <c r="H3" s="2" t="s">
        <v>44</v>
      </c>
    </row>
    <row r="4" ht="14.25" customHeight="1">
      <c r="A4" s="2" t="s">
        <v>17</v>
      </c>
      <c r="B4" s="2" t="s">
        <v>60</v>
      </c>
      <c r="C4" s="2" t="s">
        <v>24</v>
      </c>
      <c r="D4" s="8" t="s">
        <v>575</v>
      </c>
      <c r="E4" s="6">
        <v>44927.0</v>
      </c>
      <c r="F4" s="6">
        <v>45062.0</v>
      </c>
      <c r="G4" s="7">
        <v>3.474309188E9</v>
      </c>
      <c r="H4" s="2" t="s">
        <v>44</v>
      </c>
    </row>
    <row r="5" ht="14.25" customHeight="1">
      <c r="A5" s="8" t="s">
        <v>576</v>
      </c>
      <c r="B5" s="2" t="s">
        <v>18</v>
      </c>
      <c r="C5" s="2" t="s">
        <v>39</v>
      </c>
      <c r="D5" s="8" t="s">
        <v>577</v>
      </c>
      <c r="E5" s="6">
        <v>45320.0</v>
      </c>
      <c r="F5" s="9">
        <v>45336.0</v>
      </c>
      <c r="G5" s="7">
        <v>8.58795151E9</v>
      </c>
      <c r="H5" s="2" t="s">
        <v>44</v>
      </c>
    </row>
    <row r="6" ht="14.25" customHeight="1">
      <c r="A6" s="2" t="s">
        <v>23</v>
      </c>
      <c r="B6" s="2" t="s">
        <v>12</v>
      </c>
      <c r="C6" s="2" t="s">
        <v>36</v>
      </c>
      <c r="D6" s="8" t="s">
        <v>578</v>
      </c>
      <c r="E6" s="6">
        <v>44928.0</v>
      </c>
      <c r="F6" s="6">
        <v>45239.0</v>
      </c>
      <c r="G6" s="7">
        <v>1.91505827E8</v>
      </c>
    </row>
    <row r="7" ht="14.25" customHeight="1">
      <c r="A7" s="8" t="s">
        <v>579</v>
      </c>
      <c r="B7" s="2" t="s">
        <v>18</v>
      </c>
      <c r="C7" s="2" t="s">
        <v>13</v>
      </c>
      <c r="D7" s="8" t="s">
        <v>580</v>
      </c>
      <c r="E7" s="9">
        <v>45323.0</v>
      </c>
      <c r="F7" s="9">
        <v>45343.0</v>
      </c>
      <c r="G7" s="7">
        <v>8.016851785E9</v>
      </c>
      <c r="H7" s="8" t="s">
        <v>581</v>
      </c>
    </row>
    <row r="8" ht="14.25" customHeight="1">
      <c r="A8" s="2" t="s">
        <v>27</v>
      </c>
      <c r="B8" s="2" t="s">
        <v>60</v>
      </c>
      <c r="C8" s="2" t="s">
        <v>13</v>
      </c>
      <c r="D8" s="8" t="s">
        <v>582</v>
      </c>
      <c r="E8" s="6">
        <v>44928.0</v>
      </c>
      <c r="F8" s="6">
        <v>45006.0</v>
      </c>
      <c r="G8" s="7">
        <v>3.979021821E9</v>
      </c>
      <c r="H8" s="2" t="s">
        <v>50</v>
      </c>
    </row>
    <row r="9" ht="14.25" customHeight="1">
      <c r="A9" s="8" t="s">
        <v>583</v>
      </c>
      <c r="B9" s="2" t="s">
        <v>18</v>
      </c>
      <c r="C9" s="2" t="s">
        <v>39</v>
      </c>
      <c r="D9" s="8" t="s">
        <v>577</v>
      </c>
      <c r="E9" s="9">
        <v>45325.0</v>
      </c>
      <c r="F9" s="10">
        <v>45342.0</v>
      </c>
      <c r="G9" s="7">
        <v>2.153093275E9</v>
      </c>
      <c r="H9" s="8" t="s">
        <v>581</v>
      </c>
    </row>
    <row r="10" ht="14.25" customHeight="1">
      <c r="A10" s="2" t="s">
        <v>29</v>
      </c>
      <c r="B10" s="2" t="s">
        <v>35</v>
      </c>
      <c r="C10" s="2" t="s">
        <v>39</v>
      </c>
      <c r="D10" s="2" t="s">
        <v>145</v>
      </c>
      <c r="E10" s="6">
        <v>44928.0</v>
      </c>
      <c r="F10" s="6">
        <v>45271.0</v>
      </c>
      <c r="G10" s="7">
        <v>6.83556997E8</v>
      </c>
      <c r="H10" s="2" t="s">
        <v>21</v>
      </c>
    </row>
    <row r="11" ht="14.25" customHeight="1">
      <c r="A11" s="8" t="s">
        <v>584</v>
      </c>
      <c r="B11" s="2" t="s">
        <v>30</v>
      </c>
      <c r="C11" s="2" t="s">
        <v>31</v>
      </c>
      <c r="D11" s="8" t="s">
        <v>585</v>
      </c>
      <c r="E11" s="9">
        <v>45327.0</v>
      </c>
      <c r="F11" s="9">
        <v>45353.0</v>
      </c>
      <c r="G11" s="7">
        <v>4.63632409E9</v>
      </c>
      <c r="H11" s="8" t="s">
        <v>573</v>
      </c>
    </row>
    <row r="12" ht="14.25" customHeight="1">
      <c r="A12" s="2" t="s">
        <v>34</v>
      </c>
      <c r="B12" s="2" t="s">
        <v>35</v>
      </c>
      <c r="C12" s="2" t="s">
        <v>13</v>
      </c>
      <c r="D12" s="2" t="s">
        <v>78</v>
      </c>
      <c r="E12" s="6">
        <v>44929.0</v>
      </c>
      <c r="F12" s="6">
        <v>45230.0</v>
      </c>
      <c r="G12" s="7">
        <v>6.63835414E8</v>
      </c>
      <c r="H12" s="2" t="s">
        <v>67</v>
      </c>
    </row>
    <row r="13" ht="14.25" customHeight="1">
      <c r="A13" s="8" t="s">
        <v>586</v>
      </c>
      <c r="B13" s="2" t="s">
        <v>35</v>
      </c>
      <c r="C13" s="2" t="s">
        <v>36</v>
      </c>
      <c r="D13" s="2" t="s">
        <v>37</v>
      </c>
      <c r="E13" s="9">
        <v>45329.0</v>
      </c>
      <c r="F13" s="9">
        <v>45360.0</v>
      </c>
      <c r="G13" s="7">
        <v>6.98540517E8</v>
      </c>
      <c r="H13" s="2" t="s">
        <v>21</v>
      </c>
    </row>
    <row r="14" ht="14.25" customHeight="1">
      <c r="A14" s="2" t="s">
        <v>38</v>
      </c>
      <c r="B14" s="2" t="s">
        <v>60</v>
      </c>
      <c r="C14" s="2" t="s">
        <v>42</v>
      </c>
      <c r="D14" s="8" t="s">
        <v>587</v>
      </c>
      <c r="E14" s="6">
        <v>44929.0</v>
      </c>
      <c r="F14" s="6">
        <v>45261.0</v>
      </c>
      <c r="G14" s="7">
        <v>2.423693734E9</v>
      </c>
      <c r="H14" s="2" t="s">
        <v>50</v>
      </c>
    </row>
    <row r="15" ht="14.25" customHeight="1">
      <c r="A15" s="8" t="s">
        <v>588</v>
      </c>
      <c r="B15" s="2" t="s">
        <v>35</v>
      </c>
      <c r="C15" s="2" t="s">
        <v>24</v>
      </c>
      <c r="D15" s="2" t="s">
        <v>133</v>
      </c>
      <c r="E15" s="9">
        <v>45330.0</v>
      </c>
      <c r="F15" s="9">
        <v>45337.0</v>
      </c>
      <c r="G15" s="7">
        <v>3.13131839E8</v>
      </c>
      <c r="H15" s="2" t="s">
        <v>50</v>
      </c>
    </row>
    <row r="16" ht="14.25" customHeight="1">
      <c r="A16" s="2" t="s">
        <v>41</v>
      </c>
      <c r="B16" s="2" t="s">
        <v>12</v>
      </c>
      <c r="C16" s="2" t="s">
        <v>36</v>
      </c>
      <c r="D16" s="8" t="s">
        <v>578</v>
      </c>
      <c r="E16" s="6">
        <v>44929.0</v>
      </c>
      <c r="F16" s="6">
        <v>45041.0</v>
      </c>
      <c r="G16" s="7">
        <v>2.81077623E8</v>
      </c>
      <c r="H16" s="8" t="s">
        <v>581</v>
      </c>
    </row>
    <row r="17" ht="14.25" customHeight="1">
      <c r="A17" s="8" t="s">
        <v>589</v>
      </c>
      <c r="B17" s="2" t="s">
        <v>30</v>
      </c>
      <c r="C17" s="2" t="s">
        <v>39</v>
      </c>
      <c r="D17" s="8" t="s">
        <v>590</v>
      </c>
      <c r="E17" s="9">
        <v>45330.0</v>
      </c>
      <c r="F17" s="9">
        <v>45386.0</v>
      </c>
      <c r="G17" s="7">
        <v>9.21085536E8</v>
      </c>
      <c r="H17" s="2" t="s">
        <v>67</v>
      </c>
    </row>
    <row r="18" ht="14.25" customHeight="1">
      <c r="A18" s="2" t="s">
        <v>45</v>
      </c>
      <c r="B18" s="2" t="s">
        <v>12</v>
      </c>
      <c r="C18" s="2" t="s">
        <v>39</v>
      </c>
      <c r="D18" s="8" t="s">
        <v>591</v>
      </c>
      <c r="E18" s="6">
        <v>44930.0</v>
      </c>
      <c r="F18" s="6">
        <v>45182.0</v>
      </c>
      <c r="G18" s="7">
        <v>2.41214887E8</v>
      </c>
      <c r="H18" s="2" t="s">
        <v>67</v>
      </c>
    </row>
    <row r="19" ht="14.25" customHeight="1">
      <c r="A19" s="8" t="s">
        <v>592</v>
      </c>
      <c r="B19" s="2" t="s">
        <v>35</v>
      </c>
      <c r="C19" s="2" t="s">
        <v>36</v>
      </c>
      <c r="D19" s="2" t="s">
        <v>37</v>
      </c>
      <c r="E19" s="9">
        <v>45334.0</v>
      </c>
      <c r="F19" s="9">
        <v>45351.0</v>
      </c>
      <c r="G19" s="7">
        <v>4.25861681E8</v>
      </c>
      <c r="H19" s="2" t="s">
        <v>50</v>
      </c>
    </row>
    <row r="20" ht="14.25" customHeight="1">
      <c r="A20" s="2" t="s">
        <v>47</v>
      </c>
      <c r="B20" s="2" t="s">
        <v>12</v>
      </c>
      <c r="C20" s="2" t="s">
        <v>31</v>
      </c>
      <c r="D20" s="8" t="s">
        <v>593</v>
      </c>
      <c r="E20" s="6">
        <v>44930.0</v>
      </c>
      <c r="F20" s="6">
        <v>45244.0</v>
      </c>
      <c r="G20" s="7">
        <v>7.49126801E8</v>
      </c>
      <c r="H20" s="8" t="s">
        <v>573</v>
      </c>
    </row>
    <row r="21" ht="14.25" customHeight="1">
      <c r="A21" s="8" t="s">
        <v>594</v>
      </c>
      <c r="B21" s="2" t="s">
        <v>30</v>
      </c>
      <c r="C21" s="2" t="s">
        <v>31</v>
      </c>
      <c r="D21" s="8" t="s">
        <v>595</v>
      </c>
      <c r="E21" s="9">
        <v>45335.0</v>
      </c>
      <c r="F21" s="9">
        <v>45386.0</v>
      </c>
      <c r="G21" s="7">
        <v>6.584342537E9</v>
      </c>
      <c r="H21" s="8" t="s">
        <v>581</v>
      </c>
    </row>
    <row r="22" ht="14.25" customHeight="1">
      <c r="A22" s="2" t="s">
        <v>51</v>
      </c>
      <c r="B22" s="2" t="s">
        <v>35</v>
      </c>
      <c r="C22" s="2" t="s">
        <v>24</v>
      </c>
      <c r="D22" s="2" t="s">
        <v>133</v>
      </c>
      <c r="E22" s="6">
        <v>44931.0</v>
      </c>
      <c r="F22" s="6">
        <v>44968.0</v>
      </c>
      <c r="G22" s="7">
        <v>5.36495065E8</v>
      </c>
      <c r="H22" s="2" t="s">
        <v>44</v>
      </c>
    </row>
    <row r="23" ht="14.25" customHeight="1">
      <c r="A23" s="8" t="s">
        <v>596</v>
      </c>
      <c r="B23" s="2" t="s">
        <v>60</v>
      </c>
      <c r="C23" s="2" t="s">
        <v>36</v>
      </c>
      <c r="D23" s="8" t="s">
        <v>597</v>
      </c>
      <c r="E23" s="9">
        <v>45336.0</v>
      </c>
      <c r="F23" s="9">
        <v>45336.0</v>
      </c>
      <c r="G23" s="7">
        <v>3.981092285E9</v>
      </c>
      <c r="H23" s="2" t="s">
        <v>50</v>
      </c>
    </row>
    <row r="24" ht="14.25" customHeight="1">
      <c r="A24" s="2" t="s">
        <v>52</v>
      </c>
      <c r="B24" s="2" t="s">
        <v>35</v>
      </c>
      <c r="C24" s="2" t="s">
        <v>42</v>
      </c>
      <c r="D24" s="2" t="s">
        <v>69</v>
      </c>
      <c r="E24" s="6">
        <v>44932.0</v>
      </c>
      <c r="F24" s="6">
        <v>45108.0</v>
      </c>
      <c r="G24" s="7">
        <v>3.41629572E8</v>
      </c>
      <c r="H24" s="2" t="s">
        <v>44</v>
      </c>
    </row>
    <row r="25" ht="14.25" customHeight="1">
      <c r="A25" s="8" t="s">
        <v>598</v>
      </c>
      <c r="B25" s="2" t="s">
        <v>35</v>
      </c>
      <c r="C25" s="2" t="s">
        <v>13</v>
      </c>
      <c r="D25" s="2" t="s">
        <v>78</v>
      </c>
      <c r="E25" s="9">
        <v>45337.0</v>
      </c>
      <c r="F25" s="9">
        <v>45342.0</v>
      </c>
      <c r="G25" s="7">
        <v>6.03837273E8</v>
      </c>
      <c r="H25" s="2" t="s">
        <v>67</v>
      </c>
    </row>
    <row r="26" ht="14.25" customHeight="1">
      <c r="A26" s="2" t="s">
        <v>54</v>
      </c>
      <c r="B26" s="2" t="s">
        <v>60</v>
      </c>
      <c r="C26" s="2" t="s">
        <v>31</v>
      </c>
      <c r="D26" s="8" t="s">
        <v>599</v>
      </c>
      <c r="E26" s="6">
        <v>44935.0</v>
      </c>
      <c r="F26" s="6">
        <v>44971.0</v>
      </c>
      <c r="G26" s="7">
        <v>4.534202846E9</v>
      </c>
      <c r="H26" s="2" t="s">
        <v>44</v>
      </c>
    </row>
    <row r="27" ht="14.25" customHeight="1">
      <c r="A27" s="8" t="s">
        <v>600</v>
      </c>
      <c r="B27" s="2" t="s">
        <v>35</v>
      </c>
      <c r="C27" s="2" t="s">
        <v>42</v>
      </c>
      <c r="D27" s="2" t="s">
        <v>69</v>
      </c>
      <c r="E27" s="9">
        <v>45338.0</v>
      </c>
      <c r="F27" s="9">
        <v>45346.0</v>
      </c>
      <c r="G27" s="7">
        <v>2.57898943E8</v>
      </c>
      <c r="H27" s="8" t="s">
        <v>581</v>
      </c>
    </row>
    <row r="28" ht="14.25" customHeight="1">
      <c r="A28" s="2" t="s">
        <v>55</v>
      </c>
      <c r="B28" s="2" t="s">
        <v>35</v>
      </c>
      <c r="C28" s="2" t="s">
        <v>42</v>
      </c>
      <c r="D28" s="2" t="s">
        <v>69</v>
      </c>
      <c r="E28" s="6">
        <v>44936.0</v>
      </c>
      <c r="F28" s="6">
        <v>45295.0</v>
      </c>
      <c r="G28" s="7">
        <v>4.89065831E8</v>
      </c>
      <c r="H28" s="2" t="s">
        <v>21</v>
      </c>
    </row>
    <row r="29" ht="14.25" customHeight="1">
      <c r="A29" s="8" t="s">
        <v>601</v>
      </c>
      <c r="B29" s="2" t="s">
        <v>12</v>
      </c>
      <c r="C29" s="2" t="s">
        <v>48</v>
      </c>
      <c r="D29" s="8" t="s">
        <v>602</v>
      </c>
      <c r="E29" s="9">
        <v>45339.0</v>
      </c>
      <c r="F29" s="9">
        <v>45379.0</v>
      </c>
      <c r="G29" s="7">
        <v>5.45662746E8</v>
      </c>
      <c r="H29" s="2" t="s">
        <v>21</v>
      </c>
    </row>
    <row r="30" ht="14.25" customHeight="1">
      <c r="A30" s="2" t="s">
        <v>57</v>
      </c>
      <c r="B30" s="2" t="s">
        <v>12</v>
      </c>
      <c r="C30" s="2" t="s">
        <v>42</v>
      </c>
      <c r="D30" s="8" t="s">
        <v>603</v>
      </c>
      <c r="E30" s="6">
        <v>44938.0</v>
      </c>
      <c r="F30" s="6">
        <v>44985.0</v>
      </c>
      <c r="G30" s="7">
        <v>4.86357978E8</v>
      </c>
    </row>
    <row r="31" ht="14.25" customHeight="1">
      <c r="A31" s="8" t="s">
        <v>604</v>
      </c>
      <c r="B31" s="2" t="s">
        <v>12</v>
      </c>
      <c r="C31" s="2" t="s">
        <v>48</v>
      </c>
      <c r="D31" s="8" t="s">
        <v>602</v>
      </c>
      <c r="E31" s="9">
        <v>45340.0</v>
      </c>
      <c r="F31" s="9">
        <v>45371.0</v>
      </c>
      <c r="G31" s="7">
        <v>8.10414368E8</v>
      </c>
      <c r="H31" s="2" t="s">
        <v>33</v>
      </c>
    </row>
    <row r="32" ht="14.25" customHeight="1">
      <c r="A32" s="2" t="s">
        <v>59</v>
      </c>
      <c r="B32" s="2" t="s">
        <v>12</v>
      </c>
      <c r="C32" s="2" t="s">
        <v>13</v>
      </c>
      <c r="D32" s="8" t="s">
        <v>605</v>
      </c>
      <c r="E32" s="6">
        <v>44938.0</v>
      </c>
      <c r="F32" s="6">
        <v>45262.0</v>
      </c>
      <c r="G32" s="7">
        <v>3.41929482E8</v>
      </c>
      <c r="H32" s="8" t="s">
        <v>581</v>
      </c>
    </row>
    <row r="33" ht="14.25" customHeight="1">
      <c r="A33" s="8" t="s">
        <v>606</v>
      </c>
      <c r="B33" s="2" t="s">
        <v>12</v>
      </c>
      <c r="C33" s="2" t="s">
        <v>31</v>
      </c>
      <c r="D33" s="8" t="s">
        <v>593</v>
      </c>
      <c r="E33" s="9">
        <v>45341.0</v>
      </c>
      <c r="F33" s="9">
        <v>45388.0</v>
      </c>
      <c r="G33" s="7">
        <v>5.99466235E8</v>
      </c>
      <c r="H33" s="8" t="s">
        <v>581</v>
      </c>
    </row>
    <row r="34" ht="14.25" customHeight="1">
      <c r="A34" s="2" t="s">
        <v>62</v>
      </c>
      <c r="B34" s="2" t="s">
        <v>18</v>
      </c>
      <c r="C34" s="2" t="s">
        <v>13</v>
      </c>
      <c r="D34" s="8" t="s">
        <v>580</v>
      </c>
      <c r="E34" s="6">
        <v>44939.0</v>
      </c>
      <c r="F34" s="6">
        <v>45185.0</v>
      </c>
      <c r="G34" s="7">
        <v>4.929333305E9</v>
      </c>
      <c r="H34" s="8" t="s">
        <v>581</v>
      </c>
    </row>
    <row r="35" ht="14.25" customHeight="1">
      <c r="A35" s="8" t="s">
        <v>607</v>
      </c>
      <c r="B35" s="2" t="s">
        <v>35</v>
      </c>
      <c r="C35" s="2" t="s">
        <v>36</v>
      </c>
      <c r="D35" s="2" t="s">
        <v>37</v>
      </c>
      <c r="E35" s="9">
        <v>45341.0</v>
      </c>
      <c r="F35" s="9">
        <v>45350.0</v>
      </c>
      <c r="G35" s="7">
        <v>3.33089653E8</v>
      </c>
      <c r="H35" s="2" t="s">
        <v>67</v>
      </c>
    </row>
    <row r="36" ht="14.25" customHeight="1">
      <c r="A36" s="2" t="s">
        <v>64</v>
      </c>
      <c r="B36" s="2" t="s">
        <v>35</v>
      </c>
      <c r="C36" s="2" t="s">
        <v>13</v>
      </c>
      <c r="D36" s="2" t="s">
        <v>78</v>
      </c>
      <c r="E36" s="6">
        <v>44940.0</v>
      </c>
      <c r="F36" s="6">
        <v>45043.0</v>
      </c>
      <c r="G36" s="7">
        <v>5.23689841E8</v>
      </c>
      <c r="H36" s="2" t="s">
        <v>50</v>
      </c>
    </row>
    <row r="37" ht="14.25" customHeight="1">
      <c r="A37" s="8" t="s">
        <v>608</v>
      </c>
      <c r="B37" s="2" t="s">
        <v>60</v>
      </c>
      <c r="C37" s="2" t="s">
        <v>36</v>
      </c>
      <c r="D37" s="8" t="s">
        <v>597</v>
      </c>
      <c r="E37" s="9">
        <v>45341.0</v>
      </c>
      <c r="F37" s="9">
        <v>45406.0</v>
      </c>
      <c r="G37" s="7">
        <v>3.757312666E9</v>
      </c>
      <c r="H37" s="2" t="s">
        <v>67</v>
      </c>
    </row>
    <row r="38" ht="14.25" customHeight="1">
      <c r="A38" s="2" t="s">
        <v>65</v>
      </c>
      <c r="B38" s="2" t="s">
        <v>60</v>
      </c>
      <c r="C38" s="2" t="s">
        <v>42</v>
      </c>
      <c r="D38" s="8" t="s">
        <v>587</v>
      </c>
      <c r="E38" s="6">
        <v>44940.0</v>
      </c>
      <c r="F38" s="6">
        <v>45206.0</v>
      </c>
      <c r="G38" s="7">
        <v>3.894709817E9</v>
      </c>
      <c r="H38" s="8" t="s">
        <v>581</v>
      </c>
    </row>
    <row r="39" ht="14.25" customHeight="1">
      <c r="A39" s="8" t="s">
        <v>609</v>
      </c>
      <c r="B39" s="2" t="s">
        <v>12</v>
      </c>
      <c r="C39" s="2" t="s">
        <v>24</v>
      </c>
      <c r="D39" s="8" t="s">
        <v>610</v>
      </c>
      <c r="E39" s="9">
        <v>45343.0</v>
      </c>
      <c r="F39" s="9">
        <v>45382.0</v>
      </c>
      <c r="G39" s="7">
        <v>4.6287632E8</v>
      </c>
    </row>
    <row r="40" ht="14.25" customHeight="1">
      <c r="A40" s="2" t="s">
        <v>68</v>
      </c>
      <c r="B40" s="2" t="s">
        <v>30</v>
      </c>
      <c r="C40" s="2" t="s">
        <v>39</v>
      </c>
      <c r="D40" s="8" t="s">
        <v>590</v>
      </c>
      <c r="E40" s="6">
        <v>44941.0</v>
      </c>
      <c r="F40" s="6">
        <v>45188.0</v>
      </c>
      <c r="G40" s="7">
        <v>4.532376815E9</v>
      </c>
      <c r="H40" s="2" t="s">
        <v>50</v>
      </c>
    </row>
    <row r="41" ht="14.25" customHeight="1">
      <c r="A41" s="8" t="s">
        <v>611</v>
      </c>
      <c r="B41" s="2" t="s">
        <v>30</v>
      </c>
      <c r="C41" s="2" t="s">
        <v>24</v>
      </c>
      <c r="D41" s="8" t="s">
        <v>612</v>
      </c>
      <c r="E41" s="9">
        <v>45346.0</v>
      </c>
      <c r="F41" s="9">
        <v>45398.0</v>
      </c>
      <c r="G41" s="7">
        <v>3.82111714E9</v>
      </c>
      <c r="H41" s="2" t="s">
        <v>50</v>
      </c>
    </row>
    <row r="42" ht="14.25" customHeight="1">
      <c r="A42" s="2" t="s">
        <v>70</v>
      </c>
      <c r="B42" s="2" t="s">
        <v>60</v>
      </c>
      <c r="C42" s="2" t="s">
        <v>31</v>
      </c>
      <c r="D42" s="8" t="s">
        <v>613</v>
      </c>
      <c r="E42" s="6">
        <v>44941.0</v>
      </c>
      <c r="F42" s="6">
        <v>45290.0</v>
      </c>
      <c r="G42" s="7">
        <v>4.159855566E9</v>
      </c>
      <c r="H42" s="2" t="s">
        <v>33</v>
      </c>
    </row>
    <row r="43" ht="14.25" customHeight="1">
      <c r="A43" s="2" t="s">
        <v>72</v>
      </c>
      <c r="B43" s="2" t="s">
        <v>30</v>
      </c>
      <c r="C43" s="2" t="s">
        <v>36</v>
      </c>
      <c r="D43" s="8" t="s">
        <v>614</v>
      </c>
      <c r="E43" s="6">
        <v>44941.0</v>
      </c>
      <c r="F43" s="6">
        <v>45095.0</v>
      </c>
      <c r="G43" s="7">
        <v>4.492886828E9</v>
      </c>
      <c r="H43" s="2" t="s">
        <v>50</v>
      </c>
    </row>
    <row r="44" ht="14.25" customHeight="1">
      <c r="A44" s="2" t="s">
        <v>73</v>
      </c>
      <c r="B44" s="2" t="s">
        <v>30</v>
      </c>
      <c r="C44" s="2" t="s">
        <v>48</v>
      </c>
      <c r="D44" s="8" t="s">
        <v>615</v>
      </c>
      <c r="E44" s="6">
        <v>44942.0</v>
      </c>
      <c r="F44" s="6">
        <v>45034.0</v>
      </c>
      <c r="G44" s="7">
        <v>1.424729417E9</v>
      </c>
      <c r="H44" s="8" t="s">
        <v>581</v>
      </c>
    </row>
    <row r="45" ht="14.25" customHeight="1">
      <c r="A45" s="2" t="s">
        <v>75</v>
      </c>
      <c r="B45" s="2" t="s">
        <v>30</v>
      </c>
      <c r="C45" s="2" t="s">
        <v>31</v>
      </c>
      <c r="D45" s="8" t="s">
        <v>595</v>
      </c>
      <c r="E45" s="6">
        <v>44943.0</v>
      </c>
      <c r="F45" s="6">
        <v>45027.0</v>
      </c>
      <c r="G45" s="7">
        <v>1.425616276E9</v>
      </c>
      <c r="H45" s="2" t="s">
        <v>44</v>
      </c>
    </row>
    <row r="46" ht="14.25" customHeight="1">
      <c r="A46" s="2" t="s">
        <v>76</v>
      </c>
      <c r="B46" s="2" t="s">
        <v>12</v>
      </c>
      <c r="C46" s="2" t="s">
        <v>36</v>
      </c>
      <c r="D46" s="8" t="s">
        <v>578</v>
      </c>
      <c r="E46" s="6">
        <v>44943.0</v>
      </c>
      <c r="F46" s="6">
        <v>45136.0</v>
      </c>
      <c r="G46" s="7">
        <v>3.07413755E8</v>
      </c>
      <c r="H46" s="2" t="s">
        <v>44</v>
      </c>
    </row>
    <row r="47" ht="14.25" customHeight="1">
      <c r="A47" s="2" t="s">
        <v>77</v>
      </c>
      <c r="B47" s="2" t="s">
        <v>30</v>
      </c>
      <c r="C47" s="2" t="s">
        <v>31</v>
      </c>
      <c r="D47" s="8" t="s">
        <v>595</v>
      </c>
      <c r="E47" s="6">
        <v>44944.0</v>
      </c>
      <c r="F47" s="6">
        <v>45113.0</v>
      </c>
      <c r="G47" s="7">
        <v>6.929733135E9</v>
      </c>
      <c r="H47" s="2" t="s">
        <v>33</v>
      </c>
    </row>
    <row r="48" ht="14.25" customHeight="1">
      <c r="A48" s="2" t="s">
        <v>79</v>
      </c>
      <c r="B48" s="2" t="s">
        <v>30</v>
      </c>
      <c r="C48" s="2" t="s">
        <v>31</v>
      </c>
      <c r="D48" s="8" t="s">
        <v>585</v>
      </c>
      <c r="E48" s="6">
        <v>44944.0</v>
      </c>
      <c r="F48" s="6">
        <v>45284.0</v>
      </c>
      <c r="G48" s="7">
        <v>1.56771217E9</v>
      </c>
      <c r="H48" s="8" t="s">
        <v>581</v>
      </c>
    </row>
    <row r="49" ht="14.25" customHeight="1">
      <c r="A49" s="2" t="s">
        <v>81</v>
      </c>
      <c r="B49" s="2" t="s">
        <v>30</v>
      </c>
      <c r="C49" s="2" t="s">
        <v>39</v>
      </c>
      <c r="D49" s="8" t="s">
        <v>590</v>
      </c>
      <c r="E49" s="6">
        <v>44945.0</v>
      </c>
      <c r="F49" s="6">
        <v>45037.0</v>
      </c>
      <c r="G49" s="7">
        <v>3.020860458E9</v>
      </c>
      <c r="H49" s="8" t="s">
        <v>581</v>
      </c>
    </row>
    <row r="50" ht="14.25" customHeight="1">
      <c r="A50" s="2" t="s">
        <v>82</v>
      </c>
      <c r="B50" s="2" t="s">
        <v>35</v>
      </c>
      <c r="C50" s="2" t="s">
        <v>42</v>
      </c>
      <c r="D50" s="2" t="s">
        <v>69</v>
      </c>
      <c r="E50" s="6">
        <v>44946.0</v>
      </c>
      <c r="F50" s="6">
        <v>45105.0</v>
      </c>
      <c r="G50" s="7">
        <v>4.43234047E8</v>
      </c>
      <c r="H50" s="8" t="s">
        <v>573</v>
      </c>
    </row>
    <row r="51" ht="14.25" customHeight="1">
      <c r="A51" s="2" t="s">
        <v>84</v>
      </c>
      <c r="B51" s="2" t="s">
        <v>60</v>
      </c>
      <c r="C51" s="2" t="s">
        <v>19</v>
      </c>
      <c r="D51" s="8" t="s">
        <v>616</v>
      </c>
      <c r="E51" s="6">
        <v>44947.0</v>
      </c>
      <c r="F51" s="6">
        <v>45177.0</v>
      </c>
      <c r="G51" s="7">
        <v>4.609627E9</v>
      </c>
      <c r="H51" s="2" t="s">
        <v>33</v>
      </c>
    </row>
    <row r="52" ht="14.25" customHeight="1">
      <c r="A52" s="2" t="s">
        <v>86</v>
      </c>
      <c r="B52" s="2" t="s">
        <v>12</v>
      </c>
      <c r="C52" s="2" t="s">
        <v>36</v>
      </c>
      <c r="D52" s="8" t="s">
        <v>578</v>
      </c>
      <c r="E52" s="6">
        <v>44948.0</v>
      </c>
      <c r="F52" s="6">
        <v>45054.0</v>
      </c>
      <c r="G52" s="7">
        <v>9.95204213E8</v>
      </c>
      <c r="H52" s="8" t="s">
        <v>581</v>
      </c>
    </row>
    <row r="53" ht="14.25" customHeight="1">
      <c r="A53" s="2" t="s">
        <v>88</v>
      </c>
      <c r="B53" s="2" t="s">
        <v>60</v>
      </c>
      <c r="C53" s="2" t="s">
        <v>42</v>
      </c>
      <c r="D53" s="8" t="s">
        <v>617</v>
      </c>
      <c r="E53" s="6">
        <v>44949.0</v>
      </c>
      <c r="F53" s="6">
        <v>45041.0</v>
      </c>
      <c r="G53" s="7">
        <v>3.867579335E9</v>
      </c>
      <c r="H53" s="2" t="s">
        <v>50</v>
      </c>
    </row>
    <row r="54" ht="14.25" customHeight="1">
      <c r="A54" s="2" t="s">
        <v>89</v>
      </c>
      <c r="B54" s="2" t="s">
        <v>18</v>
      </c>
      <c r="C54" s="2" t="s">
        <v>24</v>
      </c>
      <c r="D54" s="8" t="s">
        <v>618</v>
      </c>
      <c r="E54" s="6">
        <v>44949.0</v>
      </c>
      <c r="F54" s="6">
        <v>44986.0</v>
      </c>
      <c r="G54" s="7">
        <v>8.428412586E9</v>
      </c>
      <c r="H54" s="8" t="s">
        <v>573</v>
      </c>
    </row>
    <row r="55" ht="14.25" customHeight="1">
      <c r="A55" s="2" t="s">
        <v>90</v>
      </c>
      <c r="B55" s="2" t="s">
        <v>60</v>
      </c>
      <c r="C55" s="2" t="s">
        <v>13</v>
      </c>
      <c r="D55" s="8" t="s">
        <v>619</v>
      </c>
      <c r="E55" s="6">
        <v>44950.0</v>
      </c>
      <c r="F55" s="6">
        <v>45078.0</v>
      </c>
      <c r="G55" s="7">
        <v>2.004784321E9</v>
      </c>
      <c r="H55" s="2" t="s">
        <v>21</v>
      </c>
    </row>
    <row r="56" ht="14.25" customHeight="1">
      <c r="A56" s="2" t="s">
        <v>92</v>
      </c>
      <c r="B56" s="2" t="s">
        <v>30</v>
      </c>
      <c r="C56" s="2" t="s">
        <v>48</v>
      </c>
      <c r="D56" s="8" t="s">
        <v>620</v>
      </c>
      <c r="E56" s="6">
        <v>44950.0</v>
      </c>
      <c r="F56" s="6">
        <v>45023.0</v>
      </c>
      <c r="G56" s="7">
        <v>2.364631347E9</v>
      </c>
      <c r="H56" s="2" t="s">
        <v>44</v>
      </c>
    </row>
    <row r="57" ht="14.25" customHeight="1">
      <c r="A57" s="2" t="s">
        <v>94</v>
      </c>
      <c r="B57" s="2" t="s">
        <v>30</v>
      </c>
      <c r="C57" s="2" t="s">
        <v>31</v>
      </c>
      <c r="D57" s="8" t="s">
        <v>585</v>
      </c>
      <c r="E57" s="6">
        <v>44951.0</v>
      </c>
      <c r="F57" s="6">
        <v>45187.0</v>
      </c>
      <c r="G57" s="7">
        <v>7.177546505E9</v>
      </c>
      <c r="H57" s="2" t="s">
        <v>21</v>
      </c>
    </row>
    <row r="58" ht="14.25" customHeight="1">
      <c r="A58" s="2" t="s">
        <v>96</v>
      </c>
      <c r="B58" s="2" t="s">
        <v>35</v>
      </c>
      <c r="C58" s="2" t="s">
        <v>31</v>
      </c>
      <c r="D58" s="2" t="s">
        <v>91</v>
      </c>
      <c r="E58" s="6">
        <v>44951.0</v>
      </c>
      <c r="F58" s="6">
        <v>45262.0</v>
      </c>
      <c r="G58" s="7">
        <v>4.20827734E8</v>
      </c>
      <c r="H58" s="2" t="s">
        <v>67</v>
      </c>
    </row>
    <row r="59" ht="14.25" customHeight="1">
      <c r="A59" s="2" t="s">
        <v>98</v>
      </c>
      <c r="B59" s="2" t="s">
        <v>35</v>
      </c>
      <c r="C59" s="2" t="s">
        <v>13</v>
      </c>
      <c r="D59" s="2" t="s">
        <v>78</v>
      </c>
      <c r="E59" s="6">
        <v>44954.0</v>
      </c>
      <c r="F59" s="6">
        <v>45186.0</v>
      </c>
      <c r="G59" s="7">
        <v>3.8226621E8</v>
      </c>
    </row>
    <row r="60" ht="14.25" customHeight="1">
      <c r="A60" s="2" t="s">
        <v>99</v>
      </c>
      <c r="B60" s="2" t="s">
        <v>60</v>
      </c>
      <c r="C60" s="2" t="s">
        <v>31</v>
      </c>
      <c r="D60" s="8" t="s">
        <v>599</v>
      </c>
      <c r="E60" s="6">
        <v>44954.0</v>
      </c>
      <c r="F60" s="6">
        <v>45220.0</v>
      </c>
      <c r="G60" s="7">
        <v>1.545241955E9</v>
      </c>
      <c r="H60" s="2" t="s">
        <v>44</v>
      </c>
    </row>
    <row r="61" ht="14.25" customHeight="1">
      <c r="A61" s="2" t="s">
        <v>100</v>
      </c>
      <c r="B61" s="2" t="s">
        <v>18</v>
      </c>
      <c r="C61" s="2" t="s">
        <v>42</v>
      </c>
      <c r="D61" s="8" t="s">
        <v>621</v>
      </c>
      <c r="E61" s="6">
        <v>44954.0</v>
      </c>
      <c r="F61" s="6">
        <v>45158.0</v>
      </c>
      <c r="G61" s="7">
        <v>6.831252497E9</v>
      </c>
      <c r="H61" s="2" t="s">
        <v>21</v>
      </c>
    </row>
    <row r="62" ht="14.25" customHeight="1">
      <c r="A62" s="2" t="s">
        <v>102</v>
      </c>
      <c r="B62" s="2" t="s">
        <v>30</v>
      </c>
      <c r="C62" s="2" t="s">
        <v>31</v>
      </c>
      <c r="D62" s="8" t="s">
        <v>585</v>
      </c>
      <c r="E62" s="6">
        <v>44955.0</v>
      </c>
      <c r="F62" s="6">
        <v>45116.0</v>
      </c>
      <c r="G62" s="7">
        <v>3.703277131E9</v>
      </c>
    </row>
    <row r="63" ht="14.25" customHeight="1">
      <c r="A63" s="2" t="s">
        <v>103</v>
      </c>
      <c r="B63" s="2" t="s">
        <v>60</v>
      </c>
      <c r="C63" s="2" t="s">
        <v>48</v>
      </c>
      <c r="D63" s="8" t="s">
        <v>622</v>
      </c>
      <c r="E63" s="6">
        <v>44958.0</v>
      </c>
      <c r="F63" s="6">
        <v>45158.0</v>
      </c>
      <c r="G63" s="7">
        <v>3.6783916E9</v>
      </c>
      <c r="H63" s="2" t="s">
        <v>67</v>
      </c>
    </row>
    <row r="64" ht="14.25" customHeight="1">
      <c r="A64" s="2" t="s">
        <v>104</v>
      </c>
      <c r="B64" s="2" t="s">
        <v>12</v>
      </c>
      <c r="C64" s="2" t="s">
        <v>36</v>
      </c>
      <c r="D64" s="8" t="s">
        <v>578</v>
      </c>
      <c r="E64" s="6">
        <v>44959.0</v>
      </c>
      <c r="F64" s="6">
        <v>45258.0</v>
      </c>
      <c r="G64" s="7">
        <v>8.88014731E8</v>
      </c>
      <c r="H64" s="2" t="s">
        <v>67</v>
      </c>
    </row>
    <row r="65" ht="14.25" customHeight="1">
      <c r="A65" s="2" t="s">
        <v>105</v>
      </c>
      <c r="B65" s="2" t="s">
        <v>12</v>
      </c>
      <c r="C65" s="2" t="s">
        <v>39</v>
      </c>
      <c r="D65" s="8" t="s">
        <v>591</v>
      </c>
      <c r="E65" s="6">
        <v>44959.0</v>
      </c>
      <c r="F65" s="6">
        <v>45150.0</v>
      </c>
      <c r="G65" s="7">
        <v>5.9362902E8</v>
      </c>
      <c r="H65" s="2" t="s">
        <v>50</v>
      </c>
    </row>
    <row r="66" ht="14.25" customHeight="1">
      <c r="A66" s="2" t="s">
        <v>106</v>
      </c>
      <c r="B66" s="2" t="s">
        <v>30</v>
      </c>
      <c r="C66" s="2" t="s">
        <v>19</v>
      </c>
      <c r="D66" s="8" t="s">
        <v>623</v>
      </c>
      <c r="E66" s="6">
        <v>44959.0</v>
      </c>
      <c r="F66" s="6">
        <v>45167.0</v>
      </c>
      <c r="G66" s="7">
        <v>5.835541492E9</v>
      </c>
    </row>
    <row r="67" ht="14.25" customHeight="1">
      <c r="A67" s="2" t="s">
        <v>107</v>
      </c>
      <c r="B67" s="2" t="s">
        <v>35</v>
      </c>
      <c r="C67" s="2" t="s">
        <v>36</v>
      </c>
      <c r="D67" s="2" t="s">
        <v>37</v>
      </c>
      <c r="E67" s="6">
        <v>44960.0</v>
      </c>
      <c r="F67" s="6">
        <v>45303.0</v>
      </c>
      <c r="G67" s="7">
        <v>2.1345744E8</v>
      </c>
      <c r="H67" s="2" t="s">
        <v>21</v>
      </c>
    </row>
    <row r="68" ht="14.25" customHeight="1">
      <c r="A68" s="2" t="s">
        <v>108</v>
      </c>
      <c r="B68" s="2" t="s">
        <v>35</v>
      </c>
      <c r="C68" s="2" t="s">
        <v>39</v>
      </c>
      <c r="D68" s="2" t="s">
        <v>145</v>
      </c>
      <c r="E68" s="6">
        <v>44961.0</v>
      </c>
      <c r="F68" s="6">
        <v>45065.0</v>
      </c>
      <c r="G68" s="7">
        <v>3.27569561E8</v>
      </c>
      <c r="H68" s="2" t="s">
        <v>21</v>
      </c>
    </row>
    <row r="69" ht="14.25" customHeight="1">
      <c r="A69" s="2" t="s">
        <v>109</v>
      </c>
      <c r="B69" s="2" t="s">
        <v>35</v>
      </c>
      <c r="C69" s="2" t="s">
        <v>39</v>
      </c>
      <c r="D69" s="2" t="s">
        <v>145</v>
      </c>
      <c r="E69" s="6">
        <v>44961.0</v>
      </c>
      <c r="F69" s="6">
        <v>45078.0</v>
      </c>
      <c r="G69" s="7">
        <v>7.05483967E8</v>
      </c>
      <c r="H69" s="2" t="s">
        <v>44</v>
      </c>
    </row>
    <row r="70" ht="14.25" customHeight="1">
      <c r="A70" s="2" t="s">
        <v>110</v>
      </c>
      <c r="B70" s="2" t="s">
        <v>30</v>
      </c>
      <c r="C70" s="2" t="s">
        <v>19</v>
      </c>
      <c r="D70" s="8" t="s">
        <v>624</v>
      </c>
      <c r="E70" s="6">
        <v>44963.0</v>
      </c>
      <c r="F70" s="6">
        <v>45048.0</v>
      </c>
      <c r="G70" s="7">
        <v>3.447782131E9</v>
      </c>
      <c r="H70" s="2" t="s">
        <v>50</v>
      </c>
    </row>
    <row r="71" ht="14.25" customHeight="1">
      <c r="A71" s="2" t="s">
        <v>112</v>
      </c>
      <c r="B71" s="2" t="s">
        <v>60</v>
      </c>
      <c r="C71" s="2" t="s">
        <v>24</v>
      </c>
      <c r="D71" s="8" t="s">
        <v>575</v>
      </c>
      <c r="E71" s="6">
        <v>44963.0</v>
      </c>
      <c r="F71" s="6">
        <v>45313.0</v>
      </c>
      <c r="G71" s="7">
        <v>2.635808219E9</v>
      </c>
      <c r="H71" s="2" t="s">
        <v>67</v>
      </c>
    </row>
    <row r="72" ht="14.25" customHeight="1">
      <c r="A72" s="2" t="s">
        <v>113</v>
      </c>
      <c r="B72" s="2" t="s">
        <v>60</v>
      </c>
      <c r="C72" s="2" t="s">
        <v>48</v>
      </c>
      <c r="D72" s="8" t="s">
        <v>625</v>
      </c>
      <c r="E72" s="6">
        <v>44965.0</v>
      </c>
      <c r="F72" s="6">
        <v>45267.0</v>
      </c>
      <c r="G72" s="7">
        <v>2.011712412E9</v>
      </c>
      <c r="H72" s="2" t="s">
        <v>50</v>
      </c>
    </row>
    <row r="73" ht="14.25" customHeight="1">
      <c r="A73" s="2" t="s">
        <v>114</v>
      </c>
      <c r="B73" s="2" t="s">
        <v>60</v>
      </c>
      <c r="C73" s="2" t="s">
        <v>39</v>
      </c>
      <c r="D73" s="8" t="s">
        <v>626</v>
      </c>
      <c r="E73" s="6">
        <v>44965.0</v>
      </c>
      <c r="F73" s="6">
        <v>45066.0</v>
      </c>
      <c r="G73" s="7">
        <v>3.202495526E9</v>
      </c>
      <c r="H73" s="2" t="s">
        <v>44</v>
      </c>
    </row>
    <row r="74" ht="14.25" customHeight="1">
      <c r="A74" s="2" t="s">
        <v>115</v>
      </c>
      <c r="B74" s="2" t="s">
        <v>60</v>
      </c>
      <c r="C74" s="2" t="s">
        <v>48</v>
      </c>
      <c r="D74" s="8" t="s">
        <v>622</v>
      </c>
      <c r="E74" s="6">
        <v>44967.0</v>
      </c>
      <c r="F74" s="6">
        <v>45260.0</v>
      </c>
      <c r="G74" s="7">
        <v>1.655558865E9</v>
      </c>
      <c r="H74" s="2" t="s">
        <v>67</v>
      </c>
    </row>
    <row r="75" ht="14.25" customHeight="1">
      <c r="A75" s="2" t="s">
        <v>116</v>
      </c>
      <c r="B75" s="2" t="s">
        <v>60</v>
      </c>
      <c r="C75" s="2" t="s">
        <v>36</v>
      </c>
      <c r="D75" s="8" t="s">
        <v>597</v>
      </c>
      <c r="E75" s="6">
        <v>44967.0</v>
      </c>
      <c r="F75" s="6">
        <v>45099.0</v>
      </c>
      <c r="G75" s="7">
        <v>4.806787932E9</v>
      </c>
      <c r="H75" s="2" t="s">
        <v>44</v>
      </c>
    </row>
    <row r="76" ht="14.25" customHeight="1">
      <c r="A76" s="2" t="s">
        <v>117</v>
      </c>
      <c r="B76" s="2" t="s">
        <v>12</v>
      </c>
      <c r="C76" s="2" t="s">
        <v>13</v>
      </c>
      <c r="D76" s="8" t="s">
        <v>605</v>
      </c>
      <c r="E76" s="6">
        <v>44968.0</v>
      </c>
      <c r="F76" s="6">
        <v>45329.0</v>
      </c>
      <c r="G76" s="7">
        <v>6.99551361E8</v>
      </c>
      <c r="H76" s="2" t="s">
        <v>21</v>
      </c>
    </row>
    <row r="77" ht="14.25" customHeight="1">
      <c r="A77" s="2" t="s">
        <v>118</v>
      </c>
      <c r="B77" s="2" t="s">
        <v>35</v>
      </c>
      <c r="C77" s="2" t="s">
        <v>31</v>
      </c>
      <c r="D77" s="2" t="s">
        <v>91</v>
      </c>
      <c r="E77" s="6">
        <v>44968.0</v>
      </c>
      <c r="F77" s="6">
        <v>45186.0</v>
      </c>
      <c r="G77" s="7">
        <v>3.63997813E8</v>
      </c>
      <c r="H77" s="8" t="s">
        <v>581</v>
      </c>
    </row>
    <row r="78" ht="14.25" customHeight="1">
      <c r="A78" s="2" t="s">
        <v>119</v>
      </c>
      <c r="B78" s="2" t="s">
        <v>12</v>
      </c>
      <c r="C78" s="2" t="s">
        <v>24</v>
      </c>
      <c r="D78" s="8" t="s">
        <v>610</v>
      </c>
      <c r="E78" s="6">
        <v>44969.0</v>
      </c>
      <c r="F78" s="6">
        <v>45123.0</v>
      </c>
      <c r="G78" s="7">
        <v>9.26922328E8</v>
      </c>
      <c r="H78" s="2" t="s">
        <v>33</v>
      </c>
    </row>
    <row r="79" ht="14.25" customHeight="1">
      <c r="A79" s="2" t="s">
        <v>120</v>
      </c>
      <c r="E79" s="6">
        <v>44969.0</v>
      </c>
      <c r="F79" s="6">
        <v>45030.0</v>
      </c>
      <c r="G79" s="11">
        <v>3.1469007E8</v>
      </c>
      <c r="H79" s="2" t="s">
        <v>44</v>
      </c>
    </row>
    <row r="80" ht="14.25" customHeight="1">
      <c r="A80" s="2" t="s">
        <v>122</v>
      </c>
      <c r="B80" s="2" t="s">
        <v>35</v>
      </c>
      <c r="C80" s="2" t="s">
        <v>48</v>
      </c>
      <c r="D80" s="2" t="s">
        <v>49</v>
      </c>
      <c r="E80" s="6">
        <v>44971.0</v>
      </c>
      <c r="F80" s="6">
        <v>45232.0</v>
      </c>
      <c r="G80" s="7">
        <v>7.08312743E8</v>
      </c>
      <c r="H80" s="2" t="s">
        <v>50</v>
      </c>
    </row>
    <row r="81" ht="14.25" customHeight="1">
      <c r="A81" s="2" t="s">
        <v>123</v>
      </c>
      <c r="B81" s="2" t="s">
        <v>35</v>
      </c>
      <c r="C81" s="2" t="s">
        <v>42</v>
      </c>
      <c r="D81" s="2" t="s">
        <v>69</v>
      </c>
      <c r="E81" s="6">
        <v>44971.0</v>
      </c>
      <c r="F81" s="6">
        <v>45228.0</v>
      </c>
      <c r="G81" s="7">
        <v>4.19037113E8</v>
      </c>
      <c r="H81" s="2" t="s">
        <v>21</v>
      </c>
    </row>
    <row r="82" ht="14.25" customHeight="1">
      <c r="A82" s="2" t="s">
        <v>124</v>
      </c>
      <c r="B82" s="2" t="s">
        <v>35</v>
      </c>
      <c r="C82" s="2" t="s">
        <v>39</v>
      </c>
      <c r="D82" s="2" t="s">
        <v>145</v>
      </c>
      <c r="E82" s="6">
        <v>44972.0</v>
      </c>
      <c r="F82" s="6">
        <v>45130.0</v>
      </c>
      <c r="G82" s="7">
        <v>5.00841363E8</v>
      </c>
      <c r="H82" s="8" t="s">
        <v>581</v>
      </c>
    </row>
    <row r="83" ht="14.25" customHeight="1">
      <c r="A83" s="2" t="s">
        <v>125</v>
      </c>
      <c r="B83" s="2" t="s">
        <v>12</v>
      </c>
      <c r="C83" s="2" t="s">
        <v>39</v>
      </c>
      <c r="D83" s="8" t="s">
        <v>591</v>
      </c>
      <c r="E83" s="6">
        <v>44973.0</v>
      </c>
      <c r="F83" s="6">
        <v>45289.0</v>
      </c>
      <c r="G83" s="7">
        <v>2.0930411E8</v>
      </c>
      <c r="H83" s="8" t="s">
        <v>581</v>
      </c>
    </row>
    <row r="84" ht="14.25" customHeight="1">
      <c r="A84" s="2" t="s">
        <v>126</v>
      </c>
      <c r="B84" s="2" t="s">
        <v>30</v>
      </c>
      <c r="C84" s="2" t="s">
        <v>42</v>
      </c>
      <c r="D84" s="8" t="s">
        <v>627</v>
      </c>
      <c r="E84" s="6">
        <v>44974.0</v>
      </c>
      <c r="F84" s="6">
        <v>45082.0</v>
      </c>
      <c r="G84" s="7">
        <v>3.686469051E9</v>
      </c>
      <c r="H84" s="8" t="s">
        <v>581</v>
      </c>
    </row>
    <row r="85" ht="14.25" customHeight="1">
      <c r="A85" s="2" t="s">
        <v>127</v>
      </c>
      <c r="B85" s="2" t="s">
        <v>12</v>
      </c>
      <c r="C85" s="2" t="s">
        <v>36</v>
      </c>
      <c r="D85" s="8" t="s">
        <v>578</v>
      </c>
      <c r="E85" s="6">
        <v>44974.0</v>
      </c>
      <c r="F85" s="6">
        <v>45112.0</v>
      </c>
      <c r="G85" s="7">
        <v>3.53290709E8</v>
      </c>
      <c r="H85" s="8" t="s">
        <v>573</v>
      </c>
    </row>
    <row r="86" ht="14.25" customHeight="1">
      <c r="A86" s="2" t="s">
        <v>128</v>
      </c>
      <c r="B86" s="2" t="s">
        <v>18</v>
      </c>
      <c r="C86" s="2" t="s">
        <v>39</v>
      </c>
      <c r="D86" s="8" t="s">
        <v>577</v>
      </c>
      <c r="E86" s="6">
        <v>44974.0</v>
      </c>
      <c r="F86" s="6">
        <v>45230.0</v>
      </c>
      <c r="G86" s="7">
        <v>8.935017863E9</v>
      </c>
      <c r="H86" s="2" t="s">
        <v>21</v>
      </c>
    </row>
    <row r="87" ht="14.25" customHeight="1">
      <c r="A87" s="2" t="s">
        <v>129</v>
      </c>
      <c r="B87" s="2" t="s">
        <v>30</v>
      </c>
      <c r="C87" s="2" t="s">
        <v>31</v>
      </c>
      <c r="D87" s="8" t="s">
        <v>585</v>
      </c>
      <c r="E87" s="6">
        <v>44975.0</v>
      </c>
      <c r="F87" s="6">
        <v>45193.0</v>
      </c>
      <c r="G87" s="7">
        <v>5.518454926E9</v>
      </c>
      <c r="H87" s="2" t="s">
        <v>33</v>
      </c>
    </row>
    <row r="88" ht="14.25" customHeight="1">
      <c r="A88" s="2" t="s">
        <v>130</v>
      </c>
      <c r="B88" s="2" t="s">
        <v>60</v>
      </c>
      <c r="C88" s="2" t="s">
        <v>42</v>
      </c>
      <c r="D88" s="8" t="s">
        <v>617</v>
      </c>
      <c r="E88" s="6">
        <v>44975.0</v>
      </c>
      <c r="F88" s="6">
        <v>45256.0</v>
      </c>
      <c r="G88" s="7">
        <v>3.367495384E9</v>
      </c>
    </row>
    <row r="89" ht="14.25" customHeight="1">
      <c r="A89" s="2" t="s">
        <v>131</v>
      </c>
      <c r="B89" s="2" t="s">
        <v>60</v>
      </c>
      <c r="C89" s="2" t="s">
        <v>36</v>
      </c>
      <c r="D89" s="8" t="s">
        <v>628</v>
      </c>
      <c r="E89" s="6">
        <v>44976.0</v>
      </c>
      <c r="F89" s="6">
        <v>45307.0</v>
      </c>
      <c r="G89" s="7">
        <v>2.293993253E9</v>
      </c>
      <c r="H89" s="2" t="s">
        <v>33</v>
      </c>
    </row>
    <row r="90" ht="14.25" customHeight="1">
      <c r="A90" s="2" t="s">
        <v>132</v>
      </c>
      <c r="B90" s="2" t="s">
        <v>60</v>
      </c>
      <c r="C90" s="2" t="s">
        <v>19</v>
      </c>
      <c r="D90" s="8" t="s">
        <v>616</v>
      </c>
      <c r="E90" s="6">
        <v>44976.0</v>
      </c>
      <c r="F90" s="6">
        <v>45318.0</v>
      </c>
      <c r="G90" s="7">
        <v>1.790927128E9</v>
      </c>
      <c r="H90" s="2" t="s">
        <v>50</v>
      </c>
    </row>
    <row r="91" ht="14.25" customHeight="1">
      <c r="A91" s="2" t="s">
        <v>134</v>
      </c>
      <c r="B91" s="2" t="s">
        <v>18</v>
      </c>
      <c r="C91" s="2" t="s">
        <v>39</v>
      </c>
      <c r="E91" s="6">
        <v>44977.0</v>
      </c>
      <c r="F91" s="6">
        <v>45285.0</v>
      </c>
      <c r="G91" s="7">
        <v>7.432359735E9</v>
      </c>
    </row>
    <row r="92" ht="14.25" customHeight="1">
      <c r="A92" s="2" t="s">
        <v>136</v>
      </c>
      <c r="B92" s="2" t="s">
        <v>18</v>
      </c>
      <c r="C92" s="2" t="s">
        <v>48</v>
      </c>
      <c r="D92" s="8" t="s">
        <v>629</v>
      </c>
      <c r="E92" s="6">
        <v>44977.0</v>
      </c>
      <c r="F92" s="6">
        <v>45233.0</v>
      </c>
      <c r="G92" s="7">
        <v>7.645065116E9</v>
      </c>
    </row>
    <row r="93" ht="14.25" customHeight="1">
      <c r="A93" s="2" t="s">
        <v>137</v>
      </c>
      <c r="B93" s="2" t="s">
        <v>30</v>
      </c>
      <c r="C93" s="2" t="s">
        <v>13</v>
      </c>
      <c r="D93" s="8" t="s">
        <v>630</v>
      </c>
      <c r="E93" s="6">
        <v>44979.0</v>
      </c>
      <c r="F93" s="6">
        <v>45295.0</v>
      </c>
      <c r="G93" s="7">
        <v>5.52231232E9</v>
      </c>
      <c r="H93" s="8" t="s">
        <v>581</v>
      </c>
    </row>
    <row r="94" ht="14.25" customHeight="1">
      <c r="A94" s="2" t="s">
        <v>138</v>
      </c>
      <c r="B94" s="2" t="s">
        <v>12</v>
      </c>
      <c r="C94" s="2" t="s">
        <v>42</v>
      </c>
      <c r="D94" s="8" t="s">
        <v>603</v>
      </c>
      <c r="E94" s="6">
        <v>44979.0</v>
      </c>
      <c r="F94" s="6">
        <v>45074.0</v>
      </c>
      <c r="G94" s="7">
        <v>9.3432556E8</v>
      </c>
      <c r="H94" s="2" t="s">
        <v>50</v>
      </c>
    </row>
    <row r="95" ht="14.25" customHeight="1">
      <c r="A95" s="2" t="s">
        <v>139</v>
      </c>
      <c r="B95" s="2" t="s">
        <v>12</v>
      </c>
      <c r="C95" s="2" t="s">
        <v>19</v>
      </c>
      <c r="D95" s="8" t="s">
        <v>631</v>
      </c>
      <c r="E95" s="6">
        <v>44979.0</v>
      </c>
      <c r="F95" s="6">
        <v>45058.0</v>
      </c>
      <c r="G95" s="7">
        <v>1.21142623E8</v>
      </c>
      <c r="H95" s="2" t="s">
        <v>44</v>
      </c>
    </row>
    <row r="96" ht="14.25" customHeight="1">
      <c r="A96" s="2" t="s">
        <v>140</v>
      </c>
      <c r="B96" s="2" t="s">
        <v>30</v>
      </c>
      <c r="C96" s="2" t="s">
        <v>42</v>
      </c>
      <c r="D96" s="8" t="s">
        <v>632</v>
      </c>
      <c r="E96" s="6">
        <v>44982.0</v>
      </c>
      <c r="F96" s="6">
        <v>45181.0</v>
      </c>
      <c r="G96" s="7">
        <v>1.493231996E9</v>
      </c>
      <c r="H96" s="2" t="s">
        <v>33</v>
      </c>
    </row>
    <row r="97" ht="14.25" customHeight="1">
      <c r="A97" s="2" t="s">
        <v>141</v>
      </c>
      <c r="B97" s="2" t="s">
        <v>30</v>
      </c>
      <c r="C97" s="2" t="s">
        <v>39</v>
      </c>
      <c r="D97" s="8" t="s">
        <v>590</v>
      </c>
      <c r="E97" s="6">
        <v>44984.0</v>
      </c>
      <c r="F97" s="6">
        <v>45324.0</v>
      </c>
      <c r="G97" s="7">
        <v>5.860997586E9</v>
      </c>
      <c r="H97" s="8" t="s">
        <v>573</v>
      </c>
    </row>
    <row r="98" ht="14.25" customHeight="1">
      <c r="A98" s="2" t="s">
        <v>142</v>
      </c>
      <c r="B98" s="2" t="s">
        <v>35</v>
      </c>
      <c r="C98" s="2" t="s">
        <v>39</v>
      </c>
      <c r="D98" s="2" t="s">
        <v>145</v>
      </c>
      <c r="E98" s="6">
        <v>44984.0</v>
      </c>
      <c r="F98" s="6">
        <v>45149.0</v>
      </c>
      <c r="G98" s="7">
        <v>5.51513519E8</v>
      </c>
      <c r="H98" s="2" t="s">
        <v>44</v>
      </c>
    </row>
    <row r="99" ht="14.25" customHeight="1">
      <c r="A99" s="2" t="s">
        <v>144</v>
      </c>
      <c r="B99" s="2" t="s">
        <v>12</v>
      </c>
      <c r="C99" s="2" t="s">
        <v>48</v>
      </c>
      <c r="D99" s="8" t="s">
        <v>602</v>
      </c>
      <c r="E99" s="6">
        <v>44985.0</v>
      </c>
      <c r="F99" s="6">
        <v>45186.0</v>
      </c>
      <c r="G99" s="7">
        <v>3.59783228E8</v>
      </c>
      <c r="H99" s="2" t="s">
        <v>44</v>
      </c>
    </row>
    <row r="100" ht="14.25" customHeight="1">
      <c r="A100" s="2" t="s">
        <v>146</v>
      </c>
      <c r="B100" s="2" t="s">
        <v>60</v>
      </c>
      <c r="C100" s="2" t="s">
        <v>48</v>
      </c>
      <c r="D100" s="8" t="s">
        <v>622</v>
      </c>
      <c r="E100" s="6">
        <v>44986.0</v>
      </c>
      <c r="F100" s="6">
        <v>45105.0</v>
      </c>
      <c r="G100" s="7">
        <v>4.429242773E9</v>
      </c>
      <c r="H100" s="2" t="s">
        <v>50</v>
      </c>
    </row>
    <row r="101" ht="14.25" customHeight="1">
      <c r="A101" s="2" t="s">
        <v>147</v>
      </c>
      <c r="B101" s="2" t="s">
        <v>18</v>
      </c>
      <c r="C101" s="2" t="s">
        <v>13</v>
      </c>
      <c r="D101" s="8" t="s">
        <v>580</v>
      </c>
      <c r="E101" s="6">
        <v>44987.0</v>
      </c>
      <c r="F101" s="6">
        <v>45234.0</v>
      </c>
      <c r="G101" s="7">
        <v>2.034415367E9</v>
      </c>
      <c r="H101" s="2" t="s">
        <v>67</v>
      </c>
    </row>
    <row r="102" ht="14.25" customHeight="1">
      <c r="A102" s="2" t="s">
        <v>148</v>
      </c>
      <c r="B102" s="2" t="s">
        <v>30</v>
      </c>
      <c r="C102" s="2" t="s">
        <v>42</v>
      </c>
      <c r="D102" s="8" t="s">
        <v>627</v>
      </c>
      <c r="E102" s="6">
        <v>44989.0</v>
      </c>
      <c r="F102" s="6">
        <v>45301.0</v>
      </c>
      <c r="G102" s="7">
        <v>1.597122511E9</v>
      </c>
      <c r="H102" s="2" t="s">
        <v>44</v>
      </c>
    </row>
    <row r="103" ht="14.25" customHeight="1">
      <c r="A103" s="2" t="s">
        <v>149</v>
      </c>
      <c r="B103" s="2" t="s">
        <v>12</v>
      </c>
      <c r="C103" s="2" t="s">
        <v>42</v>
      </c>
      <c r="D103" s="8" t="s">
        <v>603</v>
      </c>
      <c r="E103" s="6">
        <v>44989.0</v>
      </c>
      <c r="F103" s="6">
        <v>45120.0</v>
      </c>
      <c r="G103" s="7">
        <v>9.66519099E8</v>
      </c>
      <c r="H103" s="2" t="s">
        <v>33</v>
      </c>
    </row>
    <row r="104" ht="14.25" customHeight="1">
      <c r="A104" s="2" t="s">
        <v>150</v>
      </c>
      <c r="B104" s="2" t="s">
        <v>12</v>
      </c>
      <c r="C104" s="2" t="s">
        <v>13</v>
      </c>
      <c r="D104" s="8" t="s">
        <v>605</v>
      </c>
      <c r="E104" s="6">
        <v>44990.0</v>
      </c>
      <c r="F104" s="6">
        <v>45158.0</v>
      </c>
      <c r="G104" s="7">
        <v>8.81938572E8</v>
      </c>
      <c r="H104" s="8" t="s">
        <v>581</v>
      </c>
    </row>
    <row r="105" ht="14.25" customHeight="1">
      <c r="A105" s="2" t="s">
        <v>151</v>
      </c>
      <c r="B105" s="2" t="s">
        <v>60</v>
      </c>
      <c r="C105" s="2" t="s">
        <v>39</v>
      </c>
      <c r="D105" s="8" t="s">
        <v>626</v>
      </c>
      <c r="E105" s="6">
        <v>44990.0</v>
      </c>
      <c r="F105" s="6">
        <v>45020.0</v>
      </c>
      <c r="G105" s="7">
        <v>4.50812299E9</v>
      </c>
      <c r="H105" s="2" t="s">
        <v>50</v>
      </c>
    </row>
    <row r="106" ht="14.25" customHeight="1">
      <c r="A106" s="2" t="s">
        <v>152</v>
      </c>
      <c r="B106" s="2" t="s">
        <v>60</v>
      </c>
      <c r="C106" s="2" t="s">
        <v>42</v>
      </c>
      <c r="D106" s="8" t="s">
        <v>587</v>
      </c>
      <c r="E106" s="6">
        <v>44990.0</v>
      </c>
      <c r="F106" s="6">
        <v>45311.0</v>
      </c>
      <c r="G106" s="7">
        <v>1.863372939E9</v>
      </c>
      <c r="H106" s="2" t="s">
        <v>44</v>
      </c>
    </row>
    <row r="107" ht="14.25" customHeight="1">
      <c r="A107" s="2" t="s">
        <v>153</v>
      </c>
      <c r="B107" s="2" t="s">
        <v>35</v>
      </c>
      <c r="C107" s="2" t="s">
        <v>13</v>
      </c>
      <c r="D107" s="2" t="s">
        <v>78</v>
      </c>
      <c r="E107" s="6">
        <v>44991.0</v>
      </c>
      <c r="F107" s="6">
        <v>45062.0</v>
      </c>
      <c r="G107" s="7">
        <v>5.12883235E8</v>
      </c>
      <c r="H107" s="8" t="s">
        <v>573</v>
      </c>
    </row>
    <row r="108" ht="14.25" customHeight="1">
      <c r="A108" s="2" t="s">
        <v>155</v>
      </c>
      <c r="B108" s="2" t="s">
        <v>18</v>
      </c>
      <c r="C108" s="2" t="s">
        <v>42</v>
      </c>
      <c r="D108" s="8" t="s">
        <v>621</v>
      </c>
      <c r="E108" s="6">
        <v>44991.0</v>
      </c>
      <c r="F108" s="6">
        <v>45338.0</v>
      </c>
      <c r="G108" s="7">
        <v>4.679669631E9</v>
      </c>
      <c r="H108" s="2" t="s">
        <v>44</v>
      </c>
    </row>
    <row r="109" ht="14.25" customHeight="1">
      <c r="A109" s="2" t="s">
        <v>156</v>
      </c>
      <c r="B109" s="2" t="s">
        <v>30</v>
      </c>
      <c r="C109" s="2" t="s">
        <v>31</v>
      </c>
      <c r="D109" s="8" t="s">
        <v>595</v>
      </c>
      <c r="E109" s="6">
        <v>44991.0</v>
      </c>
      <c r="F109" s="6">
        <v>45269.0</v>
      </c>
      <c r="G109" s="7">
        <v>4.513453864E9</v>
      </c>
      <c r="H109" s="8" t="s">
        <v>573</v>
      </c>
    </row>
    <row r="110" ht="14.25" customHeight="1">
      <c r="A110" s="2" t="s">
        <v>157</v>
      </c>
      <c r="B110" s="2" t="s">
        <v>30</v>
      </c>
      <c r="C110" s="2" t="s">
        <v>36</v>
      </c>
      <c r="D110" s="8" t="s">
        <v>614</v>
      </c>
      <c r="E110" s="6">
        <v>44992.0</v>
      </c>
      <c r="F110" s="6">
        <v>45322.0</v>
      </c>
      <c r="G110" s="7">
        <v>7.126604362E9</v>
      </c>
      <c r="H110" s="2" t="s">
        <v>50</v>
      </c>
    </row>
    <row r="111" ht="14.25" customHeight="1">
      <c r="A111" s="2" t="s">
        <v>158</v>
      </c>
      <c r="B111" s="2" t="s">
        <v>30</v>
      </c>
      <c r="C111" s="2" t="s">
        <v>42</v>
      </c>
      <c r="D111" s="8" t="s">
        <v>627</v>
      </c>
      <c r="E111" s="6">
        <v>44994.0</v>
      </c>
      <c r="F111" s="6">
        <v>45241.0</v>
      </c>
      <c r="G111" s="7">
        <v>4.952427692E9</v>
      </c>
      <c r="H111" s="8" t="s">
        <v>573</v>
      </c>
    </row>
    <row r="112" ht="14.25" customHeight="1">
      <c r="A112" s="2" t="s">
        <v>159</v>
      </c>
      <c r="B112" s="2" t="s">
        <v>35</v>
      </c>
      <c r="C112" s="2" t="s">
        <v>31</v>
      </c>
      <c r="D112" s="2" t="s">
        <v>91</v>
      </c>
      <c r="E112" s="6">
        <v>44994.0</v>
      </c>
      <c r="F112" s="6">
        <v>45231.0</v>
      </c>
      <c r="G112" s="7">
        <v>5.4275981E8</v>
      </c>
      <c r="H112" s="2" t="s">
        <v>44</v>
      </c>
    </row>
    <row r="113" ht="14.25" customHeight="1">
      <c r="A113" s="2" t="s">
        <v>161</v>
      </c>
      <c r="B113" s="2" t="s">
        <v>18</v>
      </c>
      <c r="C113" s="2" t="s">
        <v>48</v>
      </c>
      <c r="D113" s="8" t="s">
        <v>629</v>
      </c>
      <c r="E113" s="6">
        <v>44994.0</v>
      </c>
      <c r="F113" s="6">
        <v>45074.0</v>
      </c>
      <c r="G113" s="7">
        <v>5.059161734E9</v>
      </c>
      <c r="H113" s="2" t="s">
        <v>50</v>
      </c>
    </row>
    <row r="114" ht="14.25" customHeight="1">
      <c r="A114" s="2" t="s">
        <v>162</v>
      </c>
      <c r="B114" s="2" t="s">
        <v>30</v>
      </c>
      <c r="C114" s="2" t="s">
        <v>31</v>
      </c>
      <c r="D114" s="8" t="s">
        <v>585</v>
      </c>
      <c r="E114" s="6">
        <v>44996.0</v>
      </c>
      <c r="F114" s="6">
        <v>45203.0</v>
      </c>
      <c r="G114" s="7">
        <v>5.462259142E9</v>
      </c>
      <c r="H114" s="2" t="s">
        <v>21</v>
      </c>
    </row>
    <row r="115" ht="14.25" customHeight="1">
      <c r="A115" s="2" t="s">
        <v>163</v>
      </c>
      <c r="B115" s="2" t="s">
        <v>60</v>
      </c>
      <c r="C115" s="2" t="s">
        <v>13</v>
      </c>
      <c r="D115" s="8" t="s">
        <v>619</v>
      </c>
      <c r="E115" s="6">
        <v>44996.0</v>
      </c>
      <c r="F115" s="6">
        <v>45181.0</v>
      </c>
      <c r="G115" s="7">
        <v>3.922070251E9</v>
      </c>
      <c r="H115" s="2" t="s">
        <v>50</v>
      </c>
    </row>
    <row r="116" ht="14.25" customHeight="1">
      <c r="A116" s="2" t="s">
        <v>164</v>
      </c>
      <c r="B116" s="2" t="s">
        <v>18</v>
      </c>
      <c r="C116" s="2" t="s">
        <v>19</v>
      </c>
      <c r="D116" s="8" t="s">
        <v>633</v>
      </c>
      <c r="E116" s="6">
        <v>44998.0</v>
      </c>
      <c r="F116" s="6">
        <v>45341.0</v>
      </c>
      <c r="G116" s="7">
        <v>9.404668499E9</v>
      </c>
    </row>
    <row r="117" ht="14.25" customHeight="1">
      <c r="A117" s="2" t="s">
        <v>165</v>
      </c>
      <c r="B117" s="2" t="s">
        <v>18</v>
      </c>
      <c r="C117" s="2" t="s">
        <v>13</v>
      </c>
      <c r="D117" s="8" t="s">
        <v>580</v>
      </c>
      <c r="E117" s="6">
        <v>45000.0</v>
      </c>
      <c r="F117" s="6">
        <v>45038.0</v>
      </c>
      <c r="G117" s="7">
        <v>6.049021945E9</v>
      </c>
      <c r="H117" s="2" t="s">
        <v>44</v>
      </c>
    </row>
    <row r="118" ht="14.25" customHeight="1">
      <c r="A118" s="2" t="s">
        <v>166</v>
      </c>
      <c r="B118" s="2" t="s">
        <v>12</v>
      </c>
      <c r="C118" s="2" t="s">
        <v>13</v>
      </c>
      <c r="D118" s="8" t="s">
        <v>605</v>
      </c>
      <c r="E118" s="6">
        <v>45001.0</v>
      </c>
      <c r="F118" s="6">
        <v>45325.0</v>
      </c>
      <c r="G118" s="7">
        <v>9.89197622E8</v>
      </c>
      <c r="H118" s="2" t="s">
        <v>44</v>
      </c>
    </row>
    <row r="119" ht="14.25" customHeight="1">
      <c r="A119" s="2" t="s">
        <v>167</v>
      </c>
      <c r="B119" s="2" t="s">
        <v>12</v>
      </c>
      <c r="C119" s="2" t="s">
        <v>36</v>
      </c>
      <c r="D119" s="8" t="s">
        <v>578</v>
      </c>
      <c r="E119" s="6">
        <v>45001.0</v>
      </c>
      <c r="F119" s="6">
        <v>45268.0</v>
      </c>
      <c r="G119" s="7">
        <v>9.23609376E8</v>
      </c>
      <c r="H119" s="2" t="s">
        <v>33</v>
      </c>
    </row>
    <row r="120" ht="14.25" customHeight="1">
      <c r="A120" s="2" t="s">
        <v>168</v>
      </c>
      <c r="B120" s="2" t="s">
        <v>18</v>
      </c>
      <c r="C120" s="2" t="s">
        <v>36</v>
      </c>
      <c r="D120" s="8" t="s">
        <v>634</v>
      </c>
      <c r="E120" s="6">
        <v>45001.0</v>
      </c>
      <c r="F120" s="6">
        <v>45173.0</v>
      </c>
      <c r="G120" s="7">
        <v>7.00082207E9</v>
      </c>
      <c r="H120" s="2" t="s">
        <v>50</v>
      </c>
    </row>
    <row r="121" ht="14.25" customHeight="1">
      <c r="A121" s="2" t="s">
        <v>169</v>
      </c>
      <c r="B121" s="2" t="s">
        <v>18</v>
      </c>
      <c r="C121" s="2" t="s">
        <v>39</v>
      </c>
      <c r="D121" s="8" t="s">
        <v>577</v>
      </c>
      <c r="E121" s="6">
        <v>45003.0</v>
      </c>
      <c r="F121" s="6">
        <v>45165.0</v>
      </c>
      <c r="G121" s="7">
        <v>4.006400142E9</v>
      </c>
      <c r="H121" s="8" t="s">
        <v>573</v>
      </c>
    </row>
    <row r="122" ht="14.25" customHeight="1">
      <c r="A122" s="2" t="s">
        <v>170</v>
      </c>
      <c r="B122" s="2" t="s">
        <v>18</v>
      </c>
      <c r="C122" s="2" t="s">
        <v>24</v>
      </c>
      <c r="D122" s="8" t="s">
        <v>618</v>
      </c>
      <c r="E122" s="6">
        <v>45004.0</v>
      </c>
      <c r="F122" s="6">
        <v>45314.0</v>
      </c>
      <c r="G122" s="7">
        <v>7.054924571E9</v>
      </c>
      <c r="H122" s="8" t="s">
        <v>581</v>
      </c>
    </row>
    <row r="123" ht="14.25" customHeight="1">
      <c r="A123" s="2" t="s">
        <v>172</v>
      </c>
      <c r="B123" s="2" t="s">
        <v>30</v>
      </c>
      <c r="C123" s="2" t="s">
        <v>42</v>
      </c>
      <c r="D123" s="8" t="s">
        <v>627</v>
      </c>
      <c r="E123" s="6">
        <v>45006.0</v>
      </c>
      <c r="F123" s="6">
        <v>45234.0</v>
      </c>
      <c r="G123" s="7">
        <v>7.494641055E9</v>
      </c>
    </row>
    <row r="124" ht="14.25" customHeight="1">
      <c r="A124" s="2" t="s">
        <v>173</v>
      </c>
      <c r="B124" s="2" t="s">
        <v>18</v>
      </c>
      <c r="C124" s="2" t="s">
        <v>42</v>
      </c>
      <c r="D124" s="8" t="s">
        <v>621</v>
      </c>
      <c r="E124" s="6">
        <v>45008.0</v>
      </c>
      <c r="F124" s="6">
        <v>45268.0</v>
      </c>
      <c r="G124" s="7">
        <v>7.221183664E9</v>
      </c>
      <c r="H124" s="2" t="s">
        <v>33</v>
      </c>
    </row>
    <row r="125" ht="14.25" customHeight="1">
      <c r="A125" s="2" t="s">
        <v>174</v>
      </c>
      <c r="B125" s="2" t="s">
        <v>12</v>
      </c>
      <c r="C125" s="2" t="s">
        <v>36</v>
      </c>
      <c r="D125" s="8" t="s">
        <v>578</v>
      </c>
      <c r="E125" s="6">
        <v>45008.0</v>
      </c>
      <c r="F125" s="6">
        <v>45121.0</v>
      </c>
      <c r="G125" s="7">
        <v>8.7087675E8</v>
      </c>
      <c r="H125" s="8" t="s">
        <v>573</v>
      </c>
    </row>
    <row r="126" ht="14.25" customHeight="1">
      <c r="A126" s="2" t="s">
        <v>175</v>
      </c>
      <c r="B126" s="2" t="s">
        <v>60</v>
      </c>
      <c r="C126" s="2" t="s">
        <v>19</v>
      </c>
      <c r="D126" s="8" t="s">
        <v>635</v>
      </c>
      <c r="E126" s="6">
        <v>45009.0</v>
      </c>
      <c r="F126" s="6">
        <v>45316.0</v>
      </c>
      <c r="G126" s="7">
        <v>2.164051592E9</v>
      </c>
      <c r="H126" s="2" t="s">
        <v>33</v>
      </c>
    </row>
    <row r="127" ht="14.25" customHeight="1">
      <c r="A127" s="2" t="s">
        <v>176</v>
      </c>
      <c r="B127" s="2" t="s">
        <v>60</v>
      </c>
      <c r="C127" s="2" t="s">
        <v>36</v>
      </c>
      <c r="D127" s="8" t="s">
        <v>597</v>
      </c>
      <c r="E127" s="6">
        <v>45009.0</v>
      </c>
      <c r="F127" s="6">
        <v>45280.0</v>
      </c>
      <c r="G127" s="7">
        <v>3.746270294E9</v>
      </c>
      <c r="H127" s="2" t="s">
        <v>33</v>
      </c>
    </row>
    <row r="128" ht="14.25" customHeight="1">
      <c r="A128" s="2" t="s">
        <v>177</v>
      </c>
      <c r="B128" s="2" t="s">
        <v>18</v>
      </c>
      <c r="C128" s="2" t="s">
        <v>31</v>
      </c>
      <c r="D128" s="8" t="s">
        <v>636</v>
      </c>
      <c r="E128" s="6">
        <v>45010.0</v>
      </c>
      <c r="F128" s="6">
        <v>45049.0</v>
      </c>
      <c r="G128" s="7">
        <v>3.094147448E9</v>
      </c>
      <c r="H128" s="8" t="s">
        <v>581</v>
      </c>
    </row>
    <row r="129" ht="14.25" customHeight="1">
      <c r="A129" s="2" t="s">
        <v>178</v>
      </c>
      <c r="C129" s="2" t="s">
        <v>36</v>
      </c>
      <c r="E129" s="6">
        <v>45010.0</v>
      </c>
      <c r="F129" s="6">
        <v>45091.0</v>
      </c>
      <c r="G129" s="7">
        <v>2.960912774E9</v>
      </c>
    </row>
    <row r="130" ht="14.25" customHeight="1">
      <c r="A130" s="2" t="s">
        <v>179</v>
      </c>
      <c r="B130" s="2" t="s">
        <v>35</v>
      </c>
      <c r="C130" s="2" t="s">
        <v>19</v>
      </c>
      <c r="D130" s="2" t="s">
        <v>97</v>
      </c>
      <c r="E130" s="6">
        <v>45011.0</v>
      </c>
      <c r="F130" s="6">
        <v>45235.0</v>
      </c>
      <c r="G130" s="7">
        <v>4.2185923E8</v>
      </c>
    </row>
    <row r="131" ht="14.25" customHeight="1">
      <c r="A131" s="2" t="s">
        <v>180</v>
      </c>
      <c r="B131" s="2" t="s">
        <v>12</v>
      </c>
      <c r="C131" s="2" t="s">
        <v>42</v>
      </c>
      <c r="D131" s="8" t="s">
        <v>603</v>
      </c>
      <c r="E131" s="6">
        <v>45013.0</v>
      </c>
      <c r="F131" s="6">
        <v>45161.0</v>
      </c>
      <c r="G131" s="7">
        <v>7.76411814E8</v>
      </c>
      <c r="H131" s="2" t="s">
        <v>44</v>
      </c>
    </row>
    <row r="132" ht="14.25" customHeight="1">
      <c r="A132" s="2" t="s">
        <v>181</v>
      </c>
      <c r="B132" s="2" t="s">
        <v>18</v>
      </c>
      <c r="C132" s="2" t="s">
        <v>36</v>
      </c>
      <c r="D132" s="8" t="s">
        <v>634</v>
      </c>
      <c r="E132" s="6">
        <v>45013.0</v>
      </c>
      <c r="F132" s="6">
        <v>45095.0</v>
      </c>
      <c r="G132" s="7">
        <v>5.326254824E9</v>
      </c>
      <c r="H132" s="8" t="s">
        <v>581</v>
      </c>
    </row>
    <row r="133" ht="14.25" customHeight="1">
      <c r="A133" s="2" t="s">
        <v>183</v>
      </c>
      <c r="B133" s="2" t="s">
        <v>35</v>
      </c>
      <c r="C133" s="2" t="s">
        <v>36</v>
      </c>
      <c r="D133" s="2" t="s">
        <v>37</v>
      </c>
      <c r="E133" s="6">
        <v>45015.0</v>
      </c>
      <c r="F133" s="6">
        <v>45074.0</v>
      </c>
      <c r="G133" s="7">
        <v>7.37874671E8</v>
      </c>
      <c r="H133" s="2" t="s">
        <v>21</v>
      </c>
    </row>
    <row r="134" ht="14.25" customHeight="1">
      <c r="A134" s="2" t="s">
        <v>184</v>
      </c>
      <c r="B134" s="2" t="s">
        <v>18</v>
      </c>
      <c r="C134" s="2" t="s">
        <v>42</v>
      </c>
      <c r="D134" s="8" t="s">
        <v>621</v>
      </c>
      <c r="E134" s="6">
        <v>45016.0</v>
      </c>
      <c r="F134" s="6">
        <v>45248.0</v>
      </c>
      <c r="G134" s="7">
        <v>6.410731228E9</v>
      </c>
      <c r="H134" s="2" t="s">
        <v>67</v>
      </c>
    </row>
    <row r="135" ht="14.25" customHeight="1">
      <c r="A135" s="2" t="s">
        <v>186</v>
      </c>
      <c r="B135" s="2" t="s">
        <v>12</v>
      </c>
      <c r="C135" s="2" t="s">
        <v>24</v>
      </c>
      <c r="D135" s="8" t="s">
        <v>610</v>
      </c>
      <c r="E135" s="6">
        <v>45017.0</v>
      </c>
      <c r="F135" s="6">
        <v>45162.0</v>
      </c>
      <c r="G135" s="7">
        <v>5.84530717E8</v>
      </c>
      <c r="H135" s="8" t="s">
        <v>581</v>
      </c>
    </row>
    <row r="136" ht="14.25" customHeight="1">
      <c r="A136" s="2" t="s">
        <v>187</v>
      </c>
      <c r="B136" s="2" t="s">
        <v>18</v>
      </c>
      <c r="C136" s="2" t="s">
        <v>48</v>
      </c>
      <c r="D136" s="8" t="s">
        <v>629</v>
      </c>
      <c r="E136" s="6">
        <v>45017.0</v>
      </c>
      <c r="F136" s="6">
        <v>45209.0</v>
      </c>
      <c r="G136" s="7">
        <v>5.399904068E9</v>
      </c>
      <c r="H136" s="2" t="s">
        <v>33</v>
      </c>
    </row>
    <row r="137" ht="14.25" customHeight="1">
      <c r="A137" s="2" t="s">
        <v>188</v>
      </c>
      <c r="B137" s="2" t="s">
        <v>35</v>
      </c>
      <c r="C137" s="2" t="s">
        <v>24</v>
      </c>
      <c r="D137" s="2" t="s">
        <v>133</v>
      </c>
      <c r="E137" s="6">
        <v>45017.0</v>
      </c>
      <c r="F137" s="6">
        <v>45267.0</v>
      </c>
      <c r="G137" s="7">
        <v>6.2052543E8</v>
      </c>
      <c r="H137" s="2" t="s">
        <v>50</v>
      </c>
    </row>
    <row r="138" ht="14.25" customHeight="1">
      <c r="A138" s="2" t="s">
        <v>189</v>
      </c>
      <c r="B138" s="2" t="s">
        <v>60</v>
      </c>
      <c r="C138" s="2" t="s">
        <v>39</v>
      </c>
      <c r="D138" s="8" t="s">
        <v>626</v>
      </c>
      <c r="E138" s="6">
        <v>45017.0</v>
      </c>
      <c r="F138" s="6">
        <v>45372.0</v>
      </c>
      <c r="G138" s="7">
        <v>2.278233533E9</v>
      </c>
      <c r="H138" s="8" t="s">
        <v>581</v>
      </c>
    </row>
    <row r="139" ht="14.25" customHeight="1">
      <c r="A139" s="2" t="s">
        <v>190</v>
      </c>
      <c r="B139" s="2" t="s">
        <v>18</v>
      </c>
      <c r="C139" s="2" t="s">
        <v>39</v>
      </c>
      <c r="D139" s="8" t="s">
        <v>577</v>
      </c>
      <c r="E139" s="6">
        <v>45017.0</v>
      </c>
      <c r="F139" s="6">
        <v>45369.0</v>
      </c>
      <c r="G139" s="7">
        <v>2.425304687E9</v>
      </c>
      <c r="H139" s="2" t="s">
        <v>33</v>
      </c>
    </row>
    <row r="140" ht="14.25" customHeight="1">
      <c r="A140" s="2" t="s">
        <v>191</v>
      </c>
      <c r="B140" s="2" t="s">
        <v>18</v>
      </c>
      <c r="C140" s="2" t="s">
        <v>24</v>
      </c>
      <c r="D140" s="8" t="s">
        <v>618</v>
      </c>
      <c r="E140" s="6">
        <v>45017.0</v>
      </c>
      <c r="F140" s="6">
        <v>45053.0</v>
      </c>
      <c r="G140" s="7">
        <v>3.263728734E9</v>
      </c>
      <c r="H140" s="2" t="s">
        <v>44</v>
      </c>
    </row>
    <row r="141" ht="14.25" customHeight="1">
      <c r="A141" s="2" t="s">
        <v>192</v>
      </c>
      <c r="B141" s="2" t="s">
        <v>18</v>
      </c>
      <c r="C141" s="2" t="s">
        <v>19</v>
      </c>
      <c r="D141" s="8" t="s">
        <v>633</v>
      </c>
      <c r="E141" s="6">
        <v>45018.0</v>
      </c>
      <c r="F141" s="6">
        <v>45255.0</v>
      </c>
      <c r="G141" s="7">
        <v>7.299558365E9</v>
      </c>
      <c r="H141" s="8" t="s">
        <v>581</v>
      </c>
    </row>
    <row r="142" ht="14.25" customHeight="1">
      <c r="A142" s="2" t="s">
        <v>193</v>
      </c>
      <c r="B142" s="2" t="s">
        <v>12</v>
      </c>
      <c r="C142" s="2" t="s">
        <v>42</v>
      </c>
      <c r="D142" s="8" t="s">
        <v>603</v>
      </c>
      <c r="E142" s="6">
        <v>45018.0</v>
      </c>
      <c r="F142" s="6">
        <v>45084.0</v>
      </c>
      <c r="G142" s="7">
        <v>3.04540977E8</v>
      </c>
      <c r="H142" s="2" t="s">
        <v>44</v>
      </c>
    </row>
    <row r="143" ht="14.25" customHeight="1">
      <c r="A143" s="2" t="s">
        <v>194</v>
      </c>
      <c r="B143" s="2" t="s">
        <v>30</v>
      </c>
      <c r="C143" s="2" t="s">
        <v>24</v>
      </c>
      <c r="D143" s="8" t="s">
        <v>637</v>
      </c>
      <c r="E143" s="6">
        <v>45018.0</v>
      </c>
      <c r="F143" s="6">
        <v>45371.0</v>
      </c>
      <c r="G143" s="7">
        <v>5.043663492E9</v>
      </c>
      <c r="H143" s="8" t="s">
        <v>581</v>
      </c>
    </row>
    <row r="144" ht="14.25" customHeight="1">
      <c r="A144" s="2" t="s">
        <v>195</v>
      </c>
      <c r="B144" s="2" t="s">
        <v>60</v>
      </c>
      <c r="C144" s="2" t="s">
        <v>19</v>
      </c>
      <c r="D144" s="8" t="s">
        <v>635</v>
      </c>
      <c r="E144" s="6">
        <v>45020.0</v>
      </c>
      <c r="F144" s="6">
        <v>45200.0</v>
      </c>
      <c r="G144" s="7">
        <v>3.438414318E9</v>
      </c>
      <c r="H144" s="8" t="s">
        <v>573</v>
      </c>
    </row>
    <row r="145" ht="14.25" customHeight="1">
      <c r="A145" s="2" t="s">
        <v>196</v>
      </c>
      <c r="B145" s="2" t="s">
        <v>12</v>
      </c>
      <c r="C145" s="2" t="s">
        <v>19</v>
      </c>
      <c r="D145" s="8" t="s">
        <v>631</v>
      </c>
      <c r="E145" s="6">
        <v>45020.0</v>
      </c>
      <c r="F145" s="6">
        <v>45381.0</v>
      </c>
      <c r="G145" s="7">
        <v>5.38173778E8</v>
      </c>
      <c r="H145" s="8" t="s">
        <v>581</v>
      </c>
    </row>
    <row r="146" ht="14.25" customHeight="1">
      <c r="A146" s="2" t="s">
        <v>197</v>
      </c>
      <c r="B146" s="2" t="s">
        <v>18</v>
      </c>
      <c r="C146" s="2" t="s">
        <v>39</v>
      </c>
      <c r="D146" s="8" t="s">
        <v>577</v>
      </c>
      <c r="E146" s="6">
        <v>45022.0</v>
      </c>
      <c r="F146" s="6">
        <v>45248.0</v>
      </c>
      <c r="G146" s="7">
        <v>4.142478037E9</v>
      </c>
      <c r="H146" s="2" t="s">
        <v>67</v>
      </c>
    </row>
    <row r="147" ht="14.25" customHeight="1">
      <c r="A147" s="2" t="s">
        <v>198</v>
      </c>
      <c r="B147" s="2" t="s">
        <v>30</v>
      </c>
      <c r="C147" s="2" t="s">
        <v>48</v>
      </c>
      <c r="D147" s="8" t="s">
        <v>615</v>
      </c>
      <c r="E147" s="6">
        <v>45023.0</v>
      </c>
      <c r="F147" s="6">
        <v>45075.0</v>
      </c>
      <c r="G147" s="7">
        <v>4.552866676E9</v>
      </c>
      <c r="H147" s="2" t="s">
        <v>21</v>
      </c>
    </row>
    <row r="148" ht="14.25" customHeight="1">
      <c r="A148" s="2" t="s">
        <v>199</v>
      </c>
      <c r="B148" s="2" t="s">
        <v>12</v>
      </c>
      <c r="C148" s="2" t="s">
        <v>13</v>
      </c>
      <c r="D148" s="8" t="s">
        <v>605</v>
      </c>
      <c r="E148" s="6">
        <v>45024.0</v>
      </c>
      <c r="F148" s="6">
        <v>45121.0</v>
      </c>
      <c r="G148" s="7">
        <v>9.02216985E8</v>
      </c>
      <c r="H148" s="2" t="s">
        <v>50</v>
      </c>
    </row>
    <row r="149" ht="14.25" customHeight="1">
      <c r="A149" s="2" t="s">
        <v>200</v>
      </c>
      <c r="B149" s="2" t="s">
        <v>30</v>
      </c>
      <c r="C149" s="2" t="s">
        <v>36</v>
      </c>
      <c r="D149" s="8" t="s">
        <v>614</v>
      </c>
      <c r="E149" s="6">
        <v>45024.0</v>
      </c>
      <c r="F149" s="6">
        <v>45253.0</v>
      </c>
      <c r="G149" s="7">
        <v>6.582376288E9</v>
      </c>
      <c r="H149" s="2" t="s">
        <v>33</v>
      </c>
    </row>
    <row r="150" ht="14.25" customHeight="1">
      <c r="A150" s="2" t="s">
        <v>201</v>
      </c>
      <c r="B150" s="2" t="s">
        <v>35</v>
      </c>
      <c r="C150" s="2" t="s">
        <v>48</v>
      </c>
      <c r="D150" s="2" t="s">
        <v>49</v>
      </c>
      <c r="E150" s="6">
        <v>45026.0</v>
      </c>
      <c r="F150" s="6">
        <v>45305.0</v>
      </c>
      <c r="G150" s="7">
        <v>2.04769884E8</v>
      </c>
      <c r="H150" s="8" t="s">
        <v>573</v>
      </c>
    </row>
    <row r="151" ht="14.25" customHeight="1">
      <c r="A151" s="2" t="s">
        <v>202</v>
      </c>
      <c r="B151" s="2" t="s">
        <v>12</v>
      </c>
      <c r="C151" s="2" t="s">
        <v>36</v>
      </c>
      <c r="D151" s="8" t="s">
        <v>578</v>
      </c>
      <c r="E151" s="6">
        <v>45026.0</v>
      </c>
      <c r="F151" s="6">
        <v>45320.0</v>
      </c>
      <c r="G151" s="7">
        <v>1.00103542E8</v>
      </c>
      <c r="H151" s="2" t="s">
        <v>67</v>
      </c>
    </row>
    <row r="152" ht="14.25" customHeight="1">
      <c r="A152" s="2" t="s">
        <v>203</v>
      </c>
      <c r="B152" s="2" t="s">
        <v>30</v>
      </c>
      <c r="C152" s="2" t="s">
        <v>39</v>
      </c>
      <c r="D152" s="8" t="s">
        <v>590</v>
      </c>
      <c r="E152" s="6">
        <v>45028.0</v>
      </c>
      <c r="F152" s="6">
        <v>45097.0</v>
      </c>
      <c r="G152" s="7">
        <v>5.67827038E8</v>
      </c>
      <c r="H152" s="8" t="s">
        <v>581</v>
      </c>
    </row>
    <row r="153" ht="14.25" customHeight="1">
      <c r="A153" s="2" t="s">
        <v>204</v>
      </c>
      <c r="B153" s="2" t="s">
        <v>18</v>
      </c>
      <c r="C153" s="2" t="s">
        <v>48</v>
      </c>
      <c r="D153" s="8" t="s">
        <v>629</v>
      </c>
      <c r="E153" s="6">
        <v>45031.0</v>
      </c>
      <c r="F153" s="6">
        <v>45211.0</v>
      </c>
      <c r="G153" s="7">
        <v>7.38261394E9</v>
      </c>
      <c r="H153" s="2" t="s">
        <v>21</v>
      </c>
    </row>
    <row r="154" ht="14.25" customHeight="1">
      <c r="A154" s="2" t="s">
        <v>205</v>
      </c>
      <c r="B154" s="2" t="s">
        <v>18</v>
      </c>
      <c r="C154" s="2" t="s">
        <v>39</v>
      </c>
      <c r="D154" s="8" t="s">
        <v>577</v>
      </c>
      <c r="E154" s="6">
        <v>45031.0</v>
      </c>
      <c r="F154" s="6">
        <v>45123.0</v>
      </c>
      <c r="G154" s="7">
        <v>3.840273247E9</v>
      </c>
      <c r="H154" s="2" t="s">
        <v>33</v>
      </c>
    </row>
    <row r="155" ht="14.25" customHeight="1">
      <c r="A155" s="2" t="s">
        <v>206</v>
      </c>
      <c r="B155" s="2" t="s">
        <v>12</v>
      </c>
      <c r="C155" s="2" t="s">
        <v>31</v>
      </c>
      <c r="D155" s="8" t="s">
        <v>593</v>
      </c>
      <c r="E155" s="6">
        <v>45033.0</v>
      </c>
      <c r="F155" s="6">
        <v>45370.0</v>
      </c>
      <c r="G155" s="7">
        <v>5.10276507E8</v>
      </c>
      <c r="H155" s="2" t="s">
        <v>44</v>
      </c>
    </row>
    <row r="156" ht="14.25" customHeight="1">
      <c r="A156" s="2" t="s">
        <v>207</v>
      </c>
      <c r="B156" s="2" t="s">
        <v>12</v>
      </c>
      <c r="C156" s="2" t="s">
        <v>36</v>
      </c>
      <c r="D156" s="8" t="s">
        <v>578</v>
      </c>
      <c r="E156" s="6">
        <v>45033.0</v>
      </c>
      <c r="F156" s="6">
        <v>45291.0</v>
      </c>
      <c r="G156" s="7">
        <v>8.06848236E8</v>
      </c>
      <c r="H156" s="2" t="s">
        <v>67</v>
      </c>
    </row>
    <row r="157" ht="14.25" customHeight="1">
      <c r="A157" s="2" t="s">
        <v>208</v>
      </c>
      <c r="B157" s="2" t="s">
        <v>60</v>
      </c>
      <c r="C157" s="2" t="s">
        <v>48</v>
      </c>
      <c r="D157" s="8" t="s">
        <v>622</v>
      </c>
      <c r="E157" s="6">
        <v>45034.0</v>
      </c>
      <c r="F157" s="6">
        <v>45257.0</v>
      </c>
      <c r="G157" s="7">
        <v>3.687967195E9</v>
      </c>
      <c r="H157" s="2" t="s">
        <v>33</v>
      </c>
    </row>
    <row r="158" ht="14.25" customHeight="1">
      <c r="A158" s="2" t="s">
        <v>209</v>
      </c>
      <c r="B158" s="2" t="s">
        <v>30</v>
      </c>
      <c r="C158" s="2" t="s">
        <v>39</v>
      </c>
      <c r="D158" s="8" t="s">
        <v>638</v>
      </c>
      <c r="E158" s="6">
        <v>45035.0</v>
      </c>
      <c r="F158" s="6">
        <v>45339.0</v>
      </c>
      <c r="G158" s="7">
        <v>4.409857336E9</v>
      </c>
    </row>
    <row r="159" ht="14.25" customHeight="1">
      <c r="A159" s="2" t="s">
        <v>210</v>
      </c>
      <c r="B159" s="2" t="s">
        <v>35</v>
      </c>
      <c r="C159" s="2" t="s">
        <v>13</v>
      </c>
      <c r="D159" s="2" t="s">
        <v>78</v>
      </c>
      <c r="E159" s="6">
        <v>45035.0</v>
      </c>
      <c r="F159" s="6">
        <v>45297.0</v>
      </c>
      <c r="G159" s="7">
        <v>6.03531905E8</v>
      </c>
      <c r="H159" s="8" t="s">
        <v>573</v>
      </c>
    </row>
    <row r="160" ht="14.25" customHeight="1">
      <c r="A160" s="2" t="s">
        <v>211</v>
      </c>
      <c r="B160" s="2" t="s">
        <v>35</v>
      </c>
      <c r="C160" s="2" t="s">
        <v>48</v>
      </c>
      <c r="D160" s="2" t="s">
        <v>49</v>
      </c>
      <c r="E160" s="6">
        <v>45035.0</v>
      </c>
      <c r="F160" s="6">
        <v>45269.0</v>
      </c>
      <c r="G160" s="7">
        <v>6.4873219E8</v>
      </c>
      <c r="H160" s="8" t="s">
        <v>581</v>
      </c>
    </row>
    <row r="161" ht="14.25" customHeight="1">
      <c r="A161" s="2" t="s">
        <v>212</v>
      </c>
      <c r="B161" s="2" t="s">
        <v>12</v>
      </c>
      <c r="C161" s="2" t="s">
        <v>48</v>
      </c>
      <c r="D161" s="8" t="s">
        <v>602</v>
      </c>
      <c r="E161" s="6">
        <v>45035.0</v>
      </c>
      <c r="F161" s="6">
        <v>45179.0</v>
      </c>
      <c r="G161" s="7">
        <v>8.72561312E8</v>
      </c>
      <c r="H161" s="2" t="s">
        <v>33</v>
      </c>
    </row>
    <row r="162" ht="14.25" customHeight="1">
      <c r="A162" s="2" t="s">
        <v>213</v>
      </c>
      <c r="B162" s="2" t="s">
        <v>35</v>
      </c>
      <c r="C162" s="2" t="s">
        <v>48</v>
      </c>
      <c r="D162" s="2" t="s">
        <v>49</v>
      </c>
      <c r="E162" s="6">
        <v>45036.0</v>
      </c>
      <c r="F162" s="6">
        <v>45119.0</v>
      </c>
      <c r="G162" s="7">
        <v>4.61667131E8</v>
      </c>
      <c r="H162" s="2" t="s">
        <v>50</v>
      </c>
    </row>
    <row r="163" ht="14.25" customHeight="1">
      <c r="A163" s="2" t="s">
        <v>214</v>
      </c>
      <c r="B163" s="2" t="s">
        <v>35</v>
      </c>
      <c r="C163" s="2" t="s">
        <v>36</v>
      </c>
      <c r="D163" s="2" t="s">
        <v>37</v>
      </c>
      <c r="E163" s="6">
        <v>45036.0</v>
      </c>
      <c r="F163" s="6">
        <v>45313.0</v>
      </c>
      <c r="G163" s="7">
        <v>2.65879074E8</v>
      </c>
    </row>
    <row r="164" ht="14.25" customHeight="1">
      <c r="A164" s="2" t="s">
        <v>215</v>
      </c>
      <c r="B164" s="2" t="s">
        <v>12</v>
      </c>
      <c r="C164" s="2" t="s">
        <v>39</v>
      </c>
      <c r="D164" s="8" t="s">
        <v>591</v>
      </c>
      <c r="E164" s="6">
        <v>45037.0</v>
      </c>
      <c r="F164" s="6">
        <v>45384.0</v>
      </c>
      <c r="G164" s="7">
        <v>3.39042702E8</v>
      </c>
      <c r="H164" s="2" t="s">
        <v>67</v>
      </c>
    </row>
    <row r="165" ht="14.25" customHeight="1">
      <c r="A165" s="2" t="s">
        <v>216</v>
      </c>
      <c r="B165" s="2" t="s">
        <v>18</v>
      </c>
      <c r="C165" s="2" t="s">
        <v>42</v>
      </c>
      <c r="D165" s="8" t="s">
        <v>621</v>
      </c>
      <c r="E165" s="6">
        <v>45038.0</v>
      </c>
      <c r="F165" s="6">
        <v>45308.0</v>
      </c>
      <c r="G165" s="7">
        <v>9.295259236E9</v>
      </c>
      <c r="H165" s="2" t="s">
        <v>21</v>
      </c>
    </row>
    <row r="166" ht="14.25" customHeight="1">
      <c r="A166" s="2" t="s">
        <v>217</v>
      </c>
      <c r="B166" s="2" t="s">
        <v>18</v>
      </c>
      <c r="C166" s="2" t="s">
        <v>31</v>
      </c>
      <c r="D166" s="8" t="s">
        <v>636</v>
      </c>
      <c r="E166" s="6">
        <v>45038.0</v>
      </c>
      <c r="F166" s="6">
        <v>45333.0</v>
      </c>
      <c r="G166" s="7">
        <v>7.601913991E9</v>
      </c>
      <c r="H166" s="2" t="s">
        <v>44</v>
      </c>
    </row>
    <row r="167" ht="14.25" customHeight="1">
      <c r="A167" s="2" t="s">
        <v>218</v>
      </c>
      <c r="B167" s="2" t="s">
        <v>12</v>
      </c>
      <c r="C167" s="2" t="s">
        <v>31</v>
      </c>
      <c r="D167" s="8" t="s">
        <v>593</v>
      </c>
      <c r="E167" s="6">
        <v>45039.0</v>
      </c>
      <c r="F167" s="6">
        <v>45306.0</v>
      </c>
      <c r="G167" s="7">
        <v>3.07072675E8</v>
      </c>
      <c r="H167" s="2" t="s">
        <v>44</v>
      </c>
    </row>
    <row r="168" ht="14.25" customHeight="1">
      <c r="A168" s="2" t="s">
        <v>219</v>
      </c>
      <c r="B168" s="2" t="s">
        <v>30</v>
      </c>
      <c r="C168" s="2" t="s">
        <v>36</v>
      </c>
      <c r="D168" s="8" t="s">
        <v>639</v>
      </c>
      <c r="E168" s="6">
        <v>45039.0</v>
      </c>
      <c r="F168" s="6">
        <v>45274.0</v>
      </c>
      <c r="G168" s="7">
        <v>3.190510162E9</v>
      </c>
      <c r="H168" s="2" t="s">
        <v>67</v>
      </c>
    </row>
    <row r="169" ht="14.25" customHeight="1">
      <c r="A169" s="2" t="s">
        <v>220</v>
      </c>
      <c r="B169" s="2" t="s">
        <v>35</v>
      </c>
      <c r="C169" s="2" t="s">
        <v>42</v>
      </c>
      <c r="D169" s="2" t="s">
        <v>69</v>
      </c>
      <c r="E169" s="6">
        <v>45041.0</v>
      </c>
      <c r="F169" s="6">
        <v>45102.0</v>
      </c>
      <c r="G169" s="7">
        <v>7.24043833E8</v>
      </c>
      <c r="H169" s="2" t="s">
        <v>67</v>
      </c>
    </row>
    <row r="170" ht="14.25" customHeight="1">
      <c r="A170" s="2" t="s">
        <v>221</v>
      </c>
      <c r="B170" s="2" t="s">
        <v>60</v>
      </c>
      <c r="C170" s="2" t="s">
        <v>24</v>
      </c>
      <c r="D170" s="8" t="s">
        <v>640</v>
      </c>
      <c r="E170" s="6">
        <v>45041.0</v>
      </c>
      <c r="F170" s="6">
        <v>45359.0</v>
      </c>
      <c r="G170" s="7">
        <v>3.094852115E9</v>
      </c>
      <c r="H170" s="2" t="s">
        <v>50</v>
      </c>
    </row>
    <row r="171" ht="14.25" customHeight="1">
      <c r="A171" s="2" t="s">
        <v>222</v>
      </c>
      <c r="B171" s="2" t="s">
        <v>35</v>
      </c>
      <c r="C171" s="2" t="s">
        <v>13</v>
      </c>
      <c r="D171" s="2" t="s">
        <v>78</v>
      </c>
      <c r="E171" s="6">
        <v>45042.0</v>
      </c>
      <c r="F171" s="6">
        <v>45364.0</v>
      </c>
      <c r="G171" s="7">
        <v>4.33880373E8</v>
      </c>
    </row>
    <row r="172" ht="14.25" customHeight="1">
      <c r="A172" s="2" t="s">
        <v>223</v>
      </c>
      <c r="B172" s="2" t="s">
        <v>30</v>
      </c>
      <c r="C172" s="2" t="s">
        <v>48</v>
      </c>
      <c r="D172" s="8" t="s">
        <v>615</v>
      </c>
      <c r="E172" s="6">
        <v>45045.0</v>
      </c>
      <c r="F172" s="6">
        <v>45394.0</v>
      </c>
      <c r="G172" s="7">
        <v>5.094791554E9</v>
      </c>
      <c r="H172" s="2" t="s">
        <v>44</v>
      </c>
    </row>
    <row r="173" ht="14.25" customHeight="1">
      <c r="A173" s="2" t="s">
        <v>224</v>
      </c>
      <c r="B173" s="2" t="s">
        <v>12</v>
      </c>
      <c r="C173" s="2" t="s">
        <v>48</v>
      </c>
      <c r="D173" s="8" t="s">
        <v>602</v>
      </c>
      <c r="E173" s="6">
        <v>45045.0</v>
      </c>
      <c r="F173" s="6">
        <v>45324.0</v>
      </c>
      <c r="G173" s="7">
        <v>4.07950829E8</v>
      </c>
    </row>
    <row r="174" ht="14.25" customHeight="1">
      <c r="A174" s="2" t="s">
        <v>225</v>
      </c>
      <c r="B174" s="2" t="s">
        <v>18</v>
      </c>
      <c r="C174" s="2" t="s">
        <v>13</v>
      </c>
      <c r="D174" s="8" t="s">
        <v>580</v>
      </c>
      <c r="E174" s="6">
        <v>45045.0</v>
      </c>
      <c r="F174" s="6">
        <v>45376.0</v>
      </c>
      <c r="G174" s="7">
        <v>1.692019622E9</v>
      </c>
      <c r="H174" s="2" t="s">
        <v>21</v>
      </c>
    </row>
    <row r="175" ht="14.25" customHeight="1">
      <c r="A175" s="2" t="s">
        <v>226</v>
      </c>
      <c r="B175" s="2" t="s">
        <v>60</v>
      </c>
      <c r="C175" s="2" t="s">
        <v>24</v>
      </c>
      <c r="D175" s="8" t="s">
        <v>640</v>
      </c>
      <c r="E175" s="6">
        <v>45045.0</v>
      </c>
      <c r="F175" s="6">
        <v>45404.0</v>
      </c>
      <c r="G175" s="7">
        <v>4.909765412E9</v>
      </c>
      <c r="H175" s="8" t="s">
        <v>581</v>
      </c>
    </row>
    <row r="176" ht="14.25" customHeight="1">
      <c r="A176" s="2" t="s">
        <v>227</v>
      </c>
      <c r="B176" s="2" t="s">
        <v>60</v>
      </c>
      <c r="C176" s="2" t="s">
        <v>24</v>
      </c>
      <c r="D176" s="8" t="s">
        <v>640</v>
      </c>
      <c r="E176" s="6">
        <v>45045.0</v>
      </c>
      <c r="F176" s="6">
        <v>45150.0</v>
      </c>
      <c r="G176" s="7">
        <v>3.396315626E9</v>
      </c>
      <c r="H176" s="2" t="s">
        <v>33</v>
      </c>
    </row>
    <row r="177" ht="14.25" customHeight="1">
      <c r="A177" s="2" t="s">
        <v>228</v>
      </c>
      <c r="B177" s="2" t="s">
        <v>60</v>
      </c>
      <c r="C177" s="2" t="s">
        <v>31</v>
      </c>
      <c r="D177" s="8" t="s">
        <v>599</v>
      </c>
      <c r="E177" s="6">
        <v>45048.0</v>
      </c>
      <c r="F177" s="6">
        <v>45358.0</v>
      </c>
      <c r="G177" s="7">
        <v>2.665194797E9</v>
      </c>
    </row>
    <row r="178" ht="14.25" customHeight="1">
      <c r="A178" s="2" t="s">
        <v>229</v>
      </c>
      <c r="B178" s="2" t="s">
        <v>30</v>
      </c>
      <c r="C178" s="2" t="s">
        <v>31</v>
      </c>
      <c r="D178" s="8" t="s">
        <v>585</v>
      </c>
      <c r="E178" s="6">
        <v>45049.0</v>
      </c>
      <c r="F178" s="6">
        <v>45401.0</v>
      </c>
      <c r="G178" s="7">
        <v>2.586947699E9</v>
      </c>
    </row>
    <row r="179" ht="14.25" customHeight="1">
      <c r="A179" s="2" t="s">
        <v>230</v>
      </c>
      <c r="B179" s="2" t="s">
        <v>12</v>
      </c>
      <c r="C179" s="2" t="s">
        <v>36</v>
      </c>
      <c r="D179" s="8" t="s">
        <v>578</v>
      </c>
      <c r="E179" s="6">
        <v>45052.0</v>
      </c>
      <c r="F179" s="6">
        <v>45087.0</v>
      </c>
      <c r="G179" s="7">
        <v>1.89032296E8</v>
      </c>
    </row>
    <row r="180" ht="14.25" customHeight="1">
      <c r="A180" s="2" t="s">
        <v>231</v>
      </c>
      <c r="B180" s="2" t="s">
        <v>12</v>
      </c>
      <c r="C180" s="2" t="s">
        <v>39</v>
      </c>
      <c r="D180" s="8" t="s">
        <v>591</v>
      </c>
      <c r="E180" s="6">
        <v>45052.0</v>
      </c>
      <c r="F180" s="6">
        <v>45253.0</v>
      </c>
      <c r="G180" s="7">
        <v>4.84231869E8</v>
      </c>
      <c r="H180" s="2" t="s">
        <v>44</v>
      </c>
    </row>
    <row r="181" ht="14.25" customHeight="1">
      <c r="A181" s="2" t="s">
        <v>232</v>
      </c>
      <c r="B181" s="2" t="s">
        <v>60</v>
      </c>
      <c r="C181" s="2" t="s">
        <v>36</v>
      </c>
      <c r="D181" s="8" t="s">
        <v>597</v>
      </c>
      <c r="E181" s="6">
        <v>45053.0</v>
      </c>
      <c r="F181" s="6">
        <v>45321.0</v>
      </c>
      <c r="G181" s="7">
        <v>1.552182554E9</v>
      </c>
      <c r="H181" s="2" t="s">
        <v>67</v>
      </c>
    </row>
    <row r="182" ht="14.25" customHeight="1">
      <c r="A182" s="2" t="s">
        <v>233</v>
      </c>
      <c r="B182" s="2" t="s">
        <v>35</v>
      </c>
      <c r="C182" s="2" t="s">
        <v>31</v>
      </c>
      <c r="D182" s="2" t="s">
        <v>91</v>
      </c>
      <c r="E182" s="6">
        <v>45053.0</v>
      </c>
      <c r="F182" s="6">
        <v>45410.0</v>
      </c>
      <c r="G182" s="7">
        <v>2.12901636E8</v>
      </c>
      <c r="H182" s="2" t="s">
        <v>33</v>
      </c>
    </row>
    <row r="183" ht="14.25" customHeight="1">
      <c r="A183" s="2" t="s">
        <v>234</v>
      </c>
      <c r="B183" s="2" t="s">
        <v>12</v>
      </c>
      <c r="C183" s="2" t="s">
        <v>31</v>
      </c>
      <c r="D183" s="8" t="s">
        <v>593</v>
      </c>
      <c r="E183" s="6">
        <v>45055.0</v>
      </c>
      <c r="F183" s="6">
        <v>44950.0</v>
      </c>
      <c r="G183" s="7">
        <v>8.62295964E8</v>
      </c>
      <c r="H183" s="2" t="s">
        <v>67</v>
      </c>
    </row>
    <row r="184" ht="14.25" customHeight="1">
      <c r="A184" s="2" t="s">
        <v>235</v>
      </c>
      <c r="B184" s="2" t="s">
        <v>35</v>
      </c>
      <c r="C184" s="2" t="s">
        <v>36</v>
      </c>
      <c r="D184" s="2" t="s">
        <v>37</v>
      </c>
      <c r="E184" s="6">
        <v>45055.0</v>
      </c>
      <c r="F184" s="6">
        <v>45273.0</v>
      </c>
      <c r="G184" s="7">
        <v>6.36437813E8</v>
      </c>
      <c r="H184" s="8" t="s">
        <v>581</v>
      </c>
    </row>
    <row r="185" ht="14.25" customHeight="1">
      <c r="A185" s="2" t="s">
        <v>236</v>
      </c>
      <c r="B185" s="2" t="s">
        <v>18</v>
      </c>
      <c r="C185" s="2" t="s">
        <v>19</v>
      </c>
      <c r="D185" s="8" t="s">
        <v>633</v>
      </c>
      <c r="E185" s="6">
        <v>45056.0</v>
      </c>
      <c r="F185" s="6">
        <v>45210.0</v>
      </c>
      <c r="G185" s="11">
        <v>2.299354314E10</v>
      </c>
      <c r="H185" s="2" t="s">
        <v>21</v>
      </c>
    </row>
    <row r="186" ht="14.25" customHeight="1">
      <c r="A186" s="2" t="s">
        <v>237</v>
      </c>
      <c r="B186" s="2" t="s">
        <v>30</v>
      </c>
      <c r="C186" s="2" t="s">
        <v>31</v>
      </c>
      <c r="D186" s="8" t="s">
        <v>595</v>
      </c>
      <c r="E186" s="6">
        <v>45056.0</v>
      </c>
      <c r="F186" s="6">
        <v>45364.0</v>
      </c>
      <c r="G186" s="7">
        <v>5.097478222E9</v>
      </c>
      <c r="H186" s="2" t="s">
        <v>44</v>
      </c>
    </row>
    <row r="187" ht="14.25" customHeight="1">
      <c r="A187" s="2" t="s">
        <v>238</v>
      </c>
      <c r="B187" s="2" t="s">
        <v>30</v>
      </c>
      <c r="C187" s="2" t="s">
        <v>24</v>
      </c>
      <c r="D187" s="8" t="s">
        <v>612</v>
      </c>
      <c r="E187" s="6">
        <v>45056.0</v>
      </c>
      <c r="F187" s="6">
        <v>45387.0</v>
      </c>
      <c r="G187" s="7">
        <v>6.825404228E9</v>
      </c>
      <c r="H187" s="8" t="s">
        <v>581</v>
      </c>
    </row>
    <row r="188" ht="14.25" customHeight="1">
      <c r="A188" s="2" t="s">
        <v>239</v>
      </c>
      <c r="B188" s="2" t="s">
        <v>35</v>
      </c>
      <c r="C188" s="2" t="s">
        <v>24</v>
      </c>
      <c r="D188" s="2" t="s">
        <v>133</v>
      </c>
      <c r="E188" s="6">
        <v>45057.0</v>
      </c>
      <c r="F188" s="6">
        <v>45337.0</v>
      </c>
      <c r="G188" s="7">
        <v>7.11908536E8</v>
      </c>
      <c r="H188" s="8" t="s">
        <v>573</v>
      </c>
    </row>
    <row r="189" ht="14.25" customHeight="1">
      <c r="A189" s="2" t="s">
        <v>240</v>
      </c>
      <c r="B189" s="2" t="s">
        <v>60</v>
      </c>
      <c r="C189" s="2" t="s">
        <v>36</v>
      </c>
      <c r="D189" s="8" t="s">
        <v>597</v>
      </c>
      <c r="E189" s="6">
        <v>45057.0</v>
      </c>
      <c r="F189" s="6">
        <v>45261.0</v>
      </c>
      <c r="G189" s="7">
        <v>4.488626883E9</v>
      </c>
      <c r="H189" s="2" t="s">
        <v>21</v>
      </c>
    </row>
    <row r="190" ht="14.25" customHeight="1">
      <c r="A190" s="2" t="s">
        <v>241</v>
      </c>
      <c r="B190" s="2" t="s">
        <v>12</v>
      </c>
      <c r="C190" s="2" t="s">
        <v>31</v>
      </c>
      <c r="D190" s="8" t="s">
        <v>593</v>
      </c>
      <c r="E190" s="6">
        <v>45058.0</v>
      </c>
      <c r="F190" s="6">
        <v>45145.0</v>
      </c>
      <c r="G190" s="7">
        <v>8.33760455E8</v>
      </c>
      <c r="H190" s="2" t="s">
        <v>50</v>
      </c>
    </row>
    <row r="191" ht="14.25" customHeight="1">
      <c r="A191" s="2" t="s">
        <v>242</v>
      </c>
      <c r="B191" s="2" t="s">
        <v>12</v>
      </c>
      <c r="C191" s="2" t="s">
        <v>19</v>
      </c>
      <c r="D191" s="8" t="s">
        <v>631</v>
      </c>
      <c r="E191" s="6">
        <v>45059.0</v>
      </c>
      <c r="F191" s="6">
        <v>45390.0</v>
      </c>
      <c r="G191" s="7">
        <v>7.96873116E8</v>
      </c>
      <c r="H191" s="2" t="s">
        <v>33</v>
      </c>
    </row>
    <row r="192" ht="14.25" customHeight="1">
      <c r="A192" s="2" t="s">
        <v>243</v>
      </c>
      <c r="B192" s="2" t="s">
        <v>12</v>
      </c>
      <c r="C192" s="2" t="s">
        <v>48</v>
      </c>
      <c r="D192" s="8" t="s">
        <v>602</v>
      </c>
      <c r="E192" s="6">
        <v>45060.0</v>
      </c>
      <c r="F192" s="6">
        <v>45231.0</v>
      </c>
      <c r="G192" s="7">
        <v>2.65841157E8</v>
      </c>
      <c r="H192" s="2" t="s">
        <v>67</v>
      </c>
    </row>
    <row r="193" ht="14.25" customHeight="1">
      <c r="A193" s="2" t="s">
        <v>244</v>
      </c>
      <c r="B193" s="2" t="s">
        <v>30</v>
      </c>
      <c r="C193" s="2" t="s">
        <v>42</v>
      </c>
      <c r="D193" s="8" t="s">
        <v>632</v>
      </c>
      <c r="E193" s="6">
        <v>45061.0</v>
      </c>
      <c r="F193" s="6">
        <v>45294.0</v>
      </c>
      <c r="G193" s="7">
        <v>2.403144972E9</v>
      </c>
      <c r="H193" s="2" t="s">
        <v>67</v>
      </c>
    </row>
    <row r="194" ht="14.25" customHeight="1">
      <c r="A194" s="2" t="s">
        <v>245</v>
      </c>
      <c r="B194" s="2" t="s">
        <v>30</v>
      </c>
      <c r="C194" s="2" t="s">
        <v>42</v>
      </c>
      <c r="D194" s="8" t="s">
        <v>632</v>
      </c>
      <c r="E194" s="6">
        <v>45062.0</v>
      </c>
      <c r="F194" s="6">
        <v>45418.0</v>
      </c>
      <c r="G194" s="7">
        <v>2.353183969E9</v>
      </c>
      <c r="H194" s="2" t="s">
        <v>33</v>
      </c>
    </row>
    <row r="195" ht="14.25" customHeight="1">
      <c r="A195" s="2" t="s">
        <v>246</v>
      </c>
      <c r="B195" s="2" t="s">
        <v>30</v>
      </c>
      <c r="C195" s="2" t="s">
        <v>31</v>
      </c>
      <c r="D195" s="8" t="s">
        <v>585</v>
      </c>
      <c r="E195" s="6">
        <v>45063.0</v>
      </c>
      <c r="F195" s="6">
        <v>45233.0</v>
      </c>
      <c r="G195" s="7">
        <v>3.010188959E9</v>
      </c>
      <c r="H195" s="2" t="s">
        <v>33</v>
      </c>
    </row>
    <row r="196" ht="14.25" customHeight="1">
      <c r="A196" s="2" t="s">
        <v>247</v>
      </c>
      <c r="B196" s="2" t="s">
        <v>30</v>
      </c>
      <c r="C196" s="2" t="s">
        <v>31</v>
      </c>
      <c r="D196" s="8" t="s">
        <v>585</v>
      </c>
      <c r="E196" s="6">
        <v>45063.0</v>
      </c>
      <c r="F196" s="6">
        <v>45274.0</v>
      </c>
      <c r="G196" s="7">
        <v>3.270056272E9</v>
      </c>
      <c r="H196" s="8" t="s">
        <v>581</v>
      </c>
    </row>
    <row r="197" ht="14.25" customHeight="1">
      <c r="A197" s="2" t="s">
        <v>248</v>
      </c>
      <c r="B197" s="2" t="s">
        <v>60</v>
      </c>
      <c r="C197" s="2" t="s">
        <v>48</v>
      </c>
      <c r="D197" s="8" t="s">
        <v>625</v>
      </c>
      <c r="E197" s="6">
        <v>45063.0</v>
      </c>
      <c r="F197" s="6">
        <v>45376.0</v>
      </c>
      <c r="G197" s="7">
        <v>2.737545275E9</v>
      </c>
      <c r="H197" s="2" t="s">
        <v>21</v>
      </c>
    </row>
    <row r="198" ht="14.25" customHeight="1">
      <c r="A198" s="2" t="s">
        <v>249</v>
      </c>
      <c r="B198" s="2" t="s">
        <v>35</v>
      </c>
      <c r="C198" s="2" t="s">
        <v>39</v>
      </c>
      <c r="D198" s="2" t="s">
        <v>145</v>
      </c>
      <c r="E198" s="6">
        <v>45063.0</v>
      </c>
      <c r="F198" s="6">
        <v>45215.0</v>
      </c>
      <c r="G198" s="7">
        <v>4.35396392E8</v>
      </c>
      <c r="H198" s="2" t="s">
        <v>21</v>
      </c>
    </row>
    <row r="199" ht="14.25" customHeight="1">
      <c r="A199" s="2" t="s">
        <v>250</v>
      </c>
      <c r="B199" s="2" t="s">
        <v>12</v>
      </c>
      <c r="C199" s="2" t="s">
        <v>13</v>
      </c>
      <c r="D199" s="8" t="s">
        <v>605</v>
      </c>
      <c r="E199" s="6">
        <v>45064.0</v>
      </c>
      <c r="F199" s="6">
        <v>45199.0</v>
      </c>
      <c r="G199" s="7">
        <v>8.62972191E8</v>
      </c>
      <c r="H199" s="8" t="s">
        <v>573</v>
      </c>
    </row>
    <row r="200" ht="14.25" customHeight="1">
      <c r="A200" s="2" t="s">
        <v>251</v>
      </c>
      <c r="B200" s="2" t="s">
        <v>35</v>
      </c>
      <c r="C200" s="2" t="s">
        <v>39</v>
      </c>
      <c r="D200" s="2" t="s">
        <v>145</v>
      </c>
      <c r="E200" s="6">
        <v>45066.0</v>
      </c>
      <c r="F200" s="6">
        <v>45101.0</v>
      </c>
      <c r="G200" s="7">
        <v>5.40011263E8</v>
      </c>
      <c r="H200" s="2" t="s">
        <v>21</v>
      </c>
    </row>
    <row r="201" ht="14.25" customHeight="1">
      <c r="A201" s="2" t="s">
        <v>252</v>
      </c>
      <c r="B201" s="2" t="s">
        <v>30</v>
      </c>
      <c r="C201" s="2" t="s">
        <v>42</v>
      </c>
      <c r="D201" s="8" t="s">
        <v>632</v>
      </c>
      <c r="E201" s="6">
        <v>45068.0</v>
      </c>
      <c r="F201" s="6">
        <v>45110.0</v>
      </c>
      <c r="G201" s="7">
        <v>1.029500364E9</v>
      </c>
      <c r="H201" s="2" t="s">
        <v>50</v>
      </c>
    </row>
    <row r="202" ht="14.25" customHeight="1">
      <c r="A202" s="2" t="s">
        <v>253</v>
      </c>
      <c r="B202" s="2" t="s">
        <v>12</v>
      </c>
      <c r="C202" s="2" t="s">
        <v>19</v>
      </c>
      <c r="D202" s="8" t="s">
        <v>631</v>
      </c>
      <c r="E202" s="6">
        <v>45069.0</v>
      </c>
      <c r="F202" s="6">
        <v>45337.0</v>
      </c>
      <c r="G202" s="7">
        <v>6.41123605E8</v>
      </c>
      <c r="H202" s="2" t="s">
        <v>44</v>
      </c>
    </row>
    <row r="203" ht="14.25" customHeight="1">
      <c r="A203" s="2" t="s">
        <v>254</v>
      </c>
      <c r="B203" s="2" t="s">
        <v>60</v>
      </c>
      <c r="C203" s="2" t="s">
        <v>31</v>
      </c>
      <c r="D203" s="8" t="s">
        <v>599</v>
      </c>
      <c r="E203" s="6">
        <v>45070.0</v>
      </c>
      <c r="F203" s="6">
        <v>45413.0</v>
      </c>
      <c r="G203" s="7">
        <v>3.739543587E9</v>
      </c>
      <c r="H203" s="2" t="s">
        <v>33</v>
      </c>
    </row>
    <row r="204" ht="14.25" customHeight="1">
      <c r="A204" s="2" t="s">
        <v>255</v>
      </c>
      <c r="B204" s="2" t="s">
        <v>18</v>
      </c>
      <c r="C204" s="2" t="s">
        <v>36</v>
      </c>
      <c r="D204" s="8" t="s">
        <v>634</v>
      </c>
      <c r="E204" s="6">
        <v>45072.0</v>
      </c>
      <c r="F204" s="6">
        <v>45108.0</v>
      </c>
      <c r="G204" s="7">
        <v>1.989239519E9</v>
      </c>
      <c r="H204" s="2" t="s">
        <v>67</v>
      </c>
    </row>
    <row r="205" ht="14.25" customHeight="1">
      <c r="A205" s="2" t="s">
        <v>256</v>
      </c>
      <c r="B205" s="2" t="s">
        <v>12</v>
      </c>
      <c r="C205" s="2" t="s">
        <v>48</v>
      </c>
      <c r="D205" s="8" t="s">
        <v>602</v>
      </c>
      <c r="E205" s="6">
        <v>45072.0</v>
      </c>
      <c r="F205" s="6">
        <v>45310.0</v>
      </c>
      <c r="G205" s="7">
        <v>7.51081465E8</v>
      </c>
      <c r="H205" s="2" t="s">
        <v>21</v>
      </c>
    </row>
    <row r="206" ht="14.25" customHeight="1">
      <c r="A206" s="2" t="s">
        <v>257</v>
      </c>
      <c r="B206" s="2" t="s">
        <v>35</v>
      </c>
      <c r="C206" s="2" t="s">
        <v>48</v>
      </c>
      <c r="D206" s="2" t="s">
        <v>49</v>
      </c>
      <c r="E206" s="6">
        <v>45073.0</v>
      </c>
      <c r="F206" s="6">
        <v>45400.0</v>
      </c>
      <c r="G206" s="7">
        <v>3.96170576E8</v>
      </c>
      <c r="H206" s="2" t="s">
        <v>50</v>
      </c>
    </row>
    <row r="207" ht="14.25" customHeight="1">
      <c r="A207" s="2" t="s">
        <v>258</v>
      </c>
      <c r="B207" s="2" t="s">
        <v>60</v>
      </c>
      <c r="C207" s="2" t="s">
        <v>36</v>
      </c>
      <c r="D207" s="8" t="s">
        <v>597</v>
      </c>
      <c r="E207" s="6">
        <v>45073.0</v>
      </c>
      <c r="F207" s="6">
        <v>45368.0</v>
      </c>
      <c r="G207" s="7">
        <v>3.86727841E9</v>
      </c>
      <c r="H207" s="2" t="s">
        <v>67</v>
      </c>
    </row>
    <row r="208" ht="14.25" customHeight="1">
      <c r="A208" s="2" t="s">
        <v>259</v>
      </c>
      <c r="B208" s="2" t="s">
        <v>18</v>
      </c>
      <c r="C208" s="2" t="s">
        <v>39</v>
      </c>
      <c r="D208" s="8" t="s">
        <v>577</v>
      </c>
      <c r="E208" s="6">
        <v>45074.0</v>
      </c>
      <c r="F208" s="6">
        <v>45326.0</v>
      </c>
      <c r="G208" s="7">
        <v>1.475452617E9</v>
      </c>
      <c r="H208" s="2" t="s">
        <v>21</v>
      </c>
    </row>
    <row r="209" ht="14.25" customHeight="1">
      <c r="A209" s="2" t="s">
        <v>260</v>
      </c>
      <c r="D209" s="8" t="s">
        <v>629</v>
      </c>
      <c r="E209" s="6">
        <v>45074.0</v>
      </c>
      <c r="F209" s="6">
        <v>45243.0</v>
      </c>
      <c r="G209" s="11">
        <v>8.372699981E9</v>
      </c>
    </row>
    <row r="210" ht="14.25" customHeight="1">
      <c r="A210" s="2" t="s">
        <v>261</v>
      </c>
      <c r="B210" s="2" t="s">
        <v>35</v>
      </c>
      <c r="C210" s="2" t="s">
        <v>31</v>
      </c>
      <c r="D210" s="2" t="s">
        <v>91</v>
      </c>
      <c r="E210" s="6">
        <v>45074.0</v>
      </c>
      <c r="F210" s="6">
        <v>45215.0</v>
      </c>
      <c r="G210" s="7">
        <v>4.67726708E8</v>
      </c>
      <c r="H210" s="8" t="s">
        <v>573</v>
      </c>
    </row>
    <row r="211" ht="14.25" customHeight="1">
      <c r="A211" s="2" t="s">
        <v>262</v>
      </c>
      <c r="B211" s="2" t="s">
        <v>30</v>
      </c>
      <c r="C211" s="2" t="s">
        <v>31</v>
      </c>
      <c r="D211" s="8" t="s">
        <v>595</v>
      </c>
      <c r="E211" s="6">
        <v>45075.0</v>
      </c>
      <c r="F211" s="6">
        <v>45276.0</v>
      </c>
      <c r="G211" s="7">
        <v>3.277415006E9</v>
      </c>
      <c r="H211" s="2" t="s">
        <v>33</v>
      </c>
    </row>
    <row r="212" ht="14.25" customHeight="1">
      <c r="A212" s="2" t="s">
        <v>263</v>
      </c>
      <c r="B212" s="2" t="s">
        <v>35</v>
      </c>
      <c r="C212" s="2" t="s">
        <v>31</v>
      </c>
      <c r="D212" s="2" t="s">
        <v>91</v>
      </c>
      <c r="E212" s="6">
        <v>45076.0</v>
      </c>
      <c r="F212" s="6">
        <v>45355.0</v>
      </c>
      <c r="G212" s="7">
        <v>6.36468503E8</v>
      </c>
      <c r="H212" s="8" t="s">
        <v>581</v>
      </c>
    </row>
    <row r="213" ht="14.25" customHeight="1">
      <c r="A213" s="2" t="s">
        <v>264</v>
      </c>
      <c r="B213" s="2" t="s">
        <v>18</v>
      </c>
      <c r="C213" s="2" t="s">
        <v>48</v>
      </c>
      <c r="D213" s="8" t="s">
        <v>629</v>
      </c>
      <c r="E213" s="6">
        <v>45078.0</v>
      </c>
      <c r="F213" s="6">
        <v>45153.0</v>
      </c>
      <c r="G213" s="7">
        <v>1.206249778E9</v>
      </c>
      <c r="H213" s="2" t="s">
        <v>67</v>
      </c>
    </row>
    <row r="214" ht="14.25" customHeight="1">
      <c r="A214" s="8" t="s">
        <v>264</v>
      </c>
      <c r="B214" s="2" t="s">
        <v>18</v>
      </c>
      <c r="C214" s="2" t="s">
        <v>48</v>
      </c>
      <c r="D214" s="8" t="s">
        <v>629</v>
      </c>
      <c r="E214" s="6">
        <v>45078.0</v>
      </c>
      <c r="F214" s="6">
        <v>45153.0</v>
      </c>
      <c r="G214" s="7">
        <v>6.06080757E9</v>
      </c>
      <c r="H214" s="8" t="s">
        <v>581</v>
      </c>
    </row>
    <row r="215" ht="14.25" customHeight="1">
      <c r="A215" s="2" t="s">
        <v>266</v>
      </c>
      <c r="B215" s="2" t="s">
        <v>60</v>
      </c>
      <c r="C215" s="2" t="s">
        <v>42</v>
      </c>
      <c r="D215" s="8" t="s">
        <v>587</v>
      </c>
      <c r="E215" s="6">
        <v>45078.0</v>
      </c>
      <c r="F215" s="6">
        <v>45220.0</v>
      </c>
      <c r="G215" s="7">
        <v>2.544644297E9</v>
      </c>
    </row>
    <row r="216" ht="14.25" customHeight="1">
      <c r="A216" s="2" t="s">
        <v>267</v>
      </c>
      <c r="B216" s="2" t="s">
        <v>30</v>
      </c>
      <c r="C216" s="2" t="s">
        <v>39</v>
      </c>
      <c r="D216" s="8" t="s">
        <v>590</v>
      </c>
      <c r="E216" s="6">
        <v>45080.0</v>
      </c>
      <c r="F216" s="6">
        <v>45423.0</v>
      </c>
      <c r="G216" s="7">
        <v>6.557069994E9</v>
      </c>
      <c r="H216" s="2" t="s">
        <v>33</v>
      </c>
    </row>
    <row r="217" ht="14.25" customHeight="1">
      <c r="A217" s="2" t="s">
        <v>268</v>
      </c>
      <c r="B217" s="2" t="s">
        <v>60</v>
      </c>
      <c r="C217" s="2" t="s">
        <v>19</v>
      </c>
      <c r="D217" s="8" t="s">
        <v>616</v>
      </c>
      <c r="E217" s="6">
        <v>45081.0</v>
      </c>
      <c r="F217" s="6">
        <v>45393.0</v>
      </c>
      <c r="G217" s="7">
        <v>4.526013687E9</v>
      </c>
      <c r="H217" s="2" t="s">
        <v>67</v>
      </c>
    </row>
    <row r="218" ht="14.25" customHeight="1">
      <c r="A218" s="2" t="s">
        <v>269</v>
      </c>
      <c r="B218" s="2" t="s">
        <v>60</v>
      </c>
      <c r="C218" s="2" t="s">
        <v>36</v>
      </c>
      <c r="D218" s="8" t="s">
        <v>597</v>
      </c>
      <c r="E218" s="6">
        <v>45081.0</v>
      </c>
      <c r="F218" s="6">
        <v>45336.0</v>
      </c>
      <c r="G218" s="7">
        <v>1.746655E9</v>
      </c>
      <c r="H218" s="2" t="s">
        <v>44</v>
      </c>
    </row>
    <row r="219" ht="14.25" customHeight="1">
      <c r="A219" s="2" t="s">
        <v>270</v>
      </c>
      <c r="B219" s="2" t="s">
        <v>30</v>
      </c>
      <c r="C219" s="2" t="s">
        <v>42</v>
      </c>
      <c r="D219" s="8" t="s">
        <v>632</v>
      </c>
      <c r="E219" s="6">
        <v>45081.0</v>
      </c>
      <c r="F219" s="6">
        <v>45151.0</v>
      </c>
      <c r="G219" s="7">
        <v>8.46453122E8</v>
      </c>
      <c r="H219" s="2" t="s">
        <v>50</v>
      </c>
    </row>
    <row r="220" ht="14.25" customHeight="1">
      <c r="A220" s="2" t="s">
        <v>271</v>
      </c>
      <c r="B220" s="2" t="s">
        <v>12</v>
      </c>
      <c r="C220" s="2" t="s">
        <v>19</v>
      </c>
      <c r="D220" s="8" t="s">
        <v>631</v>
      </c>
      <c r="E220" s="6">
        <v>45081.0</v>
      </c>
      <c r="F220" s="6">
        <v>45142.0</v>
      </c>
      <c r="G220" s="7">
        <v>2.03965243E8</v>
      </c>
      <c r="H220" s="2" t="s">
        <v>50</v>
      </c>
    </row>
    <row r="221" ht="14.25" customHeight="1">
      <c r="A221" s="2" t="s">
        <v>272</v>
      </c>
      <c r="B221" s="2" t="s">
        <v>60</v>
      </c>
      <c r="C221" s="2" t="s">
        <v>31</v>
      </c>
      <c r="D221" s="8" t="s">
        <v>613</v>
      </c>
      <c r="E221" s="6">
        <v>45081.0</v>
      </c>
      <c r="F221" s="6">
        <v>45386.0</v>
      </c>
      <c r="G221" s="11">
        <v>1.0119728525E10</v>
      </c>
      <c r="H221" s="2" t="s">
        <v>67</v>
      </c>
    </row>
    <row r="222" ht="14.25" customHeight="1">
      <c r="A222" s="2" t="s">
        <v>273</v>
      </c>
      <c r="B222" s="2" t="s">
        <v>60</v>
      </c>
      <c r="C222" s="2" t="s">
        <v>19</v>
      </c>
      <c r="D222" s="8" t="s">
        <v>616</v>
      </c>
      <c r="E222" s="6">
        <v>45082.0</v>
      </c>
      <c r="F222" s="6">
        <v>45410.0</v>
      </c>
      <c r="G222" s="7">
        <v>4.915550556E9</v>
      </c>
      <c r="H222" s="2" t="s">
        <v>21</v>
      </c>
    </row>
    <row r="223" ht="14.25" customHeight="1">
      <c r="A223" s="2" t="s">
        <v>274</v>
      </c>
      <c r="B223" s="2" t="s">
        <v>35</v>
      </c>
      <c r="C223" s="2" t="s">
        <v>13</v>
      </c>
      <c r="D223" s="2" t="s">
        <v>78</v>
      </c>
      <c r="E223" s="6">
        <v>45084.0</v>
      </c>
      <c r="F223" s="6">
        <v>45303.0</v>
      </c>
      <c r="G223" s="7">
        <v>4.90931117E8</v>
      </c>
      <c r="H223" s="2" t="s">
        <v>44</v>
      </c>
    </row>
    <row r="224" ht="14.25" customHeight="1">
      <c r="A224" s="2" t="s">
        <v>275</v>
      </c>
      <c r="B224" s="2" t="s">
        <v>35</v>
      </c>
      <c r="C224" s="2" t="s">
        <v>36</v>
      </c>
      <c r="D224" s="2" t="s">
        <v>37</v>
      </c>
      <c r="E224" s="6">
        <v>45084.0</v>
      </c>
      <c r="F224" s="6">
        <v>45379.0</v>
      </c>
      <c r="G224" s="7">
        <v>3.45656676E8</v>
      </c>
      <c r="H224" s="2" t="s">
        <v>44</v>
      </c>
    </row>
    <row r="225" ht="14.25" customHeight="1">
      <c r="A225" s="2" t="s">
        <v>276</v>
      </c>
      <c r="B225" s="2" t="s">
        <v>60</v>
      </c>
      <c r="C225" s="2" t="s">
        <v>31</v>
      </c>
      <c r="D225" s="8" t="s">
        <v>613</v>
      </c>
      <c r="E225" s="6">
        <v>45088.0</v>
      </c>
      <c r="F225" s="6">
        <v>45402.0</v>
      </c>
      <c r="G225" s="7">
        <v>2.994383941E9</v>
      </c>
      <c r="H225" s="2" t="s">
        <v>67</v>
      </c>
    </row>
    <row r="226" ht="14.25" customHeight="1">
      <c r="A226" s="2" t="s">
        <v>277</v>
      </c>
      <c r="B226" s="2" t="s">
        <v>18</v>
      </c>
      <c r="C226" s="2" t="s">
        <v>39</v>
      </c>
      <c r="D226" s="8" t="s">
        <v>577</v>
      </c>
      <c r="E226" s="6">
        <v>45088.0</v>
      </c>
      <c r="F226" s="6">
        <v>45259.0</v>
      </c>
      <c r="G226" s="7">
        <v>6.364217108E9</v>
      </c>
      <c r="H226" s="2" t="s">
        <v>50</v>
      </c>
    </row>
    <row r="227" ht="14.25" customHeight="1">
      <c r="A227" s="2" t="s">
        <v>278</v>
      </c>
      <c r="B227" s="2" t="s">
        <v>30</v>
      </c>
      <c r="C227" s="2" t="s">
        <v>31</v>
      </c>
      <c r="D227" s="8" t="s">
        <v>585</v>
      </c>
      <c r="E227" s="6">
        <v>45090.0</v>
      </c>
      <c r="F227" s="6">
        <v>45168.0</v>
      </c>
      <c r="G227" s="7">
        <v>3.757150419E9</v>
      </c>
      <c r="H227" s="2" t="s">
        <v>21</v>
      </c>
    </row>
    <row r="228" ht="14.25" customHeight="1">
      <c r="A228" s="2" t="s">
        <v>279</v>
      </c>
      <c r="B228" s="2" t="s">
        <v>30</v>
      </c>
      <c r="C228" s="2" t="s">
        <v>42</v>
      </c>
      <c r="D228" s="8" t="s">
        <v>632</v>
      </c>
      <c r="E228" s="6">
        <v>45090.0</v>
      </c>
      <c r="F228" s="6">
        <v>45220.0</v>
      </c>
      <c r="G228" s="7">
        <v>4.655083177E9</v>
      </c>
      <c r="H228" s="2" t="s">
        <v>67</v>
      </c>
    </row>
    <row r="229" ht="14.25" customHeight="1">
      <c r="A229" s="2" t="s">
        <v>280</v>
      </c>
      <c r="B229" s="2" t="s">
        <v>35</v>
      </c>
      <c r="C229" s="2" t="s">
        <v>36</v>
      </c>
      <c r="D229" s="2" t="s">
        <v>37</v>
      </c>
      <c r="E229" s="6">
        <v>45091.0</v>
      </c>
      <c r="F229" s="6">
        <v>45091.0</v>
      </c>
      <c r="G229" s="7">
        <v>6.12637613E8</v>
      </c>
      <c r="H229" s="2" t="s">
        <v>67</v>
      </c>
    </row>
    <row r="230" ht="14.25" customHeight="1">
      <c r="A230" s="2" t="s">
        <v>281</v>
      </c>
      <c r="B230" s="2" t="s">
        <v>30</v>
      </c>
      <c r="C230" s="2" t="s">
        <v>36</v>
      </c>
      <c r="D230" s="8" t="s">
        <v>639</v>
      </c>
      <c r="E230" s="6">
        <v>45093.0</v>
      </c>
      <c r="F230" s="6">
        <v>45425.0</v>
      </c>
      <c r="G230" s="7">
        <v>7.65288058E8</v>
      </c>
      <c r="H230" s="2" t="s">
        <v>44</v>
      </c>
    </row>
    <row r="231" ht="14.25" customHeight="1">
      <c r="A231" s="2" t="s">
        <v>282</v>
      </c>
      <c r="B231" s="2" t="s">
        <v>12</v>
      </c>
      <c r="C231" s="2" t="s">
        <v>24</v>
      </c>
      <c r="D231" s="8" t="s">
        <v>610</v>
      </c>
      <c r="E231" s="6">
        <v>45093.0</v>
      </c>
      <c r="F231" s="6">
        <v>45337.0</v>
      </c>
      <c r="G231" s="7">
        <v>9.96933795E8</v>
      </c>
      <c r="H231" s="2" t="s">
        <v>50</v>
      </c>
    </row>
    <row r="232" ht="14.25" customHeight="1">
      <c r="A232" s="2" t="s">
        <v>283</v>
      </c>
      <c r="B232" s="2" t="s">
        <v>18</v>
      </c>
      <c r="C232" s="2" t="s">
        <v>39</v>
      </c>
      <c r="D232" s="8" t="s">
        <v>577</v>
      </c>
      <c r="E232" s="6">
        <v>45093.0</v>
      </c>
      <c r="F232" s="6">
        <v>45280.0</v>
      </c>
      <c r="G232" s="7">
        <v>6.355661362E9</v>
      </c>
    </row>
    <row r="233" ht="14.25" customHeight="1">
      <c r="A233" s="2" t="s">
        <v>284</v>
      </c>
      <c r="B233" s="2" t="s">
        <v>30</v>
      </c>
      <c r="C233" s="2" t="s">
        <v>31</v>
      </c>
      <c r="D233" s="8" t="s">
        <v>595</v>
      </c>
      <c r="E233" s="6">
        <v>45093.0</v>
      </c>
      <c r="F233" s="6">
        <v>45383.0</v>
      </c>
      <c r="G233" s="7">
        <v>6.951220052E9</v>
      </c>
      <c r="H233" s="2" t="s">
        <v>44</v>
      </c>
    </row>
    <row r="234" ht="14.25" customHeight="1">
      <c r="A234" s="2" t="s">
        <v>285</v>
      </c>
      <c r="B234" s="2" t="s">
        <v>35</v>
      </c>
      <c r="C234" s="2" t="s">
        <v>36</v>
      </c>
      <c r="D234" s="2" t="s">
        <v>37</v>
      </c>
      <c r="E234" s="6">
        <v>45095.0</v>
      </c>
      <c r="F234" s="6">
        <v>45423.0</v>
      </c>
      <c r="G234" s="7">
        <v>2.57229348E8</v>
      </c>
    </row>
    <row r="235" ht="14.25" customHeight="1">
      <c r="A235" s="2" t="s">
        <v>286</v>
      </c>
      <c r="B235" s="2" t="s">
        <v>18</v>
      </c>
      <c r="C235" s="2" t="s">
        <v>42</v>
      </c>
      <c r="D235" s="8" t="s">
        <v>621</v>
      </c>
      <c r="E235" s="6">
        <v>45096.0</v>
      </c>
      <c r="F235" s="6">
        <v>45428.0</v>
      </c>
      <c r="G235" s="7">
        <v>1.258024298E9</v>
      </c>
      <c r="H235" s="8" t="s">
        <v>573</v>
      </c>
    </row>
    <row r="236" ht="14.25" customHeight="1">
      <c r="A236" s="2" t="s">
        <v>287</v>
      </c>
      <c r="B236" s="2" t="s">
        <v>35</v>
      </c>
      <c r="C236" s="2" t="s">
        <v>19</v>
      </c>
      <c r="D236" s="2" t="s">
        <v>97</v>
      </c>
      <c r="E236" s="6">
        <v>45096.0</v>
      </c>
      <c r="F236" s="6">
        <v>45199.0</v>
      </c>
      <c r="G236" s="7">
        <v>3.75761303E8</v>
      </c>
      <c r="H236" s="2" t="s">
        <v>21</v>
      </c>
    </row>
    <row r="237" ht="14.25" customHeight="1">
      <c r="A237" s="2" t="s">
        <v>288</v>
      </c>
      <c r="B237" s="2" t="s">
        <v>18</v>
      </c>
      <c r="C237" s="2" t="s">
        <v>24</v>
      </c>
      <c r="D237" s="8" t="s">
        <v>618</v>
      </c>
      <c r="E237" s="6">
        <v>45097.0</v>
      </c>
      <c r="F237" s="6">
        <v>45129.0</v>
      </c>
      <c r="G237" s="7">
        <v>6.540978129E9</v>
      </c>
      <c r="H237" s="2" t="s">
        <v>50</v>
      </c>
    </row>
    <row r="238" ht="14.25" customHeight="1">
      <c r="A238" s="2" t="s">
        <v>289</v>
      </c>
      <c r="B238" s="2" t="s">
        <v>35</v>
      </c>
      <c r="C238" s="2" t="s">
        <v>39</v>
      </c>
      <c r="D238" s="2" t="s">
        <v>145</v>
      </c>
      <c r="E238" s="6">
        <v>45098.0</v>
      </c>
      <c r="F238" s="6">
        <v>45142.0</v>
      </c>
      <c r="G238" s="7">
        <v>3.42017973E8</v>
      </c>
      <c r="H238" s="8" t="s">
        <v>581</v>
      </c>
    </row>
    <row r="239" ht="14.25" customHeight="1">
      <c r="A239" s="2" t="s">
        <v>290</v>
      </c>
      <c r="B239" s="2" t="s">
        <v>30</v>
      </c>
      <c r="C239" s="2" t="s">
        <v>31</v>
      </c>
      <c r="D239" s="8" t="s">
        <v>585</v>
      </c>
      <c r="E239" s="6">
        <v>45098.0</v>
      </c>
      <c r="F239" s="6">
        <v>45292.0</v>
      </c>
      <c r="G239" s="7">
        <v>4.806164886E9</v>
      </c>
      <c r="H239" s="8" t="s">
        <v>581</v>
      </c>
    </row>
    <row r="240" ht="14.25" customHeight="1">
      <c r="A240" s="2" t="s">
        <v>291</v>
      </c>
      <c r="B240" s="2" t="s">
        <v>18</v>
      </c>
      <c r="C240" s="2" t="s">
        <v>36</v>
      </c>
      <c r="D240" s="8" t="s">
        <v>634</v>
      </c>
      <c r="E240" s="6">
        <v>45099.0</v>
      </c>
      <c r="F240" s="6">
        <v>45385.0</v>
      </c>
      <c r="G240" s="7">
        <v>9.209856007E9</v>
      </c>
      <c r="H240" s="2" t="s">
        <v>21</v>
      </c>
    </row>
    <row r="241" ht="14.25" customHeight="1">
      <c r="A241" s="2" t="s">
        <v>292</v>
      </c>
      <c r="B241" s="2" t="s">
        <v>35</v>
      </c>
      <c r="C241" s="2" t="s">
        <v>19</v>
      </c>
      <c r="D241" s="2" t="s">
        <v>97</v>
      </c>
      <c r="E241" s="6">
        <v>45099.0</v>
      </c>
      <c r="F241" s="6">
        <v>45154.0</v>
      </c>
      <c r="G241" s="7">
        <v>2.69400319E8</v>
      </c>
      <c r="H241" s="2" t="s">
        <v>44</v>
      </c>
    </row>
    <row r="242" ht="14.25" customHeight="1">
      <c r="A242" s="2" t="s">
        <v>293</v>
      </c>
      <c r="B242" s="2" t="s">
        <v>18</v>
      </c>
      <c r="C242" s="2" t="s">
        <v>13</v>
      </c>
      <c r="D242" s="8" t="s">
        <v>580</v>
      </c>
      <c r="E242" s="6">
        <v>45099.0</v>
      </c>
      <c r="F242" s="6">
        <v>45245.0</v>
      </c>
      <c r="G242" s="7">
        <v>3.09898686E9</v>
      </c>
      <c r="H242" s="8" t="s">
        <v>573</v>
      </c>
    </row>
    <row r="243" ht="14.25" customHeight="1">
      <c r="A243" s="2" t="s">
        <v>294</v>
      </c>
      <c r="B243" s="2" t="s">
        <v>30</v>
      </c>
      <c r="C243" s="2" t="s">
        <v>48</v>
      </c>
      <c r="D243" s="8" t="s">
        <v>620</v>
      </c>
      <c r="E243" s="6">
        <v>45099.0</v>
      </c>
      <c r="F243" s="6">
        <v>45254.0</v>
      </c>
      <c r="G243" s="7">
        <v>2.873619122E9</v>
      </c>
      <c r="H243" s="8" t="s">
        <v>573</v>
      </c>
    </row>
    <row r="244" ht="14.25" customHeight="1">
      <c r="A244" s="2" t="s">
        <v>295</v>
      </c>
      <c r="B244" s="2" t="s">
        <v>35</v>
      </c>
      <c r="C244" s="2" t="s">
        <v>24</v>
      </c>
      <c r="D244" s="2" t="s">
        <v>133</v>
      </c>
      <c r="E244" s="6">
        <v>45101.0</v>
      </c>
      <c r="F244" s="6">
        <v>45138.0</v>
      </c>
      <c r="G244" s="7">
        <v>7.35575459E8</v>
      </c>
      <c r="H244" s="8" t="s">
        <v>581</v>
      </c>
    </row>
    <row r="245" ht="14.25" customHeight="1">
      <c r="A245" s="2" t="s">
        <v>296</v>
      </c>
      <c r="B245" s="2" t="s">
        <v>18</v>
      </c>
      <c r="C245" s="2" t="s">
        <v>42</v>
      </c>
      <c r="D245" s="8" t="s">
        <v>621</v>
      </c>
      <c r="E245" s="6">
        <v>45101.0</v>
      </c>
      <c r="F245" s="6">
        <v>45375.0</v>
      </c>
      <c r="G245" s="7">
        <v>2.354261081E9</v>
      </c>
      <c r="H245" s="8" t="s">
        <v>573</v>
      </c>
    </row>
    <row r="246" ht="14.25" customHeight="1">
      <c r="A246" s="2" t="s">
        <v>297</v>
      </c>
      <c r="B246" s="2" t="s">
        <v>30</v>
      </c>
      <c r="C246" s="2" t="s">
        <v>42</v>
      </c>
      <c r="D246" s="8" t="s">
        <v>632</v>
      </c>
      <c r="E246" s="6">
        <v>45102.0</v>
      </c>
      <c r="F246" s="6">
        <v>45324.0</v>
      </c>
      <c r="G246" s="7">
        <v>2.697497947E9</v>
      </c>
      <c r="H246" s="2" t="s">
        <v>21</v>
      </c>
    </row>
    <row r="247" ht="14.25" customHeight="1">
      <c r="A247" s="2" t="s">
        <v>298</v>
      </c>
      <c r="B247" s="2" t="s">
        <v>12</v>
      </c>
      <c r="C247" s="2" t="s">
        <v>13</v>
      </c>
      <c r="D247" s="8" t="s">
        <v>605</v>
      </c>
      <c r="E247" s="6">
        <v>45103.0</v>
      </c>
      <c r="F247" s="6">
        <v>45038.0</v>
      </c>
      <c r="G247" s="7">
        <v>2.77801695E8</v>
      </c>
      <c r="H247" s="8" t="s">
        <v>573</v>
      </c>
    </row>
    <row r="248" ht="14.25" customHeight="1">
      <c r="A248" s="2" t="s">
        <v>299</v>
      </c>
      <c r="B248" s="2" t="s">
        <v>18</v>
      </c>
      <c r="C248" s="2" t="s">
        <v>36</v>
      </c>
      <c r="D248" s="8" t="s">
        <v>634</v>
      </c>
      <c r="E248" s="6">
        <v>45104.0</v>
      </c>
      <c r="F248" s="6">
        <v>45195.0</v>
      </c>
      <c r="G248" s="7">
        <v>5.36537192E9</v>
      </c>
      <c r="H248" s="8" t="s">
        <v>581</v>
      </c>
    </row>
    <row r="249" ht="14.25" customHeight="1">
      <c r="A249" s="2" t="s">
        <v>300</v>
      </c>
      <c r="B249" s="2" t="s">
        <v>35</v>
      </c>
      <c r="C249" s="2" t="s">
        <v>48</v>
      </c>
      <c r="D249" s="2" t="s">
        <v>49</v>
      </c>
      <c r="E249" s="6">
        <v>45106.0</v>
      </c>
      <c r="F249" s="6">
        <v>45144.0</v>
      </c>
      <c r="G249" s="7">
        <v>7.37701834E8</v>
      </c>
      <c r="H249" s="2" t="s">
        <v>21</v>
      </c>
    </row>
    <row r="250" ht="14.25" customHeight="1">
      <c r="A250" s="2" t="s">
        <v>301</v>
      </c>
      <c r="B250" s="2" t="s">
        <v>30</v>
      </c>
      <c r="C250" s="2" t="s">
        <v>13</v>
      </c>
      <c r="D250" s="8" t="s">
        <v>630</v>
      </c>
      <c r="E250" s="6">
        <v>45106.0</v>
      </c>
      <c r="F250" s="6">
        <v>45212.0</v>
      </c>
      <c r="G250" s="7">
        <v>2.498238869E9</v>
      </c>
    </row>
    <row r="251" ht="14.25" customHeight="1">
      <c r="A251" s="2" t="s">
        <v>302</v>
      </c>
      <c r="B251" s="2" t="s">
        <v>35</v>
      </c>
      <c r="C251" s="2" t="s">
        <v>48</v>
      </c>
      <c r="D251" s="2" t="s">
        <v>49</v>
      </c>
      <c r="E251" s="6">
        <v>45107.0</v>
      </c>
      <c r="F251" s="6">
        <v>45221.0</v>
      </c>
      <c r="G251" s="7">
        <v>3.43573944E8</v>
      </c>
      <c r="H251" s="2" t="s">
        <v>50</v>
      </c>
    </row>
    <row r="252" ht="14.25" customHeight="1">
      <c r="A252" s="2" t="s">
        <v>303</v>
      </c>
      <c r="B252" s="2" t="s">
        <v>12</v>
      </c>
      <c r="C252" s="2" t="s">
        <v>19</v>
      </c>
      <c r="D252" s="8" t="s">
        <v>631</v>
      </c>
      <c r="E252" s="6">
        <v>45111.0</v>
      </c>
      <c r="F252" s="6">
        <v>45180.0</v>
      </c>
      <c r="G252" s="7">
        <v>8.0298087E8</v>
      </c>
      <c r="H252" s="2" t="s">
        <v>67</v>
      </c>
    </row>
    <row r="253" ht="14.25" customHeight="1">
      <c r="A253" s="2" t="s">
        <v>304</v>
      </c>
      <c r="B253" s="2" t="s">
        <v>30</v>
      </c>
      <c r="C253" s="2" t="s">
        <v>36</v>
      </c>
      <c r="D253" s="8" t="s">
        <v>614</v>
      </c>
      <c r="E253" s="6">
        <v>45113.0</v>
      </c>
      <c r="F253" s="6">
        <v>45253.0</v>
      </c>
      <c r="G253" s="7">
        <v>1.132821017E9</v>
      </c>
      <c r="H253" s="2" t="s">
        <v>50</v>
      </c>
    </row>
    <row r="254" ht="14.25" customHeight="1">
      <c r="A254" s="2" t="s">
        <v>305</v>
      </c>
      <c r="B254" s="2" t="s">
        <v>35</v>
      </c>
      <c r="C254" s="2" t="s">
        <v>24</v>
      </c>
      <c r="D254" s="2" t="s">
        <v>133</v>
      </c>
      <c r="E254" s="6">
        <v>45114.0</v>
      </c>
      <c r="F254" s="6">
        <v>45156.0</v>
      </c>
      <c r="G254" s="7">
        <v>6.46267645E8</v>
      </c>
      <c r="H254" s="2" t="s">
        <v>21</v>
      </c>
    </row>
    <row r="255" ht="14.25" customHeight="1">
      <c r="A255" s="2" t="s">
        <v>306</v>
      </c>
      <c r="B255" s="2" t="s">
        <v>30</v>
      </c>
      <c r="C255" s="2" t="s">
        <v>13</v>
      </c>
      <c r="D255" s="8" t="s">
        <v>641</v>
      </c>
      <c r="E255" s="6">
        <v>45115.0</v>
      </c>
      <c r="F255" s="6">
        <v>45145.0</v>
      </c>
      <c r="G255" s="7">
        <v>1.091849633E9</v>
      </c>
      <c r="H255" s="2" t="s">
        <v>33</v>
      </c>
    </row>
    <row r="256" ht="14.25" customHeight="1">
      <c r="A256" s="2" t="s">
        <v>307</v>
      </c>
      <c r="B256" s="2" t="s">
        <v>12</v>
      </c>
      <c r="C256" s="2" t="s">
        <v>39</v>
      </c>
      <c r="D256" s="8" t="s">
        <v>591</v>
      </c>
      <c r="E256" s="6">
        <v>45116.0</v>
      </c>
      <c r="F256" s="6">
        <v>45158.0</v>
      </c>
      <c r="G256" s="7">
        <v>9.69437655E8</v>
      </c>
      <c r="H256" s="8" t="s">
        <v>573</v>
      </c>
    </row>
    <row r="257" ht="14.25" customHeight="1">
      <c r="A257" s="2" t="s">
        <v>308</v>
      </c>
      <c r="B257" s="2" t="s">
        <v>60</v>
      </c>
      <c r="C257" s="2" t="s">
        <v>48</v>
      </c>
      <c r="D257" s="8" t="s">
        <v>625</v>
      </c>
      <c r="E257" s="6">
        <v>45116.0</v>
      </c>
      <c r="F257" s="6">
        <v>45350.0</v>
      </c>
      <c r="G257" s="7">
        <v>3.165392319E9</v>
      </c>
      <c r="H257" s="8" t="s">
        <v>573</v>
      </c>
    </row>
    <row r="258" ht="14.25" customHeight="1">
      <c r="A258" s="2" t="s">
        <v>309</v>
      </c>
      <c r="B258" s="2" t="s">
        <v>30</v>
      </c>
      <c r="C258" s="2" t="s">
        <v>13</v>
      </c>
      <c r="D258" s="8" t="s">
        <v>630</v>
      </c>
      <c r="E258" s="6">
        <v>45117.0</v>
      </c>
      <c r="F258" s="6">
        <v>45156.0</v>
      </c>
      <c r="G258" s="7">
        <v>5.204534546E9</v>
      </c>
      <c r="H258" s="8" t="s">
        <v>581</v>
      </c>
    </row>
    <row r="259" ht="14.25" customHeight="1">
      <c r="A259" s="2" t="s">
        <v>310</v>
      </c>
      <c r="B259" s="2" t="s">
        <v>18</v>
      </c>
      <c r="C259" s="2" t="s">
        <v>19</v>
      </c>
      <c r="D259" s="8" t="s">
        <v>633</v>
      </c>
      <c r="E259" s="6">
        <v>45118.0</v>
      </c>
      <c r="F259" s="6">
        <v>45288.0</v>
      </c>
      <c r="G259" s="7">
        <v>3.942664693E9</v>
      </c>
      <c r="H259" s="2" t="s">
        <v>21</v>
      </c>
    </row>
    <row r="260" ht="14.25" customHeight="1">
      <c r="A260" s="2" t="s">
        <v>311</v>
      </c>
      <c r="B260" s="2" t="s">
        <v>60</v>
      </c>
      <c r="C260" s="2" t="s">
        <v>19</v>
      </c>
      <c r="D260" s="8" t="s">
        <v>616</v>
      </c>
      <c r="E260" s="6">
        <v>45118.0</v>
      </c>
      <c r="F260" s="6">
        <v>45256.0</v>
      </c>
      <c r="G260" s="7">
        <v>1.996986704E9</v>
      </c>
      <c r="H260" s="2" t="s">
        <v>33</v>
      </c>
    </row>
    <row r="261" ht="14.25" customHeight="1">
      <c r="A261" s="2" t="s">
        <v>312</v>
      </c>
      <c r="B261" s="2" t="s">
        <v>30</v>
      </c>
      <c r="C261" s="2" t="s">
        <v>39</v>
      </c>
      <c r="D261" s="8" t="s">
        <v>638</v>
      </c>
      <c r="E261" s="6">
        <v>45118.0</v>
      </c>
      <c r="F261" s="6">
        <v>45394.0</v>
      </c>
      <c r="G261" s="7">
        <v>1.005719572E9</v>
      </c>
      <c r="H261" s="8" t="s">
        <v>573</v>
      </c>
    </row>
    <row r="262" ht="14.25" customHeight="1">
      <c r="A262" s="2" t="s">
        <v>313</v>
      </c>
      <c r="B262" s="2" t="s">
        <v>60</v>
      </c>
      <c r="C262" s="2" t="s">
        <v>19</v>
      </c>
      <c r="D262" s="8" t="s">
        <v>635</v>
      </c>
      <c r="E262" s="6">
        <v>45118.0</v>
      </c>
      <c r="F262" s="6">
        <v>45180.0</v>
      </c>
      <c r="G262" s="7">
        <v>4.155376448E9</v>
      </c>
      <c r="H262" s="2" t="s">
        <v>50</v>
      </c>
    </row>
    <row r="263" ht="14.25" customHeight="1">
      <c r="A263" s="2" t="s">
        <v>314</v>
      </c>
      <c r="B263" s="2" t="s">
        <v>18</v>
      </c>
      <c r="C263" s="2" t="s">
        <v>31</v>
      </c>
      <c r="D263" s="8" t="s">
        <v>636</v>
      </c>
      <c r="E263" s="6">
        <v>45118.0</v>
      </c>
      <c r="F263" s="6">
        <v>45452.0</v>
      </c>
      <c r="G263" s="7">
        <v>6.519755129E9</v>
      </c>
      <c r="H263" s="2" t="s">
        <v>67</v>
      </c>
    </row>
    <row r="264" ht="14.25" customHeight="1">
      <c r="A264" s="2" t="s">
        <v>315</v>
      </c>
      <c r="B264" s="2" t="s">
        <v>12</v>
      </c>
      <c r="C264" s="2" t="s">
        <v>19</v>
      </c>
      <c r="D264" s="8" t="s">
        <v>631</v>
      </c>
      <c r="E264" s="6">
        <v>45119.0</v>
      </c>
      <c r="F264" s="6">
        <v>45427.0</v>
      </c>
      <c r="G264" s="7">
        <v>5.09824821E8</v>
      </c>
      <c r="H264" s="2" t="s">
        <v>33</v>
      </c>
    </row>
    <row r="265" ht="14.25" customHeight="1">
      <c r="A265" s="2" t="s">
        <v>316</v>
      </c>
      <c r="B265" s="2" t="s">
        <v>60</v>
      </c>
      <c r="C265" s="2" t="s">
        <v>39</v>
      </c>
      <c r="D265" s="8" t="s">
        <v>642</v>
      </c>
      <c r="E265" s="6">
        <v>45119.0</v>
      </c>
      <c r="F265" s="6">
        <v>45218.0</v>
      </c>
      <c r="G265" s="7">
        <v>4.249269902E9</v>
      </c>
    </row>
    <row r="266" ht="14.25" customHeight="1">
      <c r="A266" s="2" t="s">
        <v>317</v>
      </c>
      <c r="B266" s="2" t="s">
        <v>60</v>
      </c>
      <c r="C266" s="2" t="s">
        <v>42</v>
      </c>
      <c r="D266" s="8" t="s">
        <v>587</v>
      </c>
      <c r="E266" s="6">
        <v>45120.0</v>
      </c>
      <c r="F266" s="6">
        <v>45223.0</v>
      </c>
      <c r="G266" s="7">
        <v>2.236844121E9</v>
      </c>
      <c r="H266" s="8" t="s">
        <v>573</v>
      </c>
    </row>
    <row r="267" ht="14.25" customHeight="1">
      <c r="A267" s="2" t="s">
        <v>318</v>
      </c>
      <c r="B267" s="2" t="s">
        <v>12</v>
      </c>
      <c r="C267" s="2" t="s">
        <v>24</v>
      </c>
      <c r="D267" s="8" t="s">
        <v>610</v>
      </c>
      <c r="E267" s="6">
        <v>45121.0</v>
      </c>
      <c r="F267" s="6">
        <v>45176.0</v>
      </c>
      <c r="G267" s="7">
        <v>3.69427315E8</v>
      </c>
      <c r="H267" s="8" t="s">
        <v>581</v>
      </c>
    </row>
    <row r="268" ht="14.25" customHeight="1">
      <c r="A268" s="2" t="s">
        <v>319</v>
      </c>
      <c r="B268" s="2" t="s">
        <v>30</v>
      </c>
      <c r="C268" s="2" t="s">
        <v>24</v>
      </c>
      <c r="D268" s="8" t="s">
        <v>637</v>
      </c>
      <c r="E268" s="6">
        <v>45121.0</v>
      </c>
      <c r="F268" s="6">
        <v>45161.0</v>
      </c>
      <c r="G268" s="7">
        <v>3.688243132E9</v>
      </c>
      <c r="H268" s="8" t="s">
        <v>573</v>
      </c>
    </row>
    <row r="269" ht="14.25" customHeight="1">
      <c r="A269" s="2" t="s">
        <v>320</v>
      </c>
      <c r="B269" s="2" t="s">
        <v>12</v>
      </c>
      <c r="C269" s="2" t="s">
        <v>48</v>
      </c>
      <c r="D269" s="8" t="s">
        <v>602</v>
      </c>
      <c r="E269" s="6">
        <v>45123.0</v>
      </c>
      <c r="F269" s="6">
        <v>45315.0</v>
      </c>
      <c r="G269" s="7">
        <v>3.81166441E8</v>
      </c>
      <c r="H269" s="2" t="s">
        <v>33</v>
      </c>
    </row>
    <row r="270" ht="14.25" customHeight="1">
      <c r="A270" s="2" t="s">
        <v>321</v>
      </c>
      <c r="B270" s="2" t="s">
        <v>35</v>
      </c>
      <c r="C270" s="2" t="s">
        <v>13</v>
      </c>
      <c r="D270" s="2" t="s">
        <v>78</v>
      </c>
      <c r="E270" s="6">
        <v>45124.0</v>
      </c>
      <c r="F270" s="6">
        <v>45421.0</v>
      </c>
      <c r="G270" s="7">
        <v>6.04130639E8</v>
      </c>
    </row>
    <row r="271" ht="14.25" customHeight="1">
      <c r="A271" s="2" t="s">
        <v>322</v>
      </c>
      <c r="B271" s="2" t="s">
        <v>12</v>
      </c>
      <c r="C271" s="2" t="s">
        <v>42</v>
      </c>
      <c r="D271" s="8" t="s">
        <v>603</v>
      </c>
      <c r="E271" s="6">
        <v>45124.0</v>
      </c>
      <c r="F271" s="6">
        <v>45258.0</v>
      </c>
      <c r="G271" s="7">
        <v>2.83236486E8</v>
      </c>
      <c r="H271" s="2" t="s">
        <v>44</v>
      </c>
    </row>
    <row r="272" ht="14.25" customHeight="1">
      <c r="A272" s="2" t="s">
        <v>323</v>
      </c>
      <c r="B272" s="2" t="s">
        <v>35</v>
      </c>
      <c r="C272" s="2" t="s">
        <v>31</v>
      </c>
      <c r="D272" s="2" t="s">
        <v>91</v>
      </c>
      <c r="E272" s="6">
        <v>45124.0</v>
      </c>
      <c r="F272" s="6">
        <v>45269.0</v>
      </c>
      <c r="G272" s="7">
        <v>2.88462185E8</v>
      </c>
      <c r="H272" s="2" t="s">
        <v>67</v>
      </c>
    </row>
    <row r="273" ht="14.25" customHeight="1">
      <c r="A273" s="2" t="s">
        <v>324</v>
      </c>
      <c r="B273" s="2" t="s">
        <v>12</v>
      </c>
      <c r="C273" s="2" t="s">
        <v>36</v>
      </c>
      <c r="D273" s="8" t="s">
        <v>578</v>
      </c>
      <c r="E273" s="6">
        <v>45125.0</v>
      </c>
      <c r="F273" s="6">
        <v>45419.0</v>
      </c>
      <c r="G273" s="7">
        <v>7.06008565E8</v>
      </c>
      <c r="H273" s="2" t="s">
        <v>33</v>
      </c>
    </row>
    <row r="274" ht="14.25" customHeight="1">
      <c r="A274" s="2" t="s">
        <v>325</v>
      </c>
      <c r="B274" s="2" t="s">
        <v>30</v>
      </c>
      <c r="C274" s="2" t="s">
        <v>39</v>
      </c>
      <c r="D274" s="8" t="s">
        <v>590</v>
      </c>
      <c r="E274" s="6">
        <v>45125.0</v>
      </c>
      <c r="F274" s="6">
        <v>45317.0</v>
      </c>
      <c r="G274" s="7">
        <v>3.442468253E9</v>
      </c>
      <c r="H274" s="2" t="s">
        <v>33</v>
      </c>
    </row>
    <row r="275" ht="14.25" customHeight="1">
      <c r="A275" s="2" t="s">
        <v>326</v>
      </c>
      <c r="B275" s="2" t="s">
        <v>60</v>
      </c>
      <c r="C275" s="2" t="s">
        <v>48</v>
      </c>
      <c r="D275" s="8" t="s">
        <v>625</v>
      </c>
      <c r="E275" s="6">
        <v>45125.0</v>
      </c>
      <c r="F275" s="6">
        <v>45188.0</v>
      </c>
      <c r="G275" s="7">
        <v>2.233995238E9</v>
      </c>
      <c r="H275" s="2" t="s">
        <v>67</v>
      </c>
    </row>
    <row r="276" ht="14.25" customHeight="1">
      <c r="A276" s="2" t="s">
        <v>327</v>
      </c>
      <c r="B276" s="2" t="s">
        <v>35</v>
      </c>
      <c r="C276" s="2" t="s">
        <v>13</v>
      </c>
      <c r="D276" s="2" t="s">
        <v>78</v>
      </c>
      <c r="E276" s="6">
        <v>45125.0</v>
      </c>
      <c r="F276" s="6">
        <v>45277.0</v>
      </c>
      <c r="G276" s="7">
        <v>5.79386663E8</v>
      </c>
      <c r="H276" s="2" t="s">
        <v>67</v>
      </c>
    </row>
    <row r="277" ht="14.25" customHeight="1">
      <c r="A277" s="2" t="s">
        <v>328</v>
      </c>
      <c r="B277" s="2" t="s">
        <v>18</v>
      </c>
      <c r="C277" s="2" t="s">
        <v>24</v>
      </c>
      <c r="D277" s="8" t="s">
        <v>618</v>
      </c>
      <c r="E277" s="6">
        <v>45125.0</v>
      </c>
      <c r="F277" s="6">
        <v>45327.0</v>
      </c>
      <c r="G277" s="7">
        <v>2.89251248E9</v>
      </c>
      <c r="H277" s="2" t="s">
        <v>67</v>
      </c>
    </row>
    <row r="278" ht="14.25" customHeight="1">
      <c r="A278" s="2" t="s">
        <v>329</v>
      </c>
      <c r="B278" s="2" t="s">
        <v>30</v>
      </c>
      <c r="C278" s="2" t="s">
        <v>36</v>
      </c>
      <c r="D278" s="8" t="s">
        <v>614</v>
      </c>
      <c r="E278" s="6">
        <v>45126.0</v>
      </c>
      <c r="F278" s="6">
        <v>45187.0</v>
      </c>
      <c r="G278" s="7">
        <v>1.731360253E9</v>
      </c>
      <c r="H278" s="8" t="s">
        <v>581</v>
      </c>
    </row>
    <row r="279" ht="14.25" customHeight="1">
      <c r="A279" s="2" t="s">
        <v>330</v>
      </c>
      <c r="B279" s="2" t="s">
        <v>60</v>
      </c>
      <c r="C279" s="2" t="s">
        <v>36</v>
      </c>
      <c r="D279" s="8" t="s">
        <v>597</v>
      </c>
      <c r="E279" s="6">
        <v>45128.0</v>
      </c>
      <c r="F279" s="6">
        <v>45204.0</v>
      </c>
      <c r="G279" s="7">
        <v>4.702380798E9</v>
      </c>
      <c r="H279" s="2" t="s">
        <v>33</v>
      </c>
    </row>
    <row r="280" ht="14.25" customHeight="1">
      <c r="A280" s="2" t="s">
        <v>331</v>
      </c>
      <c r="B280" s="2" t="s">
        <v>18</v>
      </c>
      <c r="C280" s="2" t="s">
        <v>31</v>
      </c>
      <c r="D280" s="8" t="s">
        <v>636</v>
      </c>
      <c r="E280" s="6">
        <v>45128.0</v>
      </c>
      <c r="F280" s="6">
        <v>45275.0</v>
      </c>
      <c r="G280" s="7">
        <v>1.321857853E9</v>
      </c>
      <c r="H280" s="2" t="s">
        <v>44</v>
      </c>
    </row>
    <row r="281" ht="14.25" customHeight="1">
      <c r="A281" s="2" t="s">
        <v>332</v>
      </c>
      <c r="B281" s="2" t="s">
        <v>30</v>
      </c>
      <c r="C281" s="2" t="s">
        <v>39</v>
      </c>
      <c r="D281" s="8" t="s">
        <v>590</v>
      </c>
      <c r="E281" s="6">
        <v>45128.0</v>
      </c>
      <c r="F281" s="6">
        <v>45188.0</v>
      </c>
      <c r="G281" s="7">
        <v>4.256914338E9</v>
      </c>
      <c r="H281" s="2" t="s">
        <v>67</v>
      </c>
    </row>
    <row r="282" ht="14.25" customHeight="1">
      <c r="A282" s="2" t="s">
        <v>333</v>
      </c>
      <c r="B282" s="2" t="s">
        <v>35</v>
      </c>
      <c r="C282" s="2" t="s">
        <v>31</v>
      </c>
      <c r="D282" s="2" t="s">
        <v>91</v>
      </c>
      <c r="E282" s="6">
        <v>45128.0</v>
      </c>
      <c r="F282" s="6">
        <v>45492.0</v>
      </c>
      <c r="G282" s="7">
        <v>2.02438902E8</v>
      </c>
      <c r="H282" s="2" t="s">
        <v>33</v>
      </c>
    </row>
    <row r="283" ht="14.25" customHeight="1">
      <c r="A283" s="2" t="s">
        <v>334</v>
      </c>
      <c r="B283" s="2" t="s">
        <v>18</v>
      </c>
      <c r="C283" s="2" t="s">
        <v>36</v>
      </c>
      <c r="D283" s="8" t="s">
        <v>634</v>
      </c>
      <c r="E283" s="6">
        <v>45129.0</v>
      </c>
      <c r="F283" s="6">
        <v>45264.0</v>
      </c>
      <c r="G283" s="7">
        <v>7.153815573E9</v>
      </c>
      <c r="H283" s="2" t="s">
        <v>44</v>
      </c>
    </row>
    <row r="284" ht="14.25" customHeight="1">
      <c r="A284" s="2" t="s">
        <v>335</v>
      </c>
      <c r="B284" s="2" t="s">
        <v>60</v>
      </c>
      <c r="C284" s="2" t="s">
        <v>24</v>
      </c>
      <c r="D284" s="8" t="s">
        <v>575</v>
      </c>
      <c r="E284" s="6">
        <v>45129.0</v>
      </c>
      <c r="F284" s="6">
        <v>45285.0</v>
      </c>
      <c r="G284" s="7">
        <v>2.21023244E9</v>
      </c>
      <c r="H284" s="8" t="s">
        <v>581</v>
      </c>
    </row>
    <row r="285" ht="14.25" customHeight="1">
      <c r="A285" s="2" t="s">
        <v>336</v>
      </c>
      <c r="B285" s="2" t="s">
        <v>30</v>
      </c>
      <c r="C285" s="2" t="s">
        <v>42</v>
      </c>
      <c r="D285" s="8" t="s">
        <v>627</v>
      </c>
      <c r="E285" s="6">
        <v>45129.0</v>
      </c>
      <c r="F285" s="6">
        <v>44945.0</v>
      </c>
      <c r="G285" s="7">
        <v>2.045004222E9</v>
      </c>
      <c r="H285" s="2" t="s">
        <v>67</v>
      </c>
    </row>
    <row r="286" ht="14.25" customHeight="1">
      <c r="A286" s="2" t="s">
        <v>337</v>
      </c>
      <c r="B286" s="2" t="s">
        <v>12</v>
      </c>
      <c r="C286" s="2" t="s">
        <v>42</v>
      </c>
      <c r="D286" s="8" t="s">
        <v>603</v>
      </c>
      <c r="E286" s="6">
        <v>45130.0</v>
      </c>
      <c r="F286" s="6">
        <v>45445.0</v>
      </c>
      <c r="G286" s="7">
        <v>6.07111213E8</v>
      </c>
      <c r="H286" s="8" t="s">
        <v>581</v>
      </c>
    </row>
    <row r="287" ht="14.25" customHeight="1">
      <c r="A287" s="2" t="s">
        <v>338</v>
      </c>
      <c r="B287" s="2" t="s">
        <v>12</v>
      </c>
      <c r="C287" s="2" t="s">
        <v>36</v>
      </c>
      <c r="D287" s="8" t="s">
        <v>578</v>
      </c>
      <c r="E287" s="6">
        <v>45130.0</v>
      </c>
      <c r="F287" s="6">
        <v>45407.0</v>
      </c>
      <c r="G287" s="7">
        <v>3.78250495E8</v>
      </c>
      <c r="H287" s="8" t="s">
        <v>573</v>
      </c>
    </row>
    <row r="288" ht="14.25" customHeight="1">
      <c r="A288" s="2" t="s">
        <v>339</v>
      </c>
      <c r="B288" s="2" t="s">
        <v>35</v>
      </c>
      <c r="C288" s="2" t="s">
        <v>42</v>
      </c>
      <c r="D288" s="2" t="s">
        <v>69</v>
      </c>
      <c r="E288" s="6">
        <v>45130.0</v>
      </c>
      <c r="F288" s="6">
        <v>45277.0</v>
      </c>
      <c r="G288" s="7">
        <v>2.25164187E8</v>
      </c>
    </row>
    <row r="289" ht="14.25" customHeight="1">
      <c r="A289" s="2" t="s">
        <v>340</v>
      </c>
      <c r="B289" s="2" t="s">
        <v>30</v>
      </c>
      <c r="C289" s="2" t="s">
        <v>36</v>
      </c>
      <c r="D289" s="8" t="s">
        <v>614</v>
      </c>
      <c r="E289" s="6">
        <v>45130.0</v>
      </c>
      <c r="F289" s="6">
        <v>45465.0</v>
      </c>
      <c r="G289" s="7">
        <v>4.178594822E9</v>
      </c>
      <c r="H289" s="8" t="s">
        <v>581</v>
      </c>
    </row>
    <row r="290" ht="14.25" customHeight="1">
      <c r="A290" s="2" t="s">
        <v>341</v>
      </c>
      <c r="B290" s="2" t="s">
        <v>12</v>
      </c>
      <c r="C290" s="2" t="s">
        <v>13</v>
      </c>
      <c r="D290" s="8" t="s">
        <v>605</v>
      </c>
      <c r="E290" s="6">
        <v>45131.0</v>
      </c>
      <c r="F290" s="6">
        <v>45228.0</v>
      </c>
      <c r="G290" s="7">
        <v>6.60225526E8</v>
      </c>
      <c r="H290" s="2" t="s">
        <v>33</v>
      </c>
    </row>
    <row r="291" ht="14.25" customHeight="1">
      <c r="A291" s="2" t="s">
        <v>342</v>
      </c>
      <c r="B291" s="2" t="s">
        <v>30</v>
      </c>
      <c r="C291" s="2" t="s">
        <v>24</v>
      </c>
      <c r="D291" s="8" t="s">
        <v>612</v>
      </c>
      <c r="E291" s="6">
        <v>45131.0</v>
      </c>
      <c r="F291" s="6">
        <v>45411.0</v>
      </c>
      <c r="G291" s="7">
        <v>6.255723631E9</v>
      </c>
      <c r="H291" s="2" t="s">
        <v>33</v>
      </c>
    </row>
    <row r="292" ht="14.25" customHeight="1">
      <c r="A292" s="2" t="s">
        <v>343</v>
      </c>
      <c r="B292" s="2" t="s">
        <v>60</v>
      </c>
      <c r="C292" s="2" t="s">
        <v>39</v>
      </c>
      <c r="D292" s="8" t="s">
        <v>626</v>
      </c>
      <c r="E292" s="6">
        <v>45131.0</v>
      </c>
      <c r="F292" s="6">
        <v>45271.0</v>
      </c>
      <c r="G292" s="7">
        <v>1.935087556E9</v>
      </c>
      <c r="H292" s="2" t="s">
        <v>44</v>
      </c>
    </row>
    <row r="293" ht="14.25" customHeight="1">
      <c r="A293" s="2" t="s">
        <v>344</v>
      </c>
      <c r="B293" s="2" t="s">
        <v>30</v>
      </c>
      <c r="C293" s="2" t="s">
        <v>19</v>
      </c>
      <c r="D293" s="8" t="s">
        <v>624</v>
      </c>
      <c r="E293" s="6">
        <v>45133.0</v>
      </c>
      <c r="F293" s="6">
        <v>45384.0</v>
      </c>
      <c r="G293" s="7">
        <v>6.639282641E9</v>
      </c>
      <c r="H293" s="2" t="s">
        <v>21</v>
      </c>
    </row>
    <row r="294" ht="14.25" customHeight="1">
      <c r="A294" s="2" t="s">
        <v>345</v>
      </c>
      <c r="B294" s="2" t="s">
        <v>18</v>
      </c>
      <c r="C294" s="2" t="s">
        <v>48</v>
      </c>
      <c r="D294" s="8" t="s">
        <v>629</v>
      </c>
      <c r="E294" s="6">
        <v>45133.0</v>
      </c>
      <c r="F294" s="6">
        <v>45429.0</v>
      </c>
      <c r="G294" s="7">
        <v>1.341304566E9</v>
      </c>
      <c r="H294" s="2" t="s">
        <v>67</v>
      </c>
    </row>
    <row r="295" ht="14.25" customHeight="1">
      <c r="A295" s="2" t="s">
        <v>346</v>
      </c>
      <c r="B295" s="2" t="s">
        <v>30</v>
      </c>
      <c r="C295" s="2" t="s">
        <v>42</v>
      </c>
      <c r="D295" s="8" t="s">
        <v>632</v>
      </c>
      <c r="E295" s="6">
        <v>45135.0</v>
      </c>
      <c r="F295" s="6">
        <v>45168.0</v>
      </c>
      <c r="G295" s="7">
        <v>1.482129947E9</v>
      </c>
      <c r="H295" s="2" t="s">
        <v>50</v>
      </c>
    </row>
    <row r="296" ht="14.25" customHeight="1">
      <c r="A296" s="2" t="s">
        <v>347</v>
      </c>
      <c r="B296" s="2" t="s">
        <v>30</v>
      </c>
      <c r="C296" s="2" t="s">
        <v>42</v>
      </c>
      <c r="D296" s="8" t="s">
        <v>632</v>
      </c>
      <c r="E296" s="6">
        <v>45135.0</v>
      </c>
      <c r="F296" s="6">
        <v>45240.0</v>
      </c>
      <c r="G296" s="7">
        <v>5.13461094E9</v>
      </c>
      <c r="H296" s="2" t="s">
        <v>44</v>
      </c>
    </row>
    <row r="297" ht="14.25" customHeight="1">
      <c r="A297" s="2" t="s">
        <v>348</v>
      </c>
      <c r="B297" s="2" t="s">
        <v>12</v>
      </c>
      <c r="C297" s="2" t="s">
        <v>42</v>
      </c>
      <c r="D297" s="8" t="s">
        <v>603</v>
      </c>
      <c r="E297" s="6">
        <v>45135.0</v>
      </c>
      <c r="F297" s="6">
        <v>45357.0</v>
      </c>
      <c r="G297" s="7">
        <v>3.44333067E8</v>
      </c>
      <c r="H297" s="2" t="s">
        <v>33</v>
      </c>
    </row>
    <row r="298" ht="14.25" customHeight="1">
      <c r="A298" s="2" t="s">
        <v>349</v>
      </c>
      <c r="B298" s="2" t="s">
        <v>18</v>
      </c>
      <c r="C298" s="2" t="s">
        <v>31</v>
      </c>
      <c r="D298" s="8" t="s">
        <v>636</v>
      </c>
      <c r="E298" s="6">
        <v>45136.0</v>
      </c>
      <c r="F298" s="6">
        <v>45177.0</v>
      </c>
      <c r="G298" s="7">
        <v>2.34761931E9</v>
      </c>
      <c r="H298" s="2" t="s">
        <v>50</v>
      </c>
    </row>
    <row r="299" ht="14.25" customHeight="1">
      <c r="A299" s="2" t="s">
        <v>350</v>
      </c>
      <c r="B299" s="2" t="s">
        <v>60</v>
      </c>
      <c r="C299" s="2" t="s">
        <v>13</v>
      </c>
      <c r="D299" s="8" t="s">
        <v>619</v>
      </c>
      <c r="E299" s="6">
        <v>45136.0</v>
      </c>
      <c r="F299" s="6">
        <v>45380.0</v>
      </c>
      <c r="G299" s="7">
        <v>2.42239766E9</v>
      </c>
      <c r="H299" s="2" t="s">
        <v>21</v>
      </c>
    </row>
    <row r="300" ht="14.25" customHeight="1">
      <c r="A300" s="2" t="s">
        <v>351</v>
      </c>
      <c r="B300" s="2" t="s">
        <v>35</v>
      </c>
      <c r="C300" s="2" t="s">
        <v>36</v>
      </c>
      <c r="D300" s="2" t="s">
        <v>37</v>
      </c>
      <c r="E300" s="6">
        <v>45137.0</v>
      </c>
      <c r="F300" s="6">
        <v>45306.0</v>
      </c>
      <c r="G300" s="7">
        <v>5.93562614E8</v>
      </c>
      <c r="H300" s="2" t="s">
        <v>44</v>
      </c>
    </row>
    <row r="301" ht="14.25" customHeight="1">
      <c r="A301" s="2" t="s">
        <v>352</v>
      </c>
      <c r="B301" s="2" t="s">
        <v>60</v>
      </c>
      <c r="C301" s="2" t="s">
        <v>13</v>
      </c>
      <c r="D301" s="8" t="s">
        <v>582</v>
      </c>
      <c r="E301" s="6">
        <v>45137.0</v>
      </c>
      <c r="F301" s="6">
        <v>45248.0</v>
      </c>
      <c r="G301" s="7">
        <v>3.507077254E9</v>
      </c>
      <c r="H301" s="2" t="s">
        <v>21</v>
      </c>
    </row>
    <row r="302" ht="14.25" customHeight="1">
      <c r="A302" s="2" t="s">
        <v>353</v>
      </c>
      <c r="B302" s="2" t="s">
        <v>18</v>
      </c>
      <c r="C302" s="2" t="s">
        <v>24</v>
      </c>
      <c r="D302" s="8" t="s">
        <v>618</v>
      </c>
      <c r="E302" s="6">
        <v>45138.0</v>
      </c>
      <c r="F302" s="6">
        <v>45446.0</v>
      </c>
      <c r="G302" s="7">
        <v>7.83003102E9</v>
      </c>
      <c r="H302" s="8" t="s">
        <v>581</v>
      </c>
    </row>
    <row r="303" ht="14.25" customHeight="1">
      <c r="A303" s="2" t="s">
        <v>354</v>
      </c>
      <c r="B303" s="2" t="s">
        <v>60</v>
      </c>
      <c r="C303" s="2" t="s">
        <v>19</v>
      </c>
      <c r="D303" s="8" t="s">
        <v>616</v>
      </c>
      <c r="E303" s="6">
        <v>45138.0</v>
      </c>
      <c r="F303" s="6">
        <v>45260.0</v>
      </c>
      <c r="G303" s="7">
        <v>3.76787596E9</v>
      </c>
    </row>
    <row r="304" ht="14.25" customHeight="1">
      <c r="A304" s="2" t="s">
        <v>355</v>
      </c>
      <c r="B304" s="2" t="s">
        <v>18</v>
      </c>
      <c r="C304" s="2" t="s">
        <v>36</v>
      </c>
      <c r="D304" s="8" t="s">
        <v>634</v>
      </c>
      <c r="E304" s="6">
        <v>45140.0</v>
      </c>
      <c r="F304" s="6">
        <v>45090.0</v>
      </c>
      <c r="G304" s="7">
        <v>8.403683934E9</v>
      </c>
      <c r="H304" s="2" t="s">
        <v>50</v>
      </c>
    </row>
    <row r="305" ht="14.25" customHeight="1">
      <c r="A305" s="2" t="s">
        <v>356</v>
      </c>
      <c r="B305" s="2" t="s">
        <v>60</v>
      </c>
      <c r="C305" s="2" t="s">
        <v>36</v>
      </c>
      <c r="D305" s="8" t="s">
        <v>628</v>
      </c>
      <c r="E305" s="6">
        <v>45140.0</v>
      </c>
      <c r="F305" s="6">
        <v>45473.0</v>
      </c>
      <c r="G305" s="7">
        <v>4.381657926E9</v>
      </c>
      <c r="H305" s="8" t="s">
        <v>581</v>
      </c>
    </row>
    <row r="306" ht="14.25" customHeight="1">
      <c r="A306" s="2" t="s">
        <v>357</v>
      </c>
      <c r="B306" s="2" t="s">
        <v>30</v>
      </c>
      <c r="C306" s="2" t="s">
        <v>42</v>
      </c>
      <c r="D306" s="8" t="s">
        <v>632</v>
      </c>
      <c r="E306" s="6">
        <v>45140.0</v>
      </c>
      <c r="F306" s="6">
        <v>45487.0</v>
      </c>
      <c r="G306" s="7">
        <v>1.717899076E9</v>
      </c>
      <c r="H306" s="2" t="s">
        <v>44</v>
      </c>
    </row>
    <row r="307" ht="14.25" customHeight="1">
      <c r="A307" s="2" t="s">
        <v>358</v>
      </c>
      <c r="B307" s="2" t="s">
        <v>12</v>
      </c>
      <c r="C307" s="2" t="s">
        <v>48</v>
      </c>
      <c r="D307" s="8" t="s">
        <v>602</v>
      </c>
      <c r="E307" s="6">
        <v>45143.0</v>
      </c>
      <c r="F307" s="6">
        <v>45201.0</v>
      </c>
      <c r="G307" s="7">
        <v>2.31308784E8</v>
      </c>
      <c r="H307" s="2" t="s">
        <v>33</v>
      </c>
    </row>
    <row r="308" ht="14.25" customHeight="1">
      <c r="A308" s="2" t="s">
        <v>359</v>
      </c>
      <c r="B308" s="2" t="s">
        <v>18</v>
      </c>
      <c r="C308" s="2" t="s">
        <v>24</v>
      </c>
      <c r="D308" s="8" t="s">
        <v>618</v>
      </c>
      <c r="E308" s="6">
        <v>45143.0</v>
      </c>
      <c r="F308" s="6">
        <v>45254.0</v>
      </c>
      <c r="G308" s="7">
        <v>1.694502492E9</v>
      </c>
      <c r="H308" s="8" t="s">
        <v>573</v>
      </c>
    </row>
    <row r="309" ht="14.25" customHeight="1">
      <c r="A309" s="2" t="s">
        <v>360</v>
      </c>
      <c r="B309" s="2" t="s">
        <v>18</v>
      </c>
      <c r="C309" s="2" t="s">
        <v>24</v>
      </c>
      <c r="D309" s="8" t="s">
        <v>618</v>
      </c>
      <c r="E309" s="6">
        <v>45144.0</v>
      </c>
      <c r="F309" s="6">
        <v>45215.0</v>
      </c>
      <c r="G309" s="7">
        <v>6.044403214E9</v>
      </c>
      <c r="H309" s="2" t="s">
        <v>33</v>
      </c>
    </row>
    <row r="310" ht="14.25" customHeight="1">
      <c r="A310" s="2" t="s">
        <v>361</v>
      </c>
      <c r="B310" s="2" t="s">
        <v>60</v>
      </c>
      <c r="C310" s="2" t="s">
        <v>39</v>
      </c>
      <c r="D310" s="8" t="s">
        <v>626</v>
      </c>
      <c r="E310" s="6">
        <v>45144.0</v>
      </c>
      <c r="F310" s="6">
        <v>45187.0</v>
      </c>
      <c r="G310" s="7">
        <v>4.486128429E9</v>
      </c>
    </row>
    <row r="311" ht="14.25" customHeight="1">
      <c r="A311" s="2" t="s">
        <v>362</v>
      </c>
      <c r="B311" s="2" t="s">
        <v>12</v>
      </c>
      <c r="C311" s="2" t="s">
        <v>42</v>
      </c>
      <c r="D311" s="8" t="s">
        <v>603</v>
      </c>
      <c r="E311" s="6">
        <v>45145.0</v>
      </c>
      <c r="F311" s="6">
        <v>45397.0</v>
      </c>
      <c r="G311" s="7">
        <v>8.73718114E8</v>
      </c>
      <c r="H311" s="2" t="s">
        <v>44</v>
      </c>
    </row>
    <row r="312" ht="14.25" customHeight="1">
      <c r="A312" s="2" t="s">
        <v>363</v>
      </c>
      <c r="B312" s="2" t="s">
        <v>35</v>
      </c>
      <c r="C312" s="2" t="s">
        <v>39</v>
      </c>
      <c r="D312" s="2" t="s">
        <v>145</v>
      </c>
      <c r="E312" s="6">
        <v>45147.0</v>
      </c>
      <c r="F312" s="6">
        <v>45343.0</v>
      </c>
      <c r="G312" s="7">
        <v>2.30467768E8</v>
      </c>
      <c r="H312" s="2" t="s">
        <v>67</v>
      </c>
    </row>
    <row r="313" ht="14.25" customHeight="1">
      <c r="A313" s="2" t="s">
        <v>364</v>
      </c>
      <c r="B313" s="2" t="s">
        <v>12</v>
      </c>
      <c r="C313" s="2" t="s">
        <v>36</v>
      </c>
      <c r="D313" s="8" t="s">
        <v>578</v>
      </c>
      <c r="E313" s="6">
        <v>45148.0</v>
      </c>
      <c r="F313" s="6">
        <v>45259.0</v>
      </c>
      <c r="G313" s="7">
        <v>6.88191398E8</v>
      </c>
      <c r="H313" s="2" t="s">
        <v>44</v>
      </c>
    </row>
    <row r="314" ht="14.25" customHeight="1">
      <c r="A314" s="2" t="s">
        <v>365</v>
      </c>
      <c r="B314" s="2" t="s">
        <v>18</v>
      </c>
      <c r="C314" s="2" t="s">
        <v>36</v>
      </c>
      <c r="D314" s="8" t="s">
        <v>634</v>
      </c>
      <c r="E314" s="6">
        <v>45149.0</v>
      </c>
      <c r="F314" s="6">
        <v>45285.0</v>
      </c>
      <c r="G314" s="7">
        <v>2.697606072E9</v>
      </c>
      <c r="H314" s="2" t="s">
        <v>44</v>
      </c>
    </row>
    <row r="315" ht="14.25" customHeight="1">
      <c r="A315" s="2" t="s">
        <v>366</v>
      </c>
      <c r="B315" s="2" t="s">
        <v>12</v>
      </c>
      <c r="C315" s="2" t="s">
        <v>39</v>
      </c>
      <c r="D315" s="8" t="s">
        <v>591</v>
      </c>
      <c r="E315" s="6">
        <v>45151.0</v>
      </c>
      <c r="F315" s="6">
        <v>45311.0</v>
      </c>
      <c r="G315" s="7">
        <v>9.90744889E8</v>
      </c>
      <c r="H315" s="8" t="s">
        <v>573</v>
      </c>
    </row>
    <row r="316" ht="14.25" customHeight="1">
      <c r="A316" s="2" t="s">
        <v>367</v>
      </c>
      <c r="B316" s="2" t="s">
        <v>30</v>
      </c>
      <c r="C316" s="2" t="s">
        <v>36</v>
      </c>
      <c r="D316" s="8" t="s">
        <v>639</v>
      </c>
      <c r="E316" s="6">
        <v>45153.0</v>
      </c>
      <c r="F316" s="6">
        <v>45342.0</v>
      </c>
      <c r="G316" s="7">
        <v>3.212613392E9</v>
      </c>
      <c r="H316" s="2" t="s">
        <v>21</v>
      </c>
    </row>
    <row r="317" ht="14.25" customHeight="1">
      <c r="A317" s="2" t="s">
        <v>368</v>
      </c>
      <c r="B317" s="2" t="s">
        <v>30</v>
      </c>
      <c r="C317" s="2" t="s">
        <v>19</v>
      </c>
      <c r="D317" s="8" t="s">
        <v>623</v>
      </c>
      <c r="E317" s="6">
        <v>45154.0</v>
      </c>
      <c r="F317" s="6">
        <v>45311.0</v>
      </c>
      <c r="G317" s="7">
        <v>8.43044899E8</v>
      </c>
      <c r="H317" s="8" t="s">
        <v>573</v>
      </c>
    </row>
    <row r="318" ht="14.25" customHeight="1">
      <c r="A318" s="2" t="s">
        <v>369</v>
      </c>
      <c r="B318" s="2" t="s">
        <v>35</v>
      </c>
      <c r="C318" s="2" t="s">
        <v>13</v>
      </c>
      <c r="D318" s="2" t="s">
        <v>78</v>
      </c>
      <c r="E318" s="6">
        <v>45154.0</v>
      </c>
      <c r="F318" s="6">
        <v>45341.0</v>
      </c>
      <c r="G318" s="7">
        <v>4.42886883E8</v>
      </c>
    </row>
    <row r="319" ht="14.25" customHeight="1">
      <c r="A319" s="2" t="s">
        <v>370</v>
      </c>
      <c r="B319" s="2" t="s">
        <v>18</v>
      </c>
      <c r="C319" s="2" t="s">
        <v>24</v>
      </c>
      <c r="D319" s="8" t="s">
        <v>618</v>
      </c>
      <c r="E319" s="6">
        <v>45155.0</v>
      </c>
      <c r="F319" s="6">
        <v>45382.0</v>
      </c>
      <c r="G319" s="7">
        <v>8.993425036E9</v>
      </c>
      <c r="H319" s="2" t="s">
        <v>50</v>
      </c>
    </row>
    <row r="320" ht="14.25" customHeight="1">
      <c r="A320" s="2" t="s">
        <v>371</v>
      </c>
      <c r="B320" s="2" t="s">
        <v>18</v>
      </c>
      <c r="C320" s="2" t="s">
        <v>36</v>
      </c>
      <c r="D320" s="8" t="s">
        <v>634</v>
      </c>
      <c r="E320" s="6">
        <v>45157.0</v>
      </c>
      <c r="F320" s="6">
        <v>45222.0</v>
      </c>
      <c r="G320" s="7">
        <v>4.764842863E9</v>
      </c>
      <c r="H320" s="2" t="s">
        <v>21</v>
      </c>
    </row>
    <row r="321" ht="14.25" customHeight="1">
      <c r="A321" s="2" t="s">
        <v>372</v>
      </c>
      <c r="B321" s="2" t="s">
        <v>12</v>
      </c>
      <c r="C321" s="2" t="s">
        <v>42</v>
      </c>
      <c r="D321" s="8" t="s">
        <v>603</v>
      </c>
      <c r="E321" s="6">
        <v>45157.0</v>
      </c>
      <c r="F321" s="6">
        <v>45305.0</v>
      </c>
      <c r="G321" s="7">
        <v>6.16245876E8</v>
      </c>
    </row>
    <row r="322" ht="14.25" customHeight="1">
      <c r="A322" s="2" t="s">
        <v>373</v>
      </c>
      <c r="B322" s="2" t="s">
        <v>60</v>
      </c>
      <c r="C322" s="2" t="s">
        <v>19</v>
      </c>
      <c r="D322" s="8" t="s">
        <v>616</v>
      </c>
      <c r="E322" s="6">
        <v>45158.0</v>
      </c>
      <c r="F322" s="6">
        <v>45284.0</v>
      </c>
      <c r="G322" s="7">
        <v>2.466228274E9</v>
      </c>
      <c r="H322" s="8" t="s">
        <v>581</v>
      </c>
    </row>
    <row r="323" ht="14.25" customHeight="1">
      <c r="A323" s="2" t="s">
        <v>374</v>
      </c>
      <c r="B323" s="2" t="s">
        <v>60</v>
      </c>
      <c r="C323" s="2" t="s">
        <v>31</v>
      </c>
      <c r="D323" s="8" t="s">
        <v>599</v>
      </c>
      <c r="E323" s="6">
        <v>45159.0</v>
      </c>
      <c r="F323" s="6">
        <v>45378.0</v>
      </c>
      <c r="G323" s="7">
        <v>3.270114898E9</v>
      </c>
      <c r="H323" s="2" t="s">
        <v>50</v>
      </c>
    </row>
    <row r="324" ht="14.25" customHeight="1">
      <c r="A324" s="2" t="s">
        <v>375</v>
      </c>
      <c r="B324" s="2" t="s">
        <v>60</v>
      </c>
      <c r="C324" s="2" t="s">
        <v>24</v>
      </c>
      <c r="D324" s="8" t="s">
        <v>640</v>
      </c>
      <c r="E324" s="6">
        <v>45159.0</v>
      </c>
      <c r="F324" s="6">
        <v>45272.0</v>
      </c>
      <c r="G324" s="7">
        <v>2.841617618E9</v>
      </c>
      <c r="H324" s="2" t="s">
        <v>50</v>
      </c>
    </row>
    <row r="325" ht="14.25" customHeight="1">
      <c r="A325" s="2" t="s">
        <v>376</v>
      </c>
      <c r="B325" s="2" t="s">
        <v>60</v>
      </c>
      <c r="C325" s="2" t="s">
        <v>24</v>
      </c>
      <c r="D325" s="8" t="s">
        <v>640</v>
      </c>
      <c r="E325" s="6">
        <v>45160.0</v>
      </c>
      <c r="F325" s="6">
        <v>45415.0</v>
      </c>
      <c r="G325" s="7">
        <v>2.178901994E9</v>
      </c>
    </row>
    <row r="326" ht="14.25" customHeight="1">
      <c r="A326" s="2" t="s">
        <v>377</v>
      </c>
      <c r="B326" s="2" t="s">
        <v>18</v>
      </c>
      <c r="C326" s="2" t="s">
        <v>31</v>
      </c>
      <c r="D326" s="8" t="s">
        <v>636</v>
      </c>
      <c r="E326" s="6">
        <v>45160.0</v>
      </c>
      <c r="F326" s="6">
        <v>45496.0</v>
      </c>
      <c r="G326" s="7">
        <v>4.033563886E9</v>
      </c>
    </row>
    <row r="327" ht="14.25" customHeight="1">
      <c r="A327" s="2" t="s">
        <v>378</v>
      </c>
      <c r="B327" s="2" t="s">
        <v>30</v>
      </c>
      <c r="C327" s="2" t="s">
        <v>24</v>
      </c>
      <c r="D327" s="8" t="s">
        <v>637</v>
      </c>
      <c r="E327" s="6">
        <v>45160.0</v>
      </c>
      <c r="F327" s="6">
        <v>45197.0</v>
      </c>
      <c r="G327" s="7">
        <v>9.65725164E8</v>
      </c>
    </row>
    <row r="328" ht="14.25" customHeight="1">
      <c r="A328" s="2" t="s">
        <v>379</v>
      </c>
      <c r="B328" s="2" t="s">
        <v>12</v>
      </c>
      <c r="C328" s="2" t="s">
        <v>24</v>
      </c>
      <c r="D328" s="8" t="s">
        <v>610</v>
      </c>
      <c r="E328" s="6">
        <v>45161.0</v>
      </c>
      <c r="F328" s="6">
        <v>45199.0</v>
      </c>
      <c r="G328" s="7">
        <v>6.47397365E8</v>
      </c>
      <c r="H328" s="2" t="s">
        <v>50</v>
      </c>
    </row>
    <row r="329" ht="14.25" customHeight="1">
      <c r="A329" s="2" t="s">
        <v>380</v>
      </c>
      <c r="B329" s="2" t="s">
        <v>30</v>
      </c>
      <c r="C329" s="2" t="s">
        <v>24</v>
      </c>
      <c r="D329" s="8" t="s">
        <v>637</v>
      </c>
      <c r="E329" s="6">
        <v>45161.0</v>
      </c>
      <c r="F329" s="6">
        <v>45100.0</v>
      </c>
      <c r="G329" s="7">
        <v>7.75460621E8</v>
      </c>
      <c r="H329" s="8" t="s">
        <v>573</v>
      </c>
    </row>
    <row r="330" ht="14.25" customHeight="1">
      <c r="A330" s="2" t="s">
        <v>381</v>
      </c>
      <c r="B330" s="2" t="s">
        <v>18</v>
      </c>
      <c r="C330" s="2" t="s">
        <v>39</v>
      </c>
      <c r="D330" s="8" t="s">
        <v>577</v>
      </c>
      <c r="E330" s="6">
        <v>45162.0</v>
      </c>
      <c r="F330" s="6">
        <v>45516.0</v>
      </c>
      <c r="G330" s="7">
        <v>7.165201683E9</v>
      </c>
      <c r="H330" s="2" t="s">
        <v>44</v>
      </c>
    </row>
    <row r="331" ht="14.25" customHeight="1">
      <c r="A331" s="2" t="s">
        <v>382</v>
      </c>
      <c r="B331" s="2" t="s">
        <v>35</v>
      </c>
      <c r="C331" s="2" t="s">
        <v>48</v>
      </c>
      <c r="D331" s="2" t="s">
        <v>49</v>
      </c>
      <c r="E331" s="6">
        <v>45162.0</v>
      </c>
      <c r="F331" s="6">
        <v>45254.0</v>
      </c>
      <c r="G331" s="7">
        <v>5.57418865E8</v>
      </c>
    </row>
    <row r="332" ht="14.25" customHeight="1">
      <c r="A332" s="2" t="s">
        <v>383</v>
      </c>
      <c r="B332" s="2" t="s">
        <v>18</v>
      </c>
      <c r="C332" s="2" t="s">
        <v>48</v>
      </c>
      <c r="D332" s="8" t="s">
        <v>629</v>
      </c>
      <c r="E332" s="6">
        <v>45163.0</v>
      </c>
      <c r="F332" s="6">
        <v>45219.0</v>
      </c>
      <c r="G332" s="7">
        <v>4.732793482E9</v>
      </c>
      <c r="H332" s="2" t="s">
        <v>67</v>
      </c>
    </row>
    <row r="333" ht="14.25" customHeight="1">
      <c r="A333" s="2" t="s">
        <v>384</v>
      </c>
      <c r="B333" s="2" t="s">
        <v>30</v>
      </c>
      <c r="C333" s="2" t="s">
        <v>39</v>
      </c>
      <c r="D333" s="8" t="s">
        <v>590</v>
      </c>
      <c r="E333" s="6">
        <v>45163.0</v>
      </c>
      <c r="F333" s="6">
        <v>45258.0</v>
      </c>
      <c r="G333" s="7">
        <v>2.993133974E9</v>
      </c>
      <c r="H333" s="2" t="s">
        <v>67</v>
      </c>
    </row>
    <row r="334" ht="14.25" customHeight="1">
      <c r="A334" s="2" t="s">
        <v>385</v>
      </c>
      <c r="B334" s="2" t="s">
        <v>60</v>
      </c>
      <c r="C334" s="2" t="s">
        <v>13</v>
      </c>
      <c r="D334" s="8" t="s">
        <v>582</v>
      </c>
      <c r="E334" s="6">
        <v>45164.0</v>
      </c>
      <c r="F334" s="6">
        <v>45456.0</v>
      </c>
      <c r="G334" s="7">
        <v>4.720470438E9</v>
      </c>
      <c r="H334" s="2" t="s">
        <v>33</v>
      </c>
    </row>
    <row r="335" ht="14.25" customHeight="1">
      <c r="A335" s="2" t="s">
        <v>386</v>
      </c>
      <c r="B335" s="2" t="s">
        <v>30</v>
      </c>
      <c r="C335" s="2" t="s">
        <v>31</v>
      </c>
      <c r="D335" s="8" t="s">
        <v>585</v>
      </c>
      <c r="E335" s="6">
        <v>45167.0</v>
      </c>
      <c r="F335" s="6">
        <v>45453.0</v>
      </c>
      <c r="G335" s="7">
        <v>3.999421618E9</v>
      </c>
      <c r="H335" s="2" t="s">
        <v>67</v>
      </c>
    </row>
    <row r="336" ht="14.25" customHeight="1">
      <c r="A336" s="2" t="s">
        <v>387</v>
      </c>
      <c r="B336" s="2" t="s">
        <v>30</v>
      </c>
      <c r="C336" s="2" t="s">
        <v>19</v>
      </c>
      <c r="D336" s="8" t="s">
        <v>624</v>
      </c>
      <c r="E336" s="6">
        <v>45168.0</v>
      </c>
      <c r="F336" s="6">
        <v>45511.0</v>
      </c>
      <c r="G336" s="7">
        <v>1.118159098E9</v>
      </c>
      <c r="H336" s="2" t="s">
        <v>21</v>
      </c>
    </row>
    <row r="337" ht="14.25" customHeight="1">
      <c r="A337" s="2" t="s">
        <v>388</v>
      </c>
      <c r="B337" s="2" t="s">
        <v>18</v>
      </c>
      <c r="C337" s="2" t="s">
        <v>13</v>
      </c>
      <c r="D337" s="8" t="s">
        <v>580</v>
      </c>
      <c r="E337" s="6">
        <v>45168.0</v>
      </c>
      <c r="F337" s="6">
        <v>45530.0</v>
      </c>
      <c r="G337" s="7">
        <v>9.891638971E9</v>
      </c>
    </row>
    <row r="338" ht="14.25" customHeight="1">
      <c r="A338" s="2" t="s">
        <v>389</v>
      </c>
      <c r="B338" s="2" t="s">
        <v>35</v>
      </c>
      <c r="C338" s="2" t="s">
        <v>39</v>
      </c>
      <c r="D338" s="2" t="s">
        <v>145</v>
      </c>
      <c r="E338" s="6">
        <v>45168.0</v>
      </c>
      <c r="F338" s="6">
        <v>45236.0</v>
      </c>
      <c r="G338" s="7">
        <v>2.46997207E8</v>
      </c>
      <c r="H338" s="2" t="s">
        <v>50</v>
      </c>
    </row>
    <row r="339" ht="14.25" customHeight="1">
      <c r="A339" s="2" t="s">
        <v>390</v>
      </c>
      <c r="B339" s="2" t="s">
        <v>60</v>
      </c>
      <c r="C339" s="2" t="s">
        <v>36</v>
      </c>
      <c r="D339" s="8" t="s">
        <v>628</v>
      </c>
      <c r="E339" s="6">
        <v>45169.0</v>
      </c>
      <c r="F339" s="6">
        <v>45200.0</v>
      </c>
      <c r="G339" s="7">
        <v>4.163473786E9</v>
      </c>
      <c r="H339" s="2" t="s">
        <v>33</v>
      </c>
    </row>
    <row r="340" ht="14.25" customHeight="1">
      <c r="A340" s="2" t="s">
        <v>391</v>
      </c>
      <c r="B340" s="2" t="s">
        <v>18</v>
      </c>
      <c r="C340" s="2" t="s">
        <v>19</v>
      </c>
      <c r="D340" s="8" t="s">
        <v>633</v>
      </c>
      <c r="E340" s="6">
        <v>45169.0</v>
      </c>
      <c r="F340" s="6">
        <v>45267.0</v>
      </c>
      <c r="G340" s="7">
        <v>2.007900262E9</v>
      </c>
      <c r="H340" s="8" t="s">
        <v>581</v>
      </c>
    </row>
    <row r="341" ht="14.25" customHeight="1">
      <c r="A341" s="2" t="s">
        <v>392</v>
      </c>
      <c r="B341" s="2" t="s">
        <v>18</v>
      </c>
      <c r="C341" s="2" t="s">
        <v>31</v>
      </c>
      <c r="D341" s="8" t="s">
        <v>636</v>
      </c>
      <c r="E341" s="6">
        <v>45170.0</v>
      </c>
      <c r="F341" s="6">
        <v>45454.0</v>
      </c>
      <c r="G341" s="7">
        <v>9.92149876E9</v>
      </c>
      <c r="H341" s="2" t="s">
        <v>50</v>
      </c>
    </row>
    <row r="342" ht="14.25" customHeight="1">
      <c r="A342" s="2" t="s">
        <v>393</v>
      </c>
      <c r="B342" s="2" t="s">
        <v>60</v>
      </c>
      <c r="C342" s="2" t="s">
        <v>36</v>
      </c>
      <c r="D342" s="8" t="s">
        <v>628</v>
      </c>
      <c r="E342" s="6">
        <v>45171.0</v>
      </c>
      <c r="F342" s="6">
        <v>45288.0</v>
      </c>
      <c r="G342" s="7">
        <v>2.56273331E9</v>
      </c>
      <c r="H342" s="2" t="s">
        <v>67</v>
      </c>
    </row>
    <row r="343" ht="14.25" customHeight="1">
      <c r="A343" s="2" t="s">
        <v>394</v>
      </c>
      <c r="B343" s="2" t="s">
        <v>12</v>
      </c>
      <c r="C343" s="2" t="s">
        <v>48</v>
      </c>
      <c r="D343" s="8" t="s">
        <v>602</v>
      </c>
      <c r="E343" s="6">
        <v>45172.0</v>
      </c>
      <c r="F343" s="6">
        <v>45435.0</v>
      </c>
      <c r="G343" s="7">
        <v>8.94294565E8</v>
      </c>
      <c r="H343" s="2" t="s">
        <v>50</v>
      </c>
    </row>
    <row r="344" ht="14.25" customHeight="1">
      <c r="A344" s="2" t="s">
        <v>395</v>
      </c>
      <c r="B344" s="2" t="s">
        <v>30</v>
      </c>
      <c r="C344" s="2" t="s">
        <v>19</v>
      </c>
      <c r="D344" s="8" t="s">
        <v>624</v>
      </c>
      <c r="E344" s="6">
        <v>45173.0</v>
      </c>
      <c r="F344" s="6">
        <v>45340.0</v>
      </c>
      <c r="G344" s="7">
        <v>6.61378979E8</v>
      </c>
      <c r="H344" s="8" t="s">
        <v>581</v>
      </c>
    </row>
    <row r="345" ht="14.25" customHeight="1">
      <c r="A345" s="2" t="s">
        <v>396</v>
      </c>
      <c r="B345" s="2" t="s">
        <v>60</v>
      </c>
      <c r="C345" s="2" t="s">
        <v>36</v>
      </c>
      <c r="D345" s="8" t="s">
        <v>628</v>
      </c>
      <c r="E345" s="6">
        <v>45175.0</v>
      </c>
      <c r="F345" s="6">
        <v>45316.0</v>
      </c>
      <c r="G345" s="7">
        <v>2.081376801E9</v>
      </c>
    </row>
    <row r="346" ht="14.25" customHeight="1">
      <c r="A346" s="2" t="s">
        <v>397</v>
      </c>
      <c r="B346" s="2" t="s">
        <v>35</v>
      </c>
      <c r="C346" s="2" t="s">
        <v>31</v>
      </c>
      <c r="D346" s="2" t="s">
        <v>91</v>
      </c>
      <c r="E346" s="6">
        <v>45177.0</v>
      </c>
      <c r="F346" s="6">
        <v>45477.0</v>
      </c>
      <c r="G346" s="7">
        <v>6.09956841E8</v>
      </c>
      <c r="H346" s="2" t="s">
        <v>67</v>
      </c>
    </row>
    <row r="347" ht="14.25" customHeight="1">
      <c r="A347" s="2" t="s">
        <v>398</v>
      </c>
      <c r="B347" s="2" t="s">
        <v>18</v>
      </c>
      <c r="C347" s="2" t="s">
        <v>48</v>
      </c>
      <c r="D347" s="8" t="s">
        <v>629</v>
      </c>
      <c r="E347" s="6">
        <v>45178.0</v>
      </c>
      <c r="F347" s="6">
        <v>45449.0</v>
      </c>
      <c r="G347" s="7">
        <v>4.372183615E9</v>
      </c>
      <c r="H347" s="2" t="s">
        <v>50</v>
      </c>
    </row>
    <row r="348" ht="14.25" customHeight="1">
      <c r="A348" s="2" t="s">
        <v>399</v>
      </c>
      <c r="B348" s="2" t="s">
        <v>18</v>
      </c>
      <c r="C348" s="2" t="s">
        <v>13</v>
      </c>
      <c r="D348" s="8" t="s">
        <v>580</v>
      </c>
      <c r="E348" s="6">
        <v>45178.0</v>
      </c>
      <c r="F348" s="6">
        <v>45540.0</v>
      </c>
      <c r="G348" s="7">
        <v>7.734024053E9</v>
      </c>
      <c r="H348" s="8" t="s">
        <v>581</v>
      </c>
    </row>
    <row r="349" ht="14.25" customHeight="1">
      <c r="A349" s="2" t="s">
        <v>400</v>
      </c>
      <c r="B349" s="2" t="s">
        <v>60</v>
      </c>
      <c r="C349" s="2" t="s">
        <v>13</v>
      </c>
      <c r="D349" s="8" t="s">
        <v>582</v>
      </c>
      <c r="E349" s="6">
        <v>45178.0</v>
      </c>
      <c r="F349" s="6">
        <v>45457.0</v>
      </c>
      <c r="G349" s="7">
        <v>2.23729528E9</v>
      </c>
      <c r="H349" s="8" t="s">
        <v>573</v>
      </c>
    </row>
    <row r="350" ht="14.25" customHeight="1">
      <c r="A350" s="2" t="s">
        <v>401</v>
      </c>
      <c r="B350" s="2" t="s">
        <v>30</v>
      </c>
      <c r="C350" s="2" t="s">
        <v>36</v>
      </c>
      <c r="D350" s="8" t="s">
        <v>639</v>
      </c>
      <c r="E350" s="6">
        <v>45178.0</v>
      </c>
      <c r="F350" s="6">
        <v>45279.0</v>
      </c>
      <c r="G350" s="7">
        <v>4.595910673E9</v>
      </c>
      <c r="H350" s="2" t="s">
        <v>33</v>
      </c>
    </row>
    <row r="351" ht="14.25" customHeight="1">
      <c r="A351" s="2" t="s">
        <v>402</v>
      </c>
      <c r="B351" s="2" t="s">
        <v>30</v>
      </c>
      <c r="C351" s="2" t="s">
        <v>19</v>
      </c>
      <c r="D351" s="8" t="s">
        <v>624</v>
      </c>
      <c r="E351" s="6">
        <v>45179.0</v>
      </c>
      <c r="F351" s="6">
        <v>45400.0</v>
      </c>
      <c r="G351" s="7">
        <v>5.159672072E9</v>
      </c>
      <c r="H351" s="2" t="s">
        <v>44</v>
      </c>
    </row>
    <row r="352" ht="14.25" customHeight="1">
      <c r="A352" s="2" t="s">
        <v>403</v>
      </c>
      <c r="B352" s="2" t="s">
        <v>18</v>
      </c>
      <c r="C352" s="2" t="s">
        <v>31</v>
      </c>
      <c r="D352" s="8" t="s">
        <v>636</v>
      </c>
      <c r="E352" s="6">
        <v>45180.0</v>
      </c>
      <c r="F352" s="6">
        <v>45270.0</v>
      </c>
      <c r="G352" s="7">
        <v>6.721798052E9</v>
      </c>
    </row>
    <row r="353" ht="14.25" customHeight="1">
      <c r="A353" s="2" t="s">
        <v>404</v>
      </c>
      <c r="B353" s="2" t="s">
        <v>30</v>
      </c>
      <c r="C353" s="2" t="s">
        <v>31</v>
      </c>
      <c r="D353" s="8" t="s">
        <v>595</v>
      </c>
      <c r="E353" s="6">
        <v>45181.0</v>
      </c>
      <c r="F353" s="6">
        <v>45455.0</v>
      </c>
      <c r="G353" s="7">
        <v>4.769425566E9</v>
      </c>
      <c r="H353" s="2" t="s">
        <v>44</v>
      </c>
    </row>
    <row r="354" ht="14.25" customHeight="1">
      <c r="A354" s="2" t="s">
        <v>405</v>
      </c>
      <c r="B354" s="2" t="s">
        <v>30</v>
      </c>
      <c r="C354" s="2" t="s">
        <v>24</v>
      </c>
      <c r="D354" s="8" t="s">
        <v>612</v>
      </c>
      <c r="E354" s="6">
        <v>45183.0</v>
      </c>
      <c r="F354" s="6">
        <v>45255.0</v>
      </c>
      <c r="G354" s="7">
        <v>1.336819118E9</v>
      </c>
      <c r="H354" s="2" t="s">
        <v>44</v>
      </c>
    </row>
    <row r="355" ht="14.25" customHeight="1">
      <c r="A355" s="2" t="s">
        <v>406</v>
      </c>
      <c r="B355" s="2" t="s">
        <v>35</v>
      </c>
      <c r="C355" s="2" t="s">
        <v>24</v>
      </c>
      <c r="D355" s="2" t="s">
        <v>133</v>
      </c>
      <c r="E355" s="6">
        <v>45184.0</v>
      </c>
      <c r="F355" s="6">
        <v>45534.0</v>
      </c>
      <c r="G355" s="7">
        <v>4.71750376E8</v>
      </c>
      <c r="H355" s="2" t="s">
        <v>33</v>
      </c>
    </row>
    <row r="356" ht="14.25" customHeight="1">
      <c r="A356" s="2" t="s">
        <v>407</v>
      </c>
      <c r="B356" s="2" t="s">
        <v>12</v>
      </c>
      <c r="C356" s="2" t="s">
        <v>31</v>
      </c>
      <c r="D356" s="8" t="s">
        <v>593</v>
      </c>
      <c r="E356" s="6">
        <v>45184.0</v>
      </c>
      <c r="F356" s="6">
        <v>45239.0</v>
      </c>
      <c r="G356" s="7">
        <v>6.28901605E8</v>
      </c>
      <c r="H356" s="2" t="s">
        <v>33</v>
      </c>
    </row>
    <row r="357" ht="14.25" customHeight="1">
      <c r="A357" s="2" t="s">
        <v>408</v>
      </c>
      <c r="B357" s="2" t="s">
        <v>30</v>
      </c>
      <c r="C357" s="2" t="s">
        <v>42</v>
      </c>
      <c r="D357" s="8" t="s">
        <v>627</v>
      </c>
      <c r="E357" s="6">
        <v>45185.0</v>
      </c>
      <c r="F357" s="6">
        <v>45273.0</v>
      </c>
      <c r="G357" s="7">
        <v>1.251866235E9</v>
      </c>
      <c r="H357" s="2" t="s">
        <v>21</v>
      </c>
    </row>
    <row r="358" ht="14.25" customHeight="1">
      <c r="A358" s="2" t="s">
        <v>409</v>
      </c>
      <c r="B358" s="2" t="s">
        <v>12</v>
      </c>
      <c r="C358" s="2" t="s">
        <v>39</v>
      </c>
      <c r="D358" s="8" t="s">
        <v>591</v>
      </c>
      <c r="E358" s="6">
        <v>45185.0</v>
      </c>
      <c r="F358" s="6">
        <v>45404.0</v>
      </c>
      <c r="G358" s="7">
        <v>3.21020182E8</v>
      </c>
      <c r="H358" s="2" t="s">
        <v>50</v>
      </c>
    </row>
    <row r="359" ht="14.25" customHeight="1">
      <c r="A359" s="2" t="s">
        <v>410</v>
      </c>
      <c r="B359" s="2" t="s">
        <v>30</v>
      </c>
      <c r="C359" s="2" t="s">
        <v>13</v>
      </c>
      <c r="D359" s="8" t="s">
        <v>630</v>
      </c>
      <c r="E359" s="6">
        <v>45186.0</v>
      </c>
      <c r="F359" s="6">
        <v>45477.0</v>
      </c>
      <c r="G359" s="7">
        <v>4.533278952E9</v>
      </c>
      <c r="H359" s="8" t="s">
        <v>581</v>
      </c>
    </row>
    <row r="360" ht="14.25" customHeight="1">
      <c r="A360" s="2" t="s">
        <v>411</v>
      </c>
      <c r="B360" s="2" t="s">
        <v>18</v>
      </c>
      <c r="C360" s="2" t="s">
        <v>39</v>
      </c>
      <c r="D360" s="8" t="s">
        <v>577</v>
      </c>
      <c r="E360" s="6">
        <v>45187.0</v>
      </c>
      <c r="F360" s="6">
        <v>45493.0</v>
      </c>
      <c r="G360" s="7">
        <v>4.814287975E9</v>
      </c>
      <c r="H360" s="8" t="s">
        <v>581</v>
      </c>
    </row>
    <row r="361" ht="14.25" customHeight="1">
      <c r="A361" s="2" t="s">
        <v>412</v>
      </c>
      <c r="B361" s="2" t="s">
        <v>30</v>
      </c>
      <c r="C361" s="2" t="s">
        <v>24</v>
      </c>
      <c r="D361" s="8" t="s">
        <v>637</v>
      </c>
      <c r="E361" s="6">
        <v>45188.0</v>
      </c>
      <c r="F361" s="6">
        <v>45328.0</v>
      </c>
      <c r="G361" s="7">
        <v>5.011848562E9</v>
      </c>
      <c r="H361" s="2" t="s">
        <v>67</v>
      </c>
    </row>
    <row r="362" ht="14.25" customHeight="1">
      <c r="A362" s="2" t="s">
        <v>413</v>
      </c>
      <c r="B362" s="2" t="s">
        <v>60</v>
      </c>
      <c r="C362" s="2" t="s">
        <v>36</v>
      </c>
      <c r="D362" s="8" t="s">
        <v>597</v>
      </c>
      <c r="E362" s="6">
        <v>45188.0</v>
      </c>
      <c r="F362" s="6">
        <v>45364.0</v>
      </c>
      <c r="G362" s="7">
        <v>2.187444281E9</v>
      </c>
      <c r="H362" s="2" t="s">
        <v>44</v>
      </c>
    </row>
    <row r="363" ht="14.25" customHeight="1">
      <c r="A363" s="2" t="s">
        <v>414</v>
      </c>
      <c r="B363" s="2" t="s">
        <v>30</v>
      </c>
      <c r="C363" s="2" t="s">
        <v>39</v>
      </c>
      <c r="D363" s="8" t="s">
        <v>638</v>
      </c>
      <c r="E363" s="6">
        <v>45188.0</v>
      </c>
      <c r="F363" s="6">
        <v>45245.0</v>
      </c>
      <c r="G363" s="7">
        <v>3.086567364E9</v>
      </c>
      <c r="H363" s="2" t="s">
        <v>50</v>
      </c>
    </row>
    <row r="364" ht="14.25" customHeight="1">
      <c r="A364" s="2" t="s">
        <v>415</v>
      </c>
      <c r="B364" s="2" t="s">
        <v>30</v>
      </c>
      <c r="C364" s="2" t="s">
        <v>31</v>
      </c>
      <c r="D364" s="8" t="s">
        <v>585</v>
      </c>
      <c r="E364" s="6">
        <v>45191.0</v>
      </c>
      <c r="F364" s="6">
        <v>45375.0</v>
      </c>
      <c r="G364" s="7">
        <v>3.308514312E9</v>
      </c>
      <c r="H364" s="2" t="s">
        <v>21</v>
      </c>
    </row>
    <row r="365" ht="14.25" customHeight="1">
      <c r="A365" s="2" t="s">
        <v>416</v>
      </c>
      <c r="B365" s="2" t="s">
        <v>12</v>
      </c>
      <c r="C365" s="2" t="s">
        <v>42</v>
      </c>
      <c r="D365" s="8" t="s">
        <v>603</v>
      </c>
      <c r="E365" s="6">
        <v>45192.0</v>
      </c>
      <c r="F365" s="6">
        <v>45532.0</v>
      </c>
      <c r="G365" s="7">
        <v>2.83571018E8</v>
      </c>
      <c r="H365" s="8" t="s">
        <v>581</v>
      </c>
    </row>
    <row r="366" ht="14.25" customHeight="1">
      <c r="A366" s="2" t="s">
        <v>417</v>
      </c>
      <c r="B366" s="2" t="s">
        <v>18</v>
      </c>
      <c r="C366" s="2" t="s">
        <v>42</v>
      </c>
      <c r="D366" s="8" t="s">
        <v>621</v>
      </c>
      <c r="E366" s="6">
        <v>45192.0</v>
      </c>
      <c r="F366" s="6">
        <v>45361.0</v>
      </c>
      <c r="G366" s="7">
        <v>7.071217769E9</v>
      </c>
      <c r="H366" s="2" t="s">
        <v>33</v>
      </c>
    </row>
    <row r="367" ht="14.25" customHeight="1">
      <c r="A367" s="2" t="s">
        <v>418</v>
      </c>
      <c r="B367" s="2" t="s">
        <v>30</v>
      </c>
      <c r="C367" s="2" t="s">
        <v>42</v>
      </c>
      <c r="D367" s="8" t="s">
        <v>632</v>
      </c>
      <c r="E367" s="6">
        <v>45193.0</v>
      </c>
      <c r="F367" s="6">
        <v>45267.0</v>
      </c>
      <c r="G367" s="7">
        <v>5.103380941E9</v>
      </c>
      <c r="H367" s="2" t="s">
        <v>33</v>
      </c>
    </row>
    <row r="368" ht="14.25" customHeight="1">
      <c r="A368" s="2" t="s">
        <v>419</v>
      </c>
      <c r="B368" s="2" t="s">
        <v>18</v>
      </c>
      <c r="C368" s="2" t="s">
        <v>39</v>
      </c>
      <c r="D368" s="8" t="s">
        <v>577</v>
      </c>
      <c r="E368" s="6">
        <v>45194.0</v>
      </c>
      <c r="F368" s="6">
        <v>45394.0</v>
      </c>
      <c r="G368" s="7">
        <v>4.342819473E9</v>
      </c>
      <c r="H368" s="2" t="s">
        <v>50</v>
      </c>
    </row>
    <row r="369" ht="14.25" customHeight="1">
      <c r="A369" s="2" t="s">
        <v>420</v>
      </c>
      <c r="B369" s="2" t="s">
        <v>30</v>
      </c>
      <c r="C369" s="2" t="s">
        <v>39</v>
      </c>
      <c r="D369" s="8" t="s">
        <v>638</v>
      </c>
      <c r="E369" s="6">
        <v>45194.0</v>
      </c>
      <c r="F369" s="6">
        <v>45231.0</v>
      </c>
      <c r="G369" s="7">
        <v>6.977377591E9</v>
      </c>
      <c r="H369" s="2" t="s">
        <v>67</v>
      </c>
    </row>
    <row r="370" ht="14.25" customHeight="1">
      <c r="A370" s="2" t="s">
        <v>421</v>
      </c>
      <c r="B370" s="2" t="s">
        <v>30</v>
      </c>
      <c r="C370" s="2" t="s">
        <v>13</v>
      </c>
      <c r="D370" s="8" t="s">
        <v>630</v>
      </c>
      <c r="E370" s="6">
        <v>45195.0</v>
      </c>
      <c r="F370" s="6">
        <v>45460.0</v>
      </c>
      <c r="G370" s="7">
        <v>5.457855102E9</v>
      </c>
      <c r="H370" s="2" t="s">
        <v>21</v>
      </c>
    </row>
    <row r="371" ht="14.25" customHeight="1">
      <c r="A371" s="2" t="s">
        <v>422</v>
      </c>
      <c r="B371" s="2" t="s">
        <v>18</v>
      </c>
      <c r="C371" s="2" t="s">
        <v>31</v>
      </c>
      <c r="D371" s="8" t="s">
        <v>636</v>
      </c>
      <c r="E371" s="6">
        <v>45195.0</v>
      </c>
      <c r="F371" s="6">
        <v>45533.0</v>
      </c>
      <c r="G371" s="7">
        <v>2.054160295E9</v>
      </c>
      <c r="H371" s="2" t="s">
        <v>44</v>
      </c>
    </row>
    <row r="372" ht="14.25" customHeight="1">
      <c r="A372" s="2" t="s">
        <v>423</v>
      </c>
      <c r="B372" s="2" t="s">
        <v>18</v>
      </c>
      <c r="C372" s="2" t="s">
        <v>24</v>
      </c>
      <c r="D372" s="8" t="s">
        <v>618</v>
      </c>
      <c r="E372" s="6">
        <v>45196.0</v>
      </c>
      <c r="F372" s="6">
        <v>45429.0</v>
      </c>
      <c r="G372" s="7">
        <v>2.343750073E9</v>
      </c>
      <c r="H372" s="2" t="s">
        <v>44</v>
      </c>
    </row>
    <row r="373" ht="14.25" customHeight="1">
      <c r="A373" s="2" t="s">
        <v>424</v>
      </c>
      <c r="B373" s="2" t="s">
        <v>18</v>
      </c>
      <c r="C373" s="2" t="s">
        <v>31</v>
      </c>
      <c r="D373" s="8" t="s">
        <v>636</v>
      </c>
      <c r="E373" s="6">
        <v>45197.0</v>
      </c>
      <c r="F373" s="6">
        <v>45426.0</v>
      </c>
      <c r="G373" s="7">
        <v>1.02526981E9</v>
      </c>
      <c r="H373" s="2" t="s">
        <v>33</v>
      </c>
    </row>
    <row r="374" ht="14.25" customHeight="1">
      <c r="A374" s="2" t="s">
        <v>425</v>
      </c>
      <c r="B374" s="2" t="s">
        <v>35</v>
      </c>
      <c r="C374" s="2" t="s">
        <v>13</v>
      </c>
      <c r="D374" s="2" t="s">
        <v>78</v>
      </c>
      <c r="E374" s="6">
        <v>45199.0</v>
      </c>
      <c r="F374" s="6">
        <v>45276.0</v>
      </c>
      <c r="G374" s="7">
        <v>3.50434222E8</v>
      </c>
      <c r="H374" s="2" t="s">
        <v>67</v>
      </c>
    </row>
    <row r="375" ht="14.25" customHeight="1">
      <c r="A375" s="2" t="s">
        <v>426</v>
      </c>
      <c r="B375" s="2" t="s">
        <v>12</v>
      </c>
      <c r="C375" s="2" t="s">
        <v>48</v>
      </c>
      <c r="D375" s="8" t="s">
        <v>602</v>
      </c>
      <c r="E375" s="6">
        <v>45201.0</v>
      </c>
      <c r="F375" s="6">
        <v>45418.0</v>
      </c>
      <c r="G375" s="7">
        <v>4.97218843E8</v>
      </c>
      <c r="H375" s="2" t="s">
        <v>67</v>
      </c>
    </row>
    <row r="376" ht="14.25" customHeight="1">
      <c r="A376" s="2" t="s">
        <v>427</v>
      </c>
      <c r="B376" s="2" t="s">
        <v>12</v>
      </c>
      <c r="C376" s="2" t="s">
        <v>42</v>
      </c>
      <c r="D376" s="8" t="s">
        <v>603</v>
      </c>
      <c r="E376" s="6">
        <v>45201.0</v>
      </c>
      <c r="F376" s="6">
        <v>45499.0</v>
      </c>
      <c r="G376" s="7">
        <v>8.72130533E8</v>
      </c>
      <c r="H376" s="8" t="s">
        <v>573</v>
      </c>
    </row>
    <row r="377" ht="14.25" customHeight="1">
      <c r="A377" s="2" t="s">
        <v>428</v>
      </c>
      <c r="B377" s="2" t="s">
        <v>60</v>
      </c>
      <c r="C377" s="2" t="s">
        <v>24</v>
      </c>
      <c r="D377" s="8" t="s">
        <v>575</v>
      </c>
      <c r="E377" s="6">
        <v>45202.0</v>
      </c>
      <c r="F377" s="6">
        <v>45487.0</v>
      </c>
      <c r="G377" s="7">
        <v>4.90701278E9</v>
      </c>
      <c r="H377" s="2" t="s">
        <v>44</v>
      </c>
    </row>
    <row r="378" ht="14.25" customHeight="1">
      <c r="A378" s="2" t="s">
        <v>429</v>
      </c>
      <c r="B378" s="2" t="s">
        <v>60</v>
      </c>
      <c r="C378" s="2" t="s">
        <v>42</v>
      </c>
      <c r="D378" s="8" t="s">
        <v>587</v>
      </c>
      <c r="E378" s="6">
        <v>45202.0</v>
      </c>
      <c r="F378" s="6">
        <v>45456.0</v>
      </c>
      <c r="G378" s="7">
        <v>3.253936748E9</v>
      </c>
      <c r="H378" s="2" t="s">
        <v>50</v>
      </c>
    </row>
    <row r="379" ht="14.25" customHeight="1">
      <c r="A379" s="2" t="s">
        <v>430</v>
      </c>
      <c r="B379" s="2" t="s">
        <v>18</v>
      </c>
      <c r="C379" s="2" t="s">
        <v>13</v>
      </c>
      <c r="D379" s="8" t="s">
        <v>580</v>
      </c>
      <c r="E379" s="6">
        <v>45202.0</v>
      </c>
      <c r="F379" s="6">
        <v>45474.0</v>
      </c>
      <c r="G379" s="7">
        <v>1.125747425E9</v>
      </c>
    </row>
    <row r="380" ht="14.25" customHeight="1">
      <c r="A380" s="2" t="s">
        <v>431</v>
      </c>
      <c r="B380" s="2" t="s">
        <v>30</v>
      </c>
      <c r="C380" s="2" t="s">
        <v>42</v>
      </c>
      <c r="D380" s="8" t="s">
        <v>632</v>
      </c>
      <c r="E380" s="6">
        <v>45202.0</v>
      </c>
      <c r="F380" s="6">
        <v>45551.0</v>
      </c>
      <c r="G380" s="7">
        <v>1.635038686E9</v>
      </c>
      <c r="H380" s="2" t="s">
        <v>67</v>
      </c>
    </row>
    <row r="381" ht="14.25" customHeight="1">
      <c r="A381" s="2" t="s">
        <v>432</v>
      </c>
      <c r="B381" s="2" t="s">
        <v>18</v>
      </c>
      <c r="C381" s="2" t="s">
        <v>42</v>
      </c>
      <c r="D381" s="8" t="s">
        <v>621</v>
      </c>
      <c r="E381" s="6">
        <v>45202.0</v>
      </c>
      <c r="F381" s="6">
        <v>45532.0</v>
      </c>
      <c r="G381" s="7">
        <v>9.829087531E9</v>
      </c>
      <c r="H381" s="2" t="s">
        <v>21</v>
      </c>
    </row>
    <row r="382" ht="14.25" customHeight="1">
      <c r="A382" s="2" t="s">
        <v>433</v>
      </c>
      <c r="B382" s="2" t="s">
        <v>18</v>
      </c>
      <c r="C382" s="2" t="s">
        <v>48</v>
      </c>
      <c r="D382" s="8" t="s">
        <v>629</v>
      </c>
      <c r="E382" s="6">
        <v>45202.0</v>
      </c>
      <c r="F382" s="6">
        <v>45387.0</v>
      </c>
      <c r="G382" s="7">
        <v>1.057037862E9</v>
      </c>
      <c r="H382" s="8" t="s">
        <v>573</v>
      </c>
    </row>
    <row r="383" ht="14.25" customHeight="1">
      <c r="A383" s="2" t="s">
        <v>434</v>
      </c>
      <c r="B383" s="2" t="s">
        <v>30</v>
      </c>
      <c r="C383" s="2" t="s">
        <v>36</v>
      </c>
      <c r="D383" s="8" t="s">
        <v>639</v>
      </c>
      <c r="E383" s="6">
        <v>45203.0</v>
      </c>
      <c r="F383" s="6">
        <v>45407.0</v>
      </c>
      <c r="G383" s="7">
        <v>5.469982538E9</v>
      </c>
      <c r="H383" s="2" t="s">
        <v>44</v>
      </c>
    </row>
    <row r="384" ht="14.25" customHeight="1">
      <c r="A384" s="2" t="s">
        <v>435</v>
      </c>
      <c r="B384" s="2" t="s">
        <v>30</v>
      </c>
      <c r="C384" s="2" t="s">
        <v>13</v>
      </c>
      <c r="D384" s="8" t="s">
        <v>630</v>
      </c>
      <c r="E384" s="6">
        <v>45204.0</v>
      </c>
      <c r="F384" s="6">
        <v>45308.0</v>
      </c>
      <c r="G384" s="7">
        <v>5.05551529E9</v>
      </c>
      <c r="H384" s="2" t="s">
        <v>67</v>
      </c>
    </row>
    <row r="385" ht="14.25" customHeight="1">
      <c r="A385" s="2" t="s">
        <v>436</v>
      </c>
      <c r="B385" s="2" t="s">
        <v>18</v>
      </c>
      <c r="C385" s="2" t="s">
        <v>48</v>
      </c>
      <c r="D385" s="8" t="s">
        <v>629</v>
      </c>
      <c r="E385" s="6">
        <v>45205.0</v>
      </c>
      <c r="F385" s="6">
        <v>45463.0</v>
      </c>
      <c r="G385" s="7">
        <v>2.556364237E9</v>
      </c>
    </row>
    <row r="386" ht="14.25" customHeight="1">
      <c r="A386" s="2" t="s">
        <v>437</v>
      </c>
      <c r="B386" s="2" t="s">
        <v>30</v>
      </c>
      <c r="C386" s="2" t="s">
        <v>36</v>
      </c>
      <c r="D386" s="8" t="s">
        <v>614</v>
      </c>
      <c r="E386" s="6">
        <v>45205.0</v>
      </c>
      <c r="F386" s="6">
        <v>45384.0</v>
      </c>
      <c r="G386" s="7">
        <v>6.904869726E9</v>
      </c>
      <c r="H386" s="8" t="s">
        <v>573</v>
      </c>
    </row>
    <row r="387" ht="14.25" customHeight="1">
      <c r="A387" s="2" t="s">
        <v>438</v>
      </c>
      <c r="B387" s="2" t="s">
        <v>30</v>
      </c>
      <c r="C387" s="2" t="s">
        <v>39</v>
      </c>
      <c r="D387" s="8" t="s">
        <v>638</v>
      </c>
      <c r="E387" s="6">
        <v>45205.0</v>
      </c>
      <c r="F387" s="6">
        <v>45503.0</v>
      </c>
      <c r="G387" s="7">
        <v>3.882607118E9</v>
      </c>
    </row>
    <row r="388" ht="14.25" customHeight="1">
      <c r="A388" s="2" t="s">
        <v>439</v>
      </c>
      <c r="B388" s="2" t="s">
        <v>12</v>
      </c>
      <c r="C388" s="2" t="s">
        <v>36</v>
      </c>
      <c r="D388" s="8" t="s">
        <v>578</v>
      </c>
      <c r="E388" s="6">
        <v>45205.0</v>
      </c>
      <c r="F388" s="6">
        <v>45535.0</v>
      </c>
      <c r="G388" s="7">
        <v>8.88436167E8</v>
      </c>
      <c r="H388" s="8" t="s">
        <v>573</v>
      </c>
    </row>
    <row r="389" ht="14.25" customHeight="1">
      <c r="A389" s="2" t="s">
        <v>440</v>
      </c>
      <c r="B389" s="2" t="s">
        <v>30</v>
      </c>
      <c r="C389" s="2" t="s">
        <v>39</v>
      </c>
      <c r="D389" s="8" t="s">
        <v>590</v>
      </c>
      <c r="E389" s="6">
        <v>45205.0</v>
      </c>
      <c r="F389" s="6">
        <v>45283.0</v>
      </c>
      <c r="G389" s="7">
        <v>1.354806627E9</v>
      </c>
      <c r="H389" s="2" t="s">
        <v>44</v>
      </c>
    </row>
    <row r="390" ht="14.25" customHeight="1">
      <c r="A390" s="2" t="s">
        <v>441</v>
      </c>
      <c r="B390" s="2" t="s">
        <v>12</v>
      </c>
      <c r="C390" s="2" t="s">
        <v>31</v>
      </c>
      <c r="D390" s="8" t="s">
        <v>593</v>
      </c>
      <c r="E390" s="6">
        <v>45206.0</v>
      </c>
      <c r="F390" s="6">
        <v>45293.0</v>
      </c>
      <c r="G390" s="7">
        <v>9.84605716E8</v>
      </c>
      <c r="H390" s="2" t="s">
        <v>50</v>
      </c>
    </row>
    <row r="391" ht="14.25" customHeight="1">
      <c r="A391" s="2" t="s">
        <v>442</v>
      </c>
      <c r="B391" s="2" t="s">
        <v>12</v>
      </c>
      <c r="C391" s="2" t="s">
        <v>36</v>
      </c>
      <c r="D391" s="8" t="s">
        <v>578</v>
      </c>
      <c r="E391" s="6">
        <v>45207.0</v>
      </c>
      <c r="F391" s="6">
        <v>45141.0</v>
      </c>
      <c r="G391" s="7">
        <v>3.71601786E8</v>
      </c>
      <c r="H391" s="8" t="s">
        <v>573</v>
      </c>
    </row>
    <row r="392" ht="14.25" customHeight="1">
      <c r="A392" s="2" t="s">
        <v>443</v>
      </c>
      <c r="B392" s="2" t="s">
        <v>12</v>
      </c>
      <c r="C392" s="2" t="s">
        <v>24</v>
      </c>
      <c r="D392" s="8" t="s">
        <v>610</v>
      </c>
      <c r="E392" s="6">
        <v>45207.0</v>
      </c>
      <c r="F392" s="6">
        <v>45396.0</v>
      </c>
      <c r="G392" s="7">
        <v>5.16197294E8</v>
      </c>
      <c r="H392" s="2" t="s">
        <v>21</v>
      </c>
    </row>
    <row r="393" ht="14.25" customHeight="1">
      <c r="A393" s="2" t="s">
        <v>444</v>
      </c>
      <c r="B393" s="2" t="s">
        <v>12</v>
      </c>
      <c r="C393" s="2" t="s">
        <v>48</v>
      </c>
      <c r="D393" s="8" t="s">
        <v>602</v>
      </c>
      <c r="E393" s="6">
        <v>45207.0</v>
      </c>
      <c r="F393" s="6">
        <v>45572.0</v>
      </c>
      <c r="G393" s="7">
        <v>5.40697362E8</v>
      </c>
      <c r="H393" s="2" t="s">
        <v>67</v>
      </c>
    </row>
    <row r="394" ht="14.25" customHeight="1">
      <c r="A394" s="2" t="s">
        <v>445</v>
      </c>
      <c r="B394" s="2" t="s">
        <v>18</v>
      </c>
      <c r="C394" s="2" t="s">
        <v>24</v>
      </c>
      <c r="D394" s="8" t="s">
        <v>618</v>
      </c>
      <c r="E394" s="6">
        <v>45208.0</v>
      </c>
      <c r="F394" s="6">
        <v>45388.0</v>
      </c>
      <c r="G394" s="7">
        <v>6.374609108E9</v>
      </c>
      <c r="H394" s="2" t="s">
        <v>21</v>
      </c>
    </row>
    <row r="395" ht="14.25" customHeight="1">
      <c r="A395" s="2" t="s">
        <v>446</v>
      </c>
      <c r="B395" s="2" t="s">
        <v>30</v>
      </c>
      <c r="C395" s="2" t="s">
        <v>48</v>
      </c>
      <c r="D395" s="8" t="s">
        <v>620</v>
      </c>
      <c r="E395" s="6">
        <v>45208.0</v>
      </c>
      <c r="F395" s="6">
        <v>45271.0</v>
      </c>
      <c r="G395" s="7">
        <v>2.805083829E9</v>
      </c>
      <c r="H395" s="8" t="s">
        <v>581</v>
      </c>
    </row>
    <row r="396" ht="14.25" customHeight="1">
      <c r="A396" s="2" t="s">
        <v>447</v>
      </c>
      <c r="B396" s="2" t="s">
        <v>18</v>
      </c>
      <c r="C396" s="2" t="s">
        <v>13</v>
      </c>
      <c r="D396" s="8" t="s">
        <v>580</v>
      </c>
      <c r="E396" s="6">
        <v>45210.0</v>
      </c>
      <c r="F396" s="6">
        <v>45557.0</v>
      </c>
      <c r="G396" s="7">
        <v>7.779607484E9</v>
      </c>
      <c r="H396" s="8" t="s">
        <v>573</v>
      </c>
    </row>
    <row r="397" ht="14.25" customHeight="1">
      <c r="A397" s="2" t="s">
        <v>448</v>
      </c>
      <c r="B397" s="2" t="s">
        <v>30</v>
      </c>
      <c r="C397" s="2" t="s">
        <v>13</v>
      </c>
      <c r="D397" s="8" t="s">
        <v>630</v>
      </c>
      <c r="E397" s="6">
        <v>45211.0</v>
      </c>
      <c r="F397" s="6">
        <v>45297.0</v>
      </c>
      <c r="G397" s="7">
        <v>1.204572808E9</v>
      </c>
    </row>
    <row r="398" ht="14.25" customHeight="1">
      <c r="A398" s="2" t="s">
        <v>449</v>
      </c>
      <c r="B398" s="2" t="s">
        <v>12</v>
      </c>
      <c r="C398" s="2" t="s">
        <v>24</v>
      </c>
      <c r="D398" s="8" t="s">
        <v>610</v>
      </c>
      <c r="E398" s="6">
        <v>45214.0</v>
      </c>
      <c r="F398" s="6">
        <v>45488.0</v>
      </c>
      <c r="G398" s="7">
        <v>9.09945479E8</v>
      </c>
      <c r="H398" s="2" t="s">
        <v>44</v>
      </c>
    </row>
    <row r="399" ht="14.25" customHeight="1">
      <c r="A399" s="2" t="s">
        <v>450</v>
      </c>
      <c r="B399" s="2" t="s">
        <v>18</v>
      </c>
      <c r="C399" s="2" t="s">
        <v>39</v>
      </c>
      <c r="D399" s="8" t="s">
        <v>577</v>
      </c>
      <c r="E399" s="6">
        <v>45214.0</v>
      </c>
      <c r="F399" s="6">
        <v>45410.0</v>
      </c>
      <c r="G399" s="7">
        <v>5.167811974E9</v>
      </c>
    </row>
    <row r="400" ht="14.25" customHeight="1">
      <c r="A400" s="2" t="s">
        <v>451</v>
      </c>
      <c r="B400" s="2" t="s">
        <v>35</v>
      </c>
      <c r="C400" s="2" t="s">
        <v>39</v>
      </c>
      <c r="D400" s="2" t="s">
        <v>145</v>
      </c>
      <c r="E400" s="6">
        <v>45217.0</v>
      </c>
      <c r="F400" s="6">
        <v>45469.0</v>
      </c>
      <c r="G400" s="7">
        <v>3.20968841E8</v>
      </c>
      <c r="H400" s="2" t="s">
        <v>21</v>
      </c>
    </row>
    <row r="401" ht="14.25" customHeight="1">
      <c r="A401" s="2" t="s">
        <v>452</v>
      </c>
      <c r="B401" s="2" t="s">
        <v>60</v>
      </c>
      <c r="C401" s="2" t="s">
        <v>39</v>
      </c>
      <c r="D401" s="8" t="s">
        <v>626</v>
      </c>
      <c r="E401" s="6">
        <v>45217.0</v>
      </c>
      <c r="F401" s="6">
        <v>45524.0</v>
      </c>
      <c r="G401" s="7">
        <v>2.879285863E9</v>
      </c>
      <c r="H401" s="2" t="s">
        <v>50</v>
      </c>
    </row>
    <row r="402" ht="14.25" customHeight="1">
      <c r="A402" s="2" t="s">
        <v>453</v>
      </c>
      <c r="B402" s="2" t="s">
        <v>60</v>
      </c>
      <c r="C402" s="2" t="s">
        <v>13</v>
      </c>
      <c r="D402" s="8" t="s">
        <v>582</v>
      </c>
      <c r="E402" s="6">
        <v>45219.0</v>
      </c>
      <c r="F402" s="6">
        <v>45583.0</v>
      </c>
      <c r="G402" s="7">
        <v>4.595916165E9</v>
      </c>
      <c r="H402" s="2" t="s">
        <v>33</v>
      </c>
    </row>
    <row r="403" ht="14.25" customHeight="1">
      <c r="A403" s="2" t="s">
        <v>454</v>
      </c>
      <c r="B403" s="2" t="s">
        <v>30</v>
      </c>
      <c r="C403" s="2" t="s">
        <v>48</v>
      </c>
      <c r="D403" s="8" t="s">
        <v>620</v>
      </c>
      <c r="E403" s="6">
        <v>45220.0</v>
      </c>
      <c r="F403" s="6">
        <v>45327.0</v>
      </c>
      <c r="G403" s="7">
        <v>1.29984874E9</v>
      </c>
      <c r="H403" s="2" t="s">
        <v>67</v>
      </c>
    </row>
    <row r="404" ht="14.25" customHeight="1">
      <c r="A404" s="2" t="s">
        <v>455</v>
      </c>
      <c r="B404" s="2" t="s">
        <v>18</v>
      </c>
      <c r="C404" s="2" t="s">
        <v>48</v>
      </c>
      <c r="D404" s="8" t="s">
        <v>629</v>
      </c>
      <c r="E404" s="6">
        <v>45221.0</v>
      </c>
      <c r="F404" s="6">
        <v>45307.0</v>
      </c>
      <c r="G404" s="7">
        <v>3.206827076E9</v>
      </c>
      <c r="H404" s="2" t="s">
        <v>50</v>
      </c>
    </row>
    <row r="405" ht="14.25" customHeight="1">
      <c r="A405" s="2" t="s">
        <v>456</v>
      </c>
      <c r="B405" s="2" t="s">
        <v>35</v>
      </c>
      <c r="C405" s="2" t="s">
        <v>31</v>
      </c>
      <c r="D405" s="2" t="s">
        <v>91</v>
      </c>
      <c r="E405" s="6">
        <v>45222.0</v>
      </c>
      <c r="F405" s="6">
        <v>45341.0</v>
      </c>
      <c r="G405" s="7">
        <v>5.59804949E8</v>
      </c>
      <c r="H405" s="8" t="s">
        <v>581</v>
      </c>
    </row>
    <row r="406" ht="14.25" customHeight="1">
      <c r="A406" s="2" t="s">
        <v>457</v>
      </c>
      <c r="B406" s="2" t="s">
        <v>35</v>
      </c>
      <c r="C406" s="2" t="s">
        <v>19</v>
      </c>
      <c r="D406" s="2" t="s">
        <v>97</v>
      </c>
      <c r="E406" s="6">
        <v>45223.0</v>
      </c>
      <c r="F406" s="6">
        <v>45586.0</v>
      </c>
      <c r="G406" s="7">
        <v>5.82067969E8</v>
      </c>
    </row>
    <row r="407" ht="14.25" customHeight="1">
      <c r="A407" s="2" t="s">
        <v>458</v>
      </c>
      <c r="B407" s="2" t="s">
        <v>12</v>
      </c>
      <c r="C407" s="2" t="s">
        <v>13</v>
      </c>
      <c r="D407" s="8" t="s">
        <v>605</v>
      </c>
      <c r="E407" s="6">
        <v>45223.0</v>
      </c>
      <c r="F407" s="6">
        <v>45484.0</v>
      </c>
      <c r="G407" s="7">
        <v>6.85929486E8</v>
      </c>
      <c r="H407" s="2" t="s">
        <v>21</v>
      </c>
    </row>
    <row r="408" ht="14.25" customHeight="1">
      <c r="A408" s="2" t="s">
        <v>459</v>
      </c>
      <c r="B408" s="2" t="s">
        <v>18</v>
      </c>
      <c r="C408" s="2" t="s">
        <v>39</v>
      </c>
      <c r="D408" s="8" t="s">
        <v>577</v>
      </c>
      <c r="E408" s="6">
        <v>45225.0</v>
      </c>
      <c r="F408" s="6">
        <v>45551.0</v>
      </c>
      <c r="G408" s="7">
        <v>2.626084542E9</v>
      </c>
      <c r="H408" s="8" t="s">
        <v>581</v>
      </c>
    </row>
    <row r="409" ht="14.25" customHeight="1">
      <c r="A409" s="2" t="s">
        <v>460</v>
      </c>
      <c r="B409" s="2" t="s">
        <v>12</v>
      </c>
      <c r="C409" s="2" t="s">
        <v>24</v>
      </c>
      <c r="D409" s="8" t="s">
        <v>610</v>
      </c>
      <c r="E409" s="6">
        <v>45226.0</v>
      </c>
      <c r="F409" s="6">
        <v>45403.0</v>
      </c>
      <c r="G409" s="7">
        <v>8.93411259E8</v>
      </c>
      <c r="H409" s="2" t="s">
        <v>21</v>
      </c>
    </row>
    <row r="410" ht="14.25" customHeight="1">
      <c r="A410" s="2" t="s">
        <v>461</v>
      </c>
      <c r="B410" s="2" t="s">
        <v>35</v>
      </c>
      <c r="C410" s="2" t="s">
        <v>42</v>
      </c>
      <c r="D410" s="2" t="s">
        <v>69</v>
      </c>
      <c r="E410" s="6">
        <v>45226.0</v>
      </c>
      <c r="F410" s="6">
        <v>45467.0</v>
      </c>
      <c r="G410" s="7">
        <v>2.64833844E8</v>
      </c>
      <c r="H410" s="2" t="s">
        <v>21</v>
      </c>
    </row>
    <row r="411" ht="14.25" customHeight="1">
      <c r="A411" s="2" t="s">
        <v>462</v>
      </c>
      <c r="B411" s="2" t="s">
        <v>35</v>
      </c>
      <c r="C411" s="2" t="s">
        <v>39</v>
      </c>
      <c r="D411" s="2" t="s">
        <v>145</v>
      </c>
      <c r="E411" s="6">
        <v>45226.0</v>
      </c>
      <c r="F411" s="6">
        <v>45426.0</v>
      </c>
      <c r="G411" s="7">
        <v>5.88269229E8</v>
      </c>
      <c r="H411" s="2" t="s">
        <v>50</v>
      </c>
    </row>
    <row r="412" ht="14.25" customHeight="1">
      <c r="A412" s="2" t="s">
        <v>463</v>
      </c>
      <c r="B412" s="2" t="s">
        <v>35</v>
      </c>
      <c r="C412" s="2" t="s">
        <v>31</v>
      </c>
      <c r="D412" s="2" t="s">
        <v>91</v>
      </c>
      <c r="E412" s="6">
        <v>45227.0</v>
      </c>
      <c r="F412" s="6">
        <v>45478.0</v>
      </c>
      <c r="G412" s="7">
        <v>6.91409314E8</v>
      </c>
      <c r="H412" s="2" t="s">
        <v>33</v>
      </c>
    </row>
    <row r="413" ht="14.25" customHeight="1">
      <c r="A413" s="2" t="s">
        <v>464</v>
      </c>
      <c r="B413" s="2" t="s">
        <v>12</v>
      </c>
      <c r="C413" s="2" t="s">
        <v>42</v>
      </c>
      <c r="D413" s="8" t="s">
        <v>603</v>
      </c>
      <c r="E413" s="6">
        <v>45228.0</v>
      </c>
      <c r="F413" s="6">
        <v>45583.0</v>
      </c>
      <c r="G413" s="7">
        <v>2.42272002E8</v>
      </c>
    </row>
    <row r="414" ht="14.25" customHeight="1">
      <c r="A414" s="2" t="s">
        <v>465</v>
      </c>
      <c r="B414" s="2" t="s">
        <v>30</v>
      </c>
      <c r="C414" s="2" t="s">
        <v>48</v>
      </c>
      <c r="D414" s="8" t="s">
        <v>615</v>
      </c>
      <c r="E414" s="6">
        <v>45228.0</v>
      </c>
      <c r="F414" s="6">
        <v>45515.0</v>
      </c>
      <c r="G414" s="7">
        <v>1.906777116E9</v>
      </c>
      <c r="H414" s="2" t="s">
        <v>44</v>
      </c>
    </row>
    <row r="415" ht="14.25" customHeight="1">
      <c r="A415" s="2" t="s">
        <v>466</v>
      </c>
      <c r="B415" s="2" t="s">
        <v>35</v>
      </c>
      <c r="C415" s="2" t="s">
        <v>24</v>
      </c>
      <c r="D415" s="2" t="s">
        <v>133</v>
      </c>
      <c r="E415" s="6">
        <v>45229.0</v>
      </c>
      <c r="F415" s="6">
        <v>45334.0</v>
      </c>
      <c r="G415" s="7">
        <v>3.25400177E8</v>
      </c>
    </row>
    <row r="416" ht="14.25" customHeight="1">
      <c r="A416" s="2" t="s">
        <v>467</v>
      </c>
      <c r="B416" s="2" t="s">
        <v>12</v>
      </c>
      <c r="C416" s="2" t="s">
        <v>42</v>
      </c>
      <c r="D416" s="8" t="s">
        <v>603</v>
      </c>
      <c r="E416" s="6">
        <v>45230.0</v>
      </c>
      <c r="F416" s="6">
        <v>45529.0</v>
      </c>
      <c r="G416" s="7">
        <v>1.31415829E8</v>
      </c>
      <c r="H416" s="2" t="s">
        <v>50</v>
      </c>
    </row>
    <row r="417" ht="14.25" customHeight="1">
      <c r="A417" s="2" t="s">
        <v>468</v>
      </c>
      <c r="B417" s="2" t="s">
        <v>35</v>
      </c>
      <c r="C417" s="2" t="s">
        <v>19</v>
      </c>
      <c r="D417" s="2" t="s">
        <v>97</v>
      </c>
      <c r="E417" s="6">
        <v>45230.0</v>
      </c>
      <c r="F417" s="6">
        <v>45310.0</v>
      </c>
      <c r="G417" s="7">
        <v>4.35534089E8</v>
      </c>
      <c r="H417" s="2" t="s">
        <v>67</v>
      </c>
    </row>
    <row r="418" ht="14.25" customHeight="1">
      <c r="A418" s="2" t="s">
        <v>469</v>
      </c>
      <c r="B418" s="2" t="s">
        <v>18</v>
      </c>
      <c r="C418" s="2" t="s">
        <v>39</v>
      </c>
      <c r="D418" s="8" t="s">
        <v>577</v>
      </c>
      <c r="E418" s="6">
        <v>45231.0</v>
      </c>
      <c r="F418" s="6">
        <v>45268.0</v>
      </c>
      <c r="G418" s="7">
        <v>1.107624052E9</v>
      </c>
      <c r="H418" s="2" t="s">
        <v>44</v>
      </c>
    </row>
    <row r="419" ht="14.25" customHeight="1">
      <c r="A419" s="2" t="s">
        <v>470</v>
      </c>
      <c r="B419" s="2" t="s">
        <v>30</v>
      </c>
      <c r="C419" s="2" t="s">
        <v>19</v>
      </c>
      <c r="D419" s="8" t="s">
        <v>624</v>
      </c>
      <c r="E419" s="6">
        <v>45231.0</v>
      </c>
      <c r="F419" s="6">
        <v>45434.0</v>
      </c>
      <c r="G419" s="7">
        <v>4.91363432E9</v>
      </c>
    </row>
    <row r="420" ht="14.25" customHeight="1">
      <c r="A420" s="2" t="s">
        <v>471</v>
      </c>
      <c r="B420" s="2" t="s">
        <v>18</v>
      </c>
      <c r="C420" s="2" t="s">
        <v>13</v>
      </c>
      <c r="D420" s="8" t="s">
        <v>580</v>
      </c>
      <c r="E420" s="6">
        <v>45231.0</v>
      </c>
      <c r="F420" s="6">
        <v>45567.0</v>
      </c>
      <c r="G420" s="7">
        <v>2.100848894E9</v>
      </c>
      <c r="H420" s="8" t="s">
        <v>573</v>
      </c>
    </row>
    <row r="421" ht="14.25" customHeight="1">
      <c r="A421" s="2" t="s">
        <v>472</v>
      </c>
      <c r="B421" s="2" t="s">
        <v>12</v>
      </c>
      <c r="C421" s="2" t="s">
        <v>36</v>
      </c>
      <c r="D421" s="8" t="s">
        <v>578</v>
      </c>
      <c r="E421" s="6">
        <v>45234.0</v>
      </c>
      <c r="F421" s="6">
        <v>45348.0</v>
      </c>
      <c r="G421" s="7">
        <v>5.05388172E8</v>
      </c>
      <c r="H421" s="2" t="s">
        <v>44</v>
      </c>
    </row>
    <row r="422" ht="14.25" customHeight="1">
      <c r="A422" s="2" t="s">
        <v>473</v>
      </c>
      <c r="B422" s="2" t="s">
        <v>12</v>
      </c>
      <c r="C422" s="2" t="s">
        <v>31</v>
      </c>
      <c r="D422" s="8" t="s">
        <v>593</v>
      </c>
      <c r="E422" s="6">
        <v>45234.0</v>
      </c>
      <c r="F422" s="6">
        <v>45426.0</v>
      </c>
      <c r="G422" s="7">
        <v>5.74563455E8</v>
      </c>
      <c r="H422" s="8" t="s">
        <v>573</v>
      </c>
    </row>
    <row r="423" ht="14.25" customHeight="1">
      <c r="A423" s="2" t="s">
        <v>474</v>
      </c>
      <c r="B423" s="2" t="s">
        <v>12</v>
      </c>
      <c r="C423" s="2" t="s">
        <v>24</v>
      </c>
      <c r="D423" s="8" t="s">
        <v>610</v>
      </c>
      <c r="E423" s="6">
        <v>45234.0</v>
      </c>
      <c r="F423" s="6">
        <v>45264.0</v>
      </c>
      <c r="G423" s="7">
        <v>4.45199395E8</v>
      </c>
      <c r="H423" s="2" t="s">
        <v>44</v>
      </c>
    </row>
    <row r="424" ht="14.25" customHeight="1">
      <c r="A424" s="2" t="s">
        <v>475</v>
      </c>
      <c r="B424" s="2" t="s">
        <v>12</v>
      </c>
      <c r="C424" s="2" t="s">
        <v>39</v>
      </c>
      <c r="D424" s="8" t="s">
        <v>591</v>
      </c>
      <c r="E424" s="6">
        <v>45235.0</v>
      </c>
      <c r="F424" s="6">
        <v>45313.0</v>
      </c>
      <c r="G424" s="7">
        <v>8.49005913E8</v>
      </c>
      <c r="H424" s="2" t="s">
        <v>44</v>
      </c>
    </row>
    <row r="425" ht="14.25" customHeight="1">
      <c r="A425" s="2" t="s">
        <v>476</v>
      </c>
      <c r="B425" s="2" t="s">
        <v>30</v>
      </c>
      <c r="C425" s="2" t="s">
        <v>42</v>
      </c>
      <c r="D425" s="8" t="s">
        <v>632</v>
      </c>
      <c r="E425" s="6">
        <v>45236.0</v>
      </c>
      <c r="F425" s="6">
        <v>45266.0</v>
      </c>
      <c r="G425" s="7">
        <v>3.09836496E9</v>
      </c>
      <c r="H425" s="8" t="s">
        <v>581</v>
      </c>
    </row>
    <row r="426" ht="14.25" customHeight="1">
      <c r="A426" s="2" t="s">
        <v>477</v>
      </c>
      <c r="B426" s="2" t="s">
        <v>60</v>
      </c>
      <c r="C426" s="2" t="s">
        <v>42</v>
      </c>
      <c r="D426" s="8" t="s">
        <v>617</v>
      </c>
      <c r="E426" s="6">
        <v>45237.0</v>
      </c>
      <c r="F426" s="6">
        <v>45413.0</v>
      </c>
      <c r="G426" s="7">
        <v>1.607071599E9</v>
      </c>
      <c r="H426" s="8" t="s">
        <v>573</v>
      </c>
    </row>
    <row r="427" ht="14.25" customHeight="1">
      <c r="A427" s="2" t="s">
        <v>478</v>
      </c>
      <c r="B427" s="2" t="s">
        <v>30</v>
      </c>
      <c r="C427" s="2" t="s">
        <v>36</v>
      </c>
      <c r="D427" s="8" t="s">
        <v>639</v>
      </c>
      <c r="E427" s="6">
        <v>45240.0</v>
      </c>
      <c r="F427" s="6">
        <v>44995.0</v>
      </c>
      <c r="G427" s="7">
        <v>2.771182474E9</v>
      </c>
      <c r="H427" s="2" t="s">
        <v>50</v>
      </c>
    </row>
    <row r="428" ht="14.25" customHeight="1">
      <c r="A428" s="2" t="s">
        <v>479</v>
      </c>
      <c r="B428" s="2" t="s">
        <v>12</v>
      </c>
      <c r="C428" s="2" t="s">
        <v>48</v>
      </c>
      <c r="D428" s="8" t="s">
        <v>602</v>
      </c>
      <c r="E428" s="6">
        <v>45240.0</v>
      </c>
      <c r="F428" s="6">
        <v>45532.0</v>
      </c>
      <c r="G428" s="7">
        <v>1.53884086E8</v>
      </c>
      <c r="H428" s="2" t="s">
        <v>50</v>
      </c>
    </row>
    <row r="429" ht="14.25" customHeight="1">
      <c r="A429" s="2" t="s">
        <v>480</v>
      </c>
      <c r="B429" s="2" t="s">
        <v>12</v>
      </c>
      <c r="C429" s="2" t="s">
        <v>24</v>
      </c>
      <c r="D429" s="8" t="s">
        <v>610</v>
      </c>
      <c r="E429" s="6">
        <v>45240.0</v>
      </c>
      <c r="F429" s="6">
        <v>45434.0</v>
      </c>
      <c r="G429" s="7">
        <v>5.45725479E8</v>
      </c>
    </row>
    <row r="430" ht="14.25" customHeight="1">
      <c r="A430" s="2" t="s">
        <v>481</v>
      </c>
      <c r="B430" s="2" t="s">
        <v>60</v>
      </c>
      <c r="C430" s="2" t="s">
        <v>39</v>
      </c>
      <c r="D430" s="8" t="s">
        <v>626</v>
      </c>
      <c r="E430" s="6">
        <v>45240.0</v>
      </c>
      <c r="F430" s="6">
        <v>45074.0</v>
      </c>
      <c r="G430" s="7">
        <v>4.659030076E9</v>
      </c>
    </row>
    <row r="431" ht="14.25" customHeight="1">
      <c r="A431" s="2" t="s">
        <v>482</v>
      </c>
      <c r="B431" s="2" t="s">
        <v>30</v>
      </c>
      <c r="C431" s="2" t="s">
        <v>24</v>
      </c>
      <c r="D431" s="8" t="s">
        <v>637</v>
      </c>
      <c r="E431" s="6">
        <v>45240.0</v>
      </c>
      <c r="F431" s="6">
        <v>45466.0</v>
      </c>
      <c r="G431" s="7">
        <v>2.661560994E9</v>
      </c>
    </row>
    <row r="432" ht="14.25" customHeight="1">
      <c r="A432" s="2" t="s">
        <v>483</v>
      </c>
      <c r="B432" s="2" t="s">
        <v>18</v>
      </c>
      <c r="C432" s="2" t="s">
        <v>24</v>
      </c>
      <c r="D432" s="8" t="s">
        <v>618</v>
      </c>
      <c r="E432" s="6">
        <v>45240.0</v>
      </c>
      <c r="F432" s="6">
        <v>45346.0</v>
      </c>
      <c r="G432" s="7">
        <v>1.652872648E9</v>
      </c>
      <c r="H432" s="2" t="s">
        <v>50</v>
      </c>
    </row>
    <row r="433" ht="14.25" customHeight="1">
      <c r="A433" s="2" t="s">
        <v>484</v>
      </c>
      <c r="B433" s="2" t="s">
        <v>30</v>
      </c>
      <c r="C433" s="2" t="s">
        <v>24</v>
      </c>
      <c r="D433" s="8" t="s">
        <v>637</v>
      </c>
      <c r="E433" s="6">
        <v>45241.0</v>
      </c>
      <c r="F433" s="6">
        <v>45505.0</v>
      </c>
      <c r="G433" s="7">
        <v>7.444707554E9</v>
      </c>
      <c r="H433" s="8" t="s">
        <v>581</v>
      </c>
    </row>
    <row r="434" ht="14.25" customHeight="1">
      <c r="A434" s="2" t="s">
        <v>485</v>
      </c>
      <c r="B434" s="2" t="s">
        <v>35</v>
      </c>
      <c r="C434" s="2" t="s">
        <v>48</v>
      </c>
      <c r="D434" s="2" t="s">
        <v>49</v>
      </c>
      <c r="E434" s="6">
        <v>45241.0</v>
      </c>
      <c r="F434" s="6">
        <v>44946.0</v>
      </c>
      <c r="G434" s="7">
        <v>3.0800941E8</v>
      </c>
      <c r="H434" s="2" t="s">
        <v>21</v>
      </c>
    </row>
    <row r="435" ht="14.25" customHeight="1">
      <c r="A435" s="2" t="s">
        <v>486</v>
      </c>
      <c r="B435" s="2" t="s">
        <v>30</v>
      </c>
      <c r="C435" s="2" t="s">
        <v>48</v>
      </c>
      <c r="D435" s="8" t="s">
        <v>615</v>
      </c>
      <c r="E435" s="6">
        <v>45242.0</v>
      </c>
      <c r="F435" s="6">
        <v>45439.0</v>
      </c>
      <c r="G435" s="7">
        <v>2.851933896E9</v>
      </c>
      <c r="H435" s="2" t="s">
        <v>50</v>
      </c>
    </row>
    <row r="436" ht="14.25" customHeight="1">
      <c r="A436" s="2" t="s">
        <v>487</v>
      </c>
      <c r="B436" s="2" t="s">
        <v>30</v>
      </c>
      <c r="C436" s="2" t="s">
        <v>42</v>
      </c>
      <c r="D436" s="8" t="s">
        <v>632</v>
      </c>
      <c r="E436" s="6">
        <v>45242.0</v>
      </c>
      <c r="F436" s="6">
        <v>45098.0</v>
      </c>
      <c r="G436" s="7">
        <v>5.932217911E9</v>
      </c>
      <c r="H436" s="2" t="s">
        <v>44</v>
      </c>
    </row>
    <row r="437" ht="14.25" customHeight="1">
      <c r="A437" s="2" t="s">
        <v>488</v>
      </c>
      <c r="B437" s="2" t="s">
        <v>12</v>
      </c>
      <c r="C437" s="2" t="s">
        <v>48</v>
      </c>
      <c r="D437" s="8" t="s">
        <v>602</v>
      </c>
      <c r="E437" s="6">
        <v>45242.0</v>
      </c>
      <c r="F437" s="6">
        <v>45345.0</v>
      </c>
      <c r="G437" s="7">
        <v>3.94459258E8</v>
      </c>
      <c r="H437" s="8" t="s">
        <v>581</v>
      </c>
    </row>
    <row r="438" ht="14.25" customHeight="1">
      <c r="A438" s="2" t="s">
        <v>489</v>
      </c>
      <c r="B438" s="2" t="s">
        <v>60</v>
      </c>
      <c r="C438" s="2" t="s">
        <v>39</v>
      </c>
      <c r="D438" s="8" t="s">
        <v>642</v>
      </c>
      <c r="E438" s="6">
        <v>45242.0</v>
      </c>
      <c r="F438" s="6">
        <v>45305.0</v>
      </c>
      <c r="G438" s="7">
        <v>3.343026784E9</v>
      </c>
      <c r="H438" s="8" t="s">
        <v>573</v>
      </c>
    </row>
    <row r="439" ht="14.25" customHeight="1">
      <c r="A439" s="2" t="s">
        <v>490</v>
      </c>
      <c r="B439" s="2" t="s">
        <v>60</v>
      </c>
      <c r="C439" s="2" t="s">
        <v>31</v>
      </c>
      <c r="D439" s="8" t="s">
        <v>599</v>
      </c>
      <c r="E439" s="6">
        <v>45243.0</v>
      </c>
      <c r="F439" s="6">
        <v>45535.0</v>
      </c>
      <c r="G439" s="7">
        <v>4.651361592E9</v>
      </c>
      <c r="H439" s="2" t="s">
        <v>33</v>
      </c>
    </row>
    <row r="440" ht="14.25" customHeight="1">
      <c r="A440" s="2" t="s">
        <v>491</v>
      </c>
      <c r="B440" s="2" t="s">
        <v>35</v>
      </c>
      <c r="C440" s="2" t="s">
        <v>24</v>
      </c>
      <c r="D440" s="2" t="s">
        <v>133</v>
      </c>
      <c r="E440" s="6">
        <v>45245.0</v>
      </c>
      <c r="F440" s="6">
        <v>45585.0</v>
      </c>
      <c r="G440" s="7">
        <v>2.87244799E8</v>
      </c>
      <c r="H440" s="2" t="s">
        <v>33</v>
      </c>
    </row>
    <row r="441" ht="14.25" customHeight="1">
      <c r="A441" s="2" t="s">
        <v>492</v>
      </c>
      <c r="B441" s="2" t="s">
        <v>30</v>
      </c>
      <c r="C441" s="2" t="s">
        <v>31</v>
      </c>
      <c r="D441" s="8" t="s">
        <v>585</v>
      </c>
      <c r="E441" s="6">
        <v>45245.0</v>
      </c>
      <c r="F441" s="6">
        <v>45532.0</v>
      </c>
      <c r="G441" s="7">
        <v>1.941923313E9</v>
      </c>
    </row>
    <row r="442" ht="14.25" customHeight="1">
      <c r="A442" s="2" t="s">
        <v>493</v>
      </c>
      <c r="B442" s="2" t="s">
        <v>30</v>
      </c>
      <c r="C442" s="2" t="s">
        <v>48</v>
      </c>
      <c r="D442" s="8" t="s">
        <v>615</v>
      </c>
      <c r="E442" s="6">
        <v>45245.0</v>
      </c>
      <c r="F442" s="6">
        <v>45333.0</v>
      </c>
      <c r="G442" s="7">
        <v>1.897092669E9</v>
      </c>
    </row>
    <row r="443" ht="14.25" customHeight="1">
      <c r="A443" s="2" t="s">
        <v>494</v>
      </c>
      <c r="B443" s="2" t="s">
        <v>60</v>
      </c>
      <c r="C443" s="2" t="s">
        <v>39</v>
      </c>
      <c r="D443" s="8" t="s">
        <v>626</v>
      </c>
      <c r="E443" s="6">
        <v>45245.0</v>
      </c>
      <c r="F443" s="6">
        <v>45348.0</v>
      </c>
      <c r="G443" s="7">
        <v>2.304818789E9</v>
      </c>
    </row>
    <row r="444" ht="14.25" customHeight="1">
      <c r="A444" s="2" t="s">
        <v>495</v>
      </c>
      <c r="B444" s="2" t="s">
        <v>12</v>
      </c>
      <c r="C444" s="2" t="s">
        <v>48</v>
      </c>
      <c r="D444" s="8" t="s">
        <v>602</v>
      </c>
      <c r="E444" s="6">
        <v>45246.0</v>
      </c>
      <c r="F444" s="6">
        <v>45389.0</v>
      </c>
      <c r="G444" s="7">
        <v>6.42644763E8</v>
      </c>
      <c r="H444" s="2" t="s">
        <v>50</v>
      </c>
    </row>
    <row r="445" ht="14.25" customHeight="1">
      <c r="A445" s="2" t="s">
        <v>496</v>
      </c>
      <c r="B445" s="2" t="s">
        <v>30</v>
      </c>
      <c r="C445" s="2" t="s">
        <v>19</v>
      </c>
      <c r="D445" s="8" t="s">
        <v>624</v>
      </c>
      <c r="E445" s="6">
        <v>45246.0</v>
      </c>
      <c r="F445" s="6">
        <v>45343.0</v>
      </c>
      <c r="G445" s="7">
        <v>5.716503787E9</v>
      </c>
      <c r="H445" s="2" t="s">
        <v>67</v>
      </c>
    </row>
    <row r="446" ht="14.25" customHeight="1">
      <c r="A446" s="2" t="s">
        <v>497</v>
      </c>
      <c r="B446" s="2" t="s">
        <v>35</v>
      </c>
      <c r="C446" s="2" t="s">
        <v>48</v>
      </c>
      <c r="D446" s="2" t="s">
        <v>49</v>
      </c>
      <c r="E446" s="6">
        <v>45247.0</v>
      </c>
      <c r="F446" s="6">
        <v>45328.0</v>
      </c>
      <c r="G446" s="7">
        <v>5.37845909E8</v>
      </c>
      <c r="H446" s="2" t="s">
        <v>50</v>
      </c>
    </row>
    <row r="447" ht="14.25" customHeight="1">
      <c r="A447" s="2" t="s">
        <v>498</v>
      </c>
      <c r="B447" s="2" t="s">
        <v>12</v>
      </c>
      <c r="C447" s="2" t="s">
        <v>24</v>
      </c>
      <c r="D447" s="8" t="s">
        <v>610</v>
      </c>
      <c r="E447" s="6">
        <v>45247.0</v>
      </c>
      <c r="F447" s="6">
        <v>45499.0</v>
      </c>
      <c r="G447" s="7">
        <v>8.00732653E8</v>
      </c>
      <c r="H447" s="2" t="s">
        <v>33</v>
      </c>
    </row>
    <row r="448" ht="14.25" customHeight="1">
      <c r="A448" s="2" t="s">
        <v>499</v>
      </c>
      <c r="B448" s="2" t="s">
        <v>30</v>
      </c>
      <c r="C448" s="2" t="s">
        <v>48</v>
      </c>
      <c r="D448" s="8" t="s">
        <v>615</v>
      </c>
      <c r="E448" s="6">
        <v>45248.0</v>
      </c>
      <c r="F448" s="6">
        <v>45605.0</v>
      </c>
      <c r="G448" s="7">
        <v>6.76299944E8</v>
      </c>
      <c r="H448" s="2" t="s">
        <v>50</v>
      </c>
    </row>
    <row r="449" ht="14.25" customHeight="1">
      <c r="A449" s="2" t="s">
        <v>500</v>
      </c>
      <c r="B449" s="2" t="s">
        <v>30</v>
      </c>
      <c r="C449" s="2" t="s">
        <v>39</v>
      </c>
      <c r="D449" s="8" t="s">
        <v>590</v>
      </c>
      <c r="E449" s="6">
        <v>45248.0</v>
      </c>
      <c r="F449" s="6">
        <v>45481.0</v>
      </c>
      <c r="G449" s="7">
        <v>5.621717823E9</v>
      </c>
      <c r="H449" s="8" t="s">
        <v>573</v>
      </c>
    </row>
    <row r="450" ht="14.25" customHeight="1">
      <c r="A450" s="2" t="s">
        <v>501</v>
      </c>
      <c r="B450" s="2" t="s">
        <v>18</v>
      </c>
      <c r="C450" s="2" t="s">
        <v>48</v>
      </c>
      <c r="D450" s="8" t="s">
        <v>629</v>
      </c>
      <c r="E450" s="6">
        <v>45248.0</v>
      </c>
      <c r="F450" s="6">
        <v>45412.0</v>
      </c>
      <c r="G450" s="7">
        <v>1.652704535E9</v>
      </c>
      <c r="H450" s="2" t="s">
        <v>44</v>
      </c>
    </row>
    <row r="451" ht="14.25" customHeight="1">
      <c r="A451" s="2" t="s">
        <v>502</v>
      </c>
      <c r="B451" s="2" t="s">
        <v>30</v>
      </c>
      <c r="C451" s="2" t="s">
        <v>13</v>
      </c>
      <c r="D451" s="8" t="s">
        <v>630</v>
      </c>
      <c r="E451" s="6">
        <v>45249.0</v>
      </c>
      <c r="F451" s="6">
        <v>45590.0</v>
      </c>
      <c r="G451" s="7">
        <v>2.69627612E9</v>
      </c>
      <c r="H451" s="2" t="s">
        <v>21</v>
      </c>
    </row>
    <row r="452" ht="14.25" customHeight="1">
      <c r="A452" s="2" t="s">
        <v>503</v>
      </c>
      <c r="B452" s="2" t="s">
        <v>35</v>
      </c>
      <c r="C452" s="2" t="s">
        <v>48</v>
      </c>
      <c r="D452" s="2" t="s">
        <v>49</v>
      </c>
      <c r="E452" s="6">
        <v>45249.0</v>
      </c>
      <c r="F452" s="6">
        <v>45512.0</v>
      </c>
      <c r="G452" s="7">
        <v>3.44399927E8</v>
      </c>
      <c r="H452" s="8" t="s">
        <v>573</v>
      </c>
    </row>
    <row r="453" ht="14.25" customHeight="1">
      <c r="A453" s="2" t="s">
        <v>504</v>
      </c>
      <c r="B453" s="2" t="s">
        <v>35</v>
      </c>
      <c r="C453" s="2" t="s">
        <v>24</v>
      </c>
      <c r="D453" s="2" t="s">
        <v>133</v>
      </c>
      <c r="E453" s="6">
        <v>45249.0</v>
      </c>
      <c r="F453" s="6">
        <v>45478.0</v>
      </c>
      <c r="G453" s="7">
        <v>6.24334418E8</v>
      </c>
      <c r="H453" s="2" t="s">
        <v>50</v>
      </c>
    </row>
    <row r="454" ht="14.25" customHeight="1">
      <c r="A454" s="2" t="s">
        <v>505</v>
      </c>
      <c r="B454" s="2" t="s">
        <v>30</v>
      </c>
      <c r="C454" s="2" t="s">
        <v>36</v>
      </c>
      <c r="D454" s="8" t="s">
        <v>614</v>
      </c>
      <c r="E454" s="6">
        <v>45252.0</v>
      </c>
      <c r="F454" s="6">
        <v>45467.0</v>
      </c>
      <c r="G454" s="7">
        <v>7.036506058E9</v>
      </c>
      <c r="H454" s="2" t="s">
        <v>50</v>
      </c>
    </row>
    <row r="455" ht="14.25" customHeight="1">
      <c r="A455" s="2" t="s">
        <v>506</v>
      </c>
      <c r="B455" s="2" t="s">
        <v>18</v>
      </c>
      <c r="C455" s="2" t="s">
        <v>48</v>
      </c>
      <c r="D455" s="8" t="s">
        <v>629</v>
      </c>
      <c r="E455" s="6">
        <v>45253.0</v>
      </c>
      <c r="F455" s="6">
        <v>45512.0</v>
      </c>
      <c r="G455" s="7">
        <v>4.458001292E9</v>
      </c>
    </row>
    <row r="456" ht="14.25" customHeight="1">
      <c r="A456" s="2" t="s">
        <v>507</v>
      </c>
      <c r="B456" s="2" t="s">
        <v>30</v>
      </c>
      <c r="C456" s="2" t="s">
        <v>19</v>
      </c>
      <c r="D456" s="8" t="s">
        <v>624</v>
      </c>
      <c r="E456" s="6">
        <v>45254.0</v>
      </c>
      <c r="F456" s="6">
        <v>45331.0</v>
      </c>
      <c r="G456" s="7">
        <v>6.553637483E9</v>
      </c>
    </row>
    <row r="457" ht="14.25" customHeight="1">
      <c r="A457" s="2" t="s">
        <v>508</v>
      </c>
      <c r="B457" s="2" t="s">
        <v>30</v>
      </c>
      <c r="C457" s="2" t="s">
        <v>24</v>
      </c>
      <c r="D457" s="8" t="s">
        <v>637</v>
      </c>
      <c r="E457" s="6">
        <v>45254.0</v>
      </c>
      <c r="F457" s="6">
        <v>45547.0</v>
      </c>
      <c r="G457" s="7">
        <v>5.694242987E9</v>
      </c>
      <c r="H457" s="8" t="s">
        <v>581</v>
      </c>
    </row>
    <row r="458" ht="14.25" customHeight="1">
      <c r="A458" s="2" t="s">
        <v>509</v>
      </c>
      <c r="B458" s="2" t="s">
        <v>30</v>
      </c>
      <c r="C458" s="2" t="s">
        <v>19</v>
      </c>
      <c r="D458" s="8" t="s">
        <v>624</v>
      </c>
      <c r="E458" s="6">
        <v>45255.0</v>
      </c>
      <c r="F458" s="6">
        <v>45461.0</v>
      </c>
      <c r="G458" s="7">
        <v>2.266697296E9</v>
      </c>
    </row>
    <row r="459" ht="14.25" customHeight="1">
      <c r="A459" s="2" t="s">
        <v>510</v>
      </c>
      <c r="B459" s="2" t="s">
        <v>35</v>
      </c>
      <c r="C459" s="2" t="s">
        <v>13</v>
      </c>
      <c r="D459" s="2" t="s">
        <v>78</v>
      </c>
      <c r="E459" s="6">
        <v>45258.0</v>
      </c>
      <c r="F459" s="6">
        <v>45497.0</v>
      </c>
      <c r="G459" s="7">
        <v>4.49824902E8</v>
      </c>
      <c r="H459" s="2" t="s">
        <v>50</v>
      </c>
    </row>
    <row r="460" ht="14.25" customHeight="1">
      <c r="A460" s="2" t="s">
        <v>511</v>
      </c>
      <c r="B460" s="2" t="s">
        <v>12</v>
      </c>
      <c r="C460" s="2" t="s">
        <v>36</v>
      </c>
      <c r="D460" s="8" t="s">
        <v>578</v>
      </c>
      <c r="E460" s="6">
        <v>45259.0</v>
      </c>
      <c r="F460" s="6">
        <v>45579.0</v>
      </c>
      <c r="G460" s="7">
        <v>6.87256096E8</v>
      </c>
      <c r="H460" s="2" t="s">
        <v>21</v>
      </c>
    </row>
    <row r="461" ht="14.25" customHeight="1">
      <c r="A461" s="2" t="s">
        <v>512</v>
      </c>
      <c r="B461" s="2" t="s">
        <v>12</v>
      </c>
      <c r="C461" s="2" t="s">
        <v>24</v>
      </c>
      <c r="D461" s="8" t="s">
        <v>610</v>
      </c>
      <c r="E461" s="6">
        <v>45259.0</v>
      </c>
      <c r="F461" s="6">
        <v>45542.0</v>
      </c>
      <c r="G461" s="7">
        <v>5.29398283E8</v>
      </c>
      <c r="H461" s="2" t="s">
        <v>67</v>
      </c>
    </row>
    <row r="462" ht="14.25" customHeight="1">
      <c r="A462" s="2" t="s">
        <v>513</v>
      </c>
      <c r="B462" s="2" t="s">
        <v>18</v>
      </c>
      <c r="C462" s="2" t="s">
        <v>48</v>
      </c>
      <c r="D462" s="8" t="s">
        <v>629</v>
      </c>
      <c r="E462" s="6">
        <v>45259.0</v>
      </c>
      <c r="F462" s="6">
        <v>45457.0</v>
      </c>
      <c r="G462" s="7">
        <v>4.710182773E9</v>
      </c>
      <c r="H462" s="8" t="s">
        <v>581</v>
      </c>
    </row>
    <row r="463" ht="14.25" customHeight="1">
      <c r="A463" s="2" t="s">
        <v>514</v>
      </c>
      <c r="B463" s="2" t="s">
        <v>12</v>
      </c>
      <c r="C463" s="2" t="s">
        <v>42</v>
      </c>
      <c r="D463" s="8" t="s">
        <v>603</v>
      </c>
      <c r="E463" s="6">
        <v>45260.0</v>
      </c>
      <c r="F463" s="6">
        <v>45376.0</v>
      </c>
      <c r="G463" s="7">
        <v>7.44960204E8</v>
      </c>
      <c r="H463" s="2" t="s">
        <v>44</v>
      </c>
    </row>
    <row r="464" ht="14.25" customHeight="1">
      <c r="A464" s="2" t="s">
        <v>515</v>
      </c>
      <c r="B464" s="2" t="s">
        <v>18</v>
      </c>
      <c r="C464" s="2" t="s">
        <v>48</v>
      </c>
      <c r="D464" s="8" t="s">
        <v>629</v>
      </c>
      <c r="E464" s="6">
        <v>45260.0</v>
      </c>
      <c r="F464" s="6">
        <v>45384.0</v>
      </c>
      <c r="G464" s="7">
        <v>3.580995628E9</v>
      </c>
    </row>
    <row r="465" ht="14.25" customHeight="1">
      <c r="A465" s="2" t="s">
        <v>516</v>
      </c>
      <c r="B465" s="2" t="s">
        <v>60</v>
      </c>
      <c r="C465" s="2" t="s">
        <v>39</v>
      </c>
      <c r="D465" s="8" t="s">
        <v>626</v>
      </c>
      <c r="E465" s="6">
        <v>45261.0</v>
      </c>
      <c r="F465" s="6">
        <v>45492.0</v>
      </c>
      <c r="G465" s="7">
        <v>3.57450773E9</v>
      </c>
      <c r="H465" s="2" t="s">
        <v>67</v>
      </c>
    </row>
    <row r="466" ht="14.25" customHeight="1">
      <c r="A466" s="2" t="s">
        <v>517</v>
      </c>
      <c r="B466" s="2" t="s">
        <v>60</v>
      </c>
      <c r="C466" s="2" t="s">
        <v>24</v>
      </c>
      <c r="D466" s="8" t="s">
        <v>575</v>
      </c>
      <c r="E466" s="6">
        <v>45261.0</v>
      </c>
      <c r="F466" s="6">
        <v>45525.0</v>
      </c>
      <c r="G466" s="7">
        <v>2.640159197E9</v>
      </c>
      <c r="H466" s="2" t="s">
        <v>50</v>
      </c>
    </row>
    <row r="467" ht="14.25" customHeight="1">
      <c r="A467" s="2" t="s">
        <v>518</v>
      </c>
      <c r="B467" s="2" t="s">
        <v>30</v>
      </c>
      <c r="C467" s="2" t="s">
        <v>39</v>
      </c>
      <c r="D467" s="8" t="s">
        <v>638</v>
      </c>
      <c r="E467" s="6">
        <v>45262.0</v>
      </c>
      <c r="F467" s="6">
        <v>45476.0</v>
      </c>
      <c r="G467" s="7">
        <v>8.57010798E8</v>
      </c>
      <c r="H467" s="8" t="s">
        <v>581</v>
      </c>
    </row>
    <row r="468" ht="14.25" customHeight="1">
      <c r="A468" s="2" t="s">
        <v>519</v>
      </c>
      <c r="B468" s="2" t="s">
        <v>60</v>
      </c>
      <c r="C468" s="2" t="s">
        <v>19</v>
      </c>
      <c r="D468" s="8" t="s">
        <v>616</v>
      </c>
      <c r="E468" s="6">
        <v>45262.0</v>
      </c>
      <c r="F468" s="6">
        <v>45620.0</v>
      </c>
      <c r="G468" s="7">
        <v>3.902836313E9</v>
      </c>
      <c r="H468" s="8" t="s">
        <v>581</v>
      </c>
    </row>
    <row r="469" ht="14.25" customHeight="1">
      <c r="A469" s="2" t="s">
        <v>520</v>
      </c>
      <c r="B469" s="2" t="s">
        <v>12</v>
      </c>
      <c r="C469" s="2" t="s">
        <v>19</v>
      </c>
      <c r="D469" s="8" t="s">
        <v>631</v>
      </c>
      <c r="E469" s="6">
        <v>45263.0</v>
      </c>
      <c r="F469" s="6">
        <v>45413.0</v>
      </c>
      <c r="G469" s="7">
        <v>3.13061138E8</v>
      </c>
      <c r="H469" s="2" t="s">
        <v>21</v>
      </c>
    </row>
    <row r="470" ht="14.25" customHeight="1">
      <c r="A470" s="2" t="s">
        <v>521</v>
      </c>
      <c r="B470" s="2" t="s">
        <v>60</v>
      </c>
      <c r="C470" s="2" t="s">
        <v>39</v>
      </c>
      <c r="D470" s="8" t="s">
        <v>626</v>
      </c>
      <c r="E470" s="6">
        <v>45263.0</v>
      </c>
      <c r="F470" s="6">
        <v>45473.0</v>
      </c>
      <c r="G470" s="7">
        <v>3.704994376E9</v>
      </c>
      <c r="H470" s="2" t="s">
        <v>50</v>
      </c>
    </row>
    <row r="471" ht="14.25" customHeight="1">
      <c r="A471" s="2" t="s">
        <v>522</v>
      </c>
      <c r="B471" s="2" t="s">
        <v>30</v>
      </c>
      <c r="C471" s="2" t="s">
        <v>36</v>
      </c>
      <c r="D471" s="8" t="s">
        <v>639</v>
      </c>
      <c r="E471" s="6">
        <v>45263.0</v>
      </c>
      <c r="F471" s="6">
        <v>45306.0</v>
      </c>
      <c r="G471" s="7">
        <v>6.935528254E9</v>
      </c>
      <c r="H471" s="2" t="s">
        <v>44</v>
      </c>
    </row>
    <row r="472" ht="14.25" customHeight="1">
      <c r="A472" s="2" t="s">
        <v>523</v>
      </c>
      <c r="B472" s="2" t="s">
        <v>18</v>
      </c>
      <c r="C472" s="2" t="s">
        <v>19</v>
      </c>
      <c r="D472" s="8" t="s">
        <v>633</v>
      </c>
      <c r="E472" s="6">
        <v>45265.0</v>
      </c>
      <c r="F472" s="6">
        <v>45562.0</v>
      </c>
      <c r="G472" s="7">
        <v>1.827330534E9</v>
      </c>
      <c r="H472" s="2" t="s">
        <v>33</v>
      </c>
    </row>
    <row r="473" ht="14.25" customHeight="1">
      <c r="A473" s="2" t="s">
        <v>524</v>
      </c>
      <c r="B473" s="2" t="s">
        <v>12</v>
      </c>
      <c r="C473" s="2" t="s">
        <v>48</v>
      </c>
      <c r="D473" s="8" t="s">
        <v>602</v>
      </c>
      <c r="E473" s="6">
        <v>45266.0</v>
      </c>
      <c r="F473" s="6">
        <v>45425.0</v>
      </c>
      <c r="G473" s="7">
        <v>6.43095755E8</v>
      </c>
      <c r="H473" s="2" t="s">
        <v>67</v>
      </c>
    </row>
    <row r="474" ht="14.25" customHeight="1">
      <c r="A474" s="2" t="s">
        <v>525</v>
      </c>
      <c r="B474" s="2" t="s">
        <v>12</v>
      </c>
      <c r="C474" s="2" t="s">
        <v>19</v>
      </c>
      <c r="D474" s="8" t="s">
        <v>631</v>
      </c>
      <c r="E474" s="6">
        <v>45268.0</v>
      </c>
      <c r="F474" s="6">
        <v>45476.0</v>
      </c>
      <c r="G474" s="7">
        <v>1.95287277E8</v>
      </c>
      <c r="H474" s="2" t="s">
        <v>67</v>
      </c>
    </row>
    <row r="475" ht="14.25" customHeight="1">
      <c r="A475" s="2" t="s">
        <v>526</v>
      </c>
      <c r="B475" s="2" t="s">
        <v>18</v>
      </c>
      <c r="C475" s="2" t="s">
        <v>13</v>
      </c>
      <c r="D475" s="8" t="s">
        <v>580</v>
      </c>
      <c r="E475" s="6">
        <v>45268.0</v>
      </c>
      <c r="F475" s="6">
        <v>45413.0</v>
      </c>
      <c r="G475" s="7">
        <v>6.786324237E9</v>
      </c>
      <c r="H475" s="8" t="s">
        <v>581</v>
      </c>
    </row>
    <row r="476" ht="14.25" customHeight="1">
      <c r="A476" s="2" t="s">
        <v>527</v>
      </c>
      <c r="B476" s="2" t="s">
        <v>35</v>
      </c>
      <c r="C476" s="2" t="s">
        <v>36</v>
      </c>
      <c r="D476" s="2" t="s">
        <v>37</v>
      </c>
      <c r="E476" s="6">
        <v>45269.0</v>
      </c>
      <c r="F476" s="6">
        <v>45594.0</v>
      </c>
      <c r="G476" s="7">
        <v>4.99105719E8</v>
      </c>
      <c r="H476" s="2" t="s">
        <v>44</v>
      </c>
    </row>
    <row r="477" ht="14.25" customHeight="1">
      <c r="A477" s="2" t="s">
        <v>528</v>
      </c>
      <c r="B477" s="2" t="s">
        <v>35</v>
      </c>
      <c r="C477" s="2" t="s">
        <v>13</v>
      </c>
      <c r="D477" s="2" t="s">
        <v>78</v>
      </c>
      <c r="E477" s="6">
        <v>45271.0</v>
      </c>
      <c r="F477" s="6">
        <v>45311.0</v>
      </c>
      <c r="G477" s="7">
        <v>4.61111964E8</v>
      </c>
      <c r="H477" s="2" t="s">
        <v>44</v>
      </c>
    </row>
    <row r="478" ht="14.25" customHeight="1">
      <c r="A478" s="2" t="s">
        <v>529</v>
      </c>
      <c r="B478" s="2" t="s">
        <v>60</v>
      </c>
      <c r="C478" s="2" t="s">
        <v>13</v>
      </c>
      <c r="D478" s="8" t="s">
        <v>619</v>
      </c>
      <c r="E478" s="6">
        <v>45272.0</v>
      </c>
      <c r="F478" s="6">
        <v>45481.0</v>
      </c>
      <c r="G478" s="7">
        <v>3.310535255E9</v>
      </c>
      <c r="H478" s="8" t="s">
        <v>573</v>
      </c>
    </row>
    <row r="479" ht="14.25" customHeight="1">
      <c r="A479" s="2" t="s">
        <v>530</v>
      </c>
      <c r="B479" s="2" t="s">
        <v>18</v>
      </c>
      <c r="C479" s="2" t="s">
        <v>19</v>
      </c>
      <c r="D479" s="8" t="s">
        <v>633</v>
      </c>
      <c r="E479" s="6">
        <v>45272.0</v>
      </c>
      <c r="F479" s="6">
        <v>45553.0</v>
      </c>
      <c r="G479" s="11">
        <v>1.639451183E9</v>
      </c>
      <c r="H479" s="2" t="s">
        <v>50</v>
      </c>
    </row>
    <row r="480" ht="14.25" customHeight="1">
      <c r="A480" s="2" t="s">
        <v>531</v>
      </c>
      <c r="B480" s="2" t="s">
        <v>18</v>
      </c>
      <c r="C480" s="2" t="s">
        <v>19</v>
      </c>
      <c r="D480" s="8" t="s">
        <v>633</v>
      </c>
      <c r="E480" s="6">
        <v>45273.0</v>
      </c>
      <c r="F480" s="6">
        <v>45590.0</v>
      </c>
      <c r="G480" s="7">
        <v>2.042593058E9</v>
      </c>
      <c r="H480" s="8" t="s">
        <v>573</v>
      </c>
    </row>
    <row r="481" ht="14.25" customHeight="1">
      <c r="A481" s="2" t="s">
        <v>532</v>
      </c>
      <c r="B481" s="2" t="s">
        <v>60</v>
      </c>
      <c r="C481" s="2" t="s">
        <v>48</v>
      </c>
      <c r="D481" s="8" t="s">
        <v>625</v>
      </c>
      <c r="E481" s="6">
        <v>45273.0</v>
      </c>
      <c r="F481" s="6">
        <v>45394.0</v>
      </c>
      <c r="G481" s="7">
        <v>2.4382268E9</v>
      </c>
      <c r="H481" s="2" t="s">
        <v>50</v>
      </c>
    </row>
    <row r="482" ht="14.25" customHeight="1">
      <c r="A482" s="2" t="s">
        <v>533</v>
      </c>
      <c r="B482" s="2" t="s">
        <v>35</v>
      </c>
      <c r="C482" s="2" t="s">
        <v>39</v>
      </c>
      <c r="D482" s="2" t="s">
        <v>145</v>
      </c>
      <c r="E482" s="6">
        <v>45273.0</v>
      </c>
      <c r="F482" s="6">
        <v>45524.0</v>
      </c>
      <c r="G482" s="7">
        <v>7.40887892E8</v>
      </c>
    </row>
    <row r="483" ht="14.25" customHeight="1">
      <c r="A483" s="2" t="s">
        <v>534</v>
      </c>
      <c r="B483" s="2" t="s">
        <v>60</v>
      </c>
      <c r="C483" s="2" t="s">
        <v>24</v>
      </c>
      <c r="D483" s="8" t="s">
        <v>575</v>
      </c>
      <c r="E483" s="6">
        <v>45278.0</v>
      </c>
      <c r="F483" s="6">
        <v>45634.0</v>
      </c>
      <c r="G483" s="7">
        <v>3.502390822E9</v>
      </c>
    </row>
    <row r="484" ht="14.25" customHeight="1">
      <c r="A484" s="2" t="s">
        <v>535</v>
      </c>
      <c r="B484" s="2" t="s">
        <v>35</v>
      </c>
      <c r="C484" s="2" t="s">
        <v>48</v>
      </c>
      <c r="D484" s="2" t="s">
        <v>49</v>
      </c>
      <c r="E484" s="6">
        <v>45281.0</v>
      </c>
      <c r="F484" s="6">
        <v>45467.0</v>
      </c>
      <c r="G484" s="7">
        <v>6.3329943E8</v>
      </c>
      <c r="H484" s="8" t="s">
        <v>581</v>
      </c>
    </row>
    <row r="485" ht="14.25" customHeight="1">
      <c r="A485" s="2" t="s">
        <v>536</v>
      </c>
      <c r="B485" s="2" t="s">
        <v>35</v>
      </c>
      <c r="C485" s="2" t="s">
        <v>24</v>
      </c>
      <c r="D485" s="2" t="s">
        <v>133</v>
      </c>
      <c r="E485" s="6">
        <v>45282.0</v>
      </c>
      <c r="F485" s="6">
        <v>45595.0</v>
      </c>
      <c r="G485" s="7">
        <v>5.18578528E8</v>
      </c>
      <c r="H485" s="8" t="s">
        <v>581</v>
      </c>
    </row>
    <row r="486" ht="14.25" customHeight="1">
      <c r="A486" s="2" t="s">
        <v>537</v>
      </c>
      <c r="B486" s="2" t="s">
        <v>60</v>
      </c>
      <c r="C486" s="2" t="s">
        <v>19</v>
      </c>
      <c r="D486" s="8" t="s">
        <v>616</v>
      </c>
      <c r="E486" s="6">
        <v>45283.0</v>
      </c>
      <c r="F486" s="6">
        <v>45588.0</v>
      </c>
      <c r="G486" s="7">
        <v>2.716743578E9</v>
      </c>
      <c r="H486" s="8" t="s">
        <v>573</v>
      </c>
    </row>
    <row r="487" ht="14.25" customHeight="1">
      <c r="A487" s="2" t="s">
        <v>538</v>
      </c>
      <c r="B487" s="2" t="s">
        <v>18</v>
      </c>
      <c r="C487" s="2" t="s">
        <v>36</v>
      </c>
      <c r="D487" s="8" t="s">
        <v>634</v>
      </c>
      <c r="E487" s="6">
        <v>45284.0</v>
      </c>
      <c r="F487" s="6">
        <v>45579.0</v>
      </c>
      <c r="G487" s="7">
        <v>3.55836617E9</v>
      </c>
      <c r="H487" s="2" t="s">
        <v>67</v>
      </c>
    </row>
    <row r="488" ht="14.25" customHeight="1">
      <c r="A488" s="2" t="s">
        <v>539</v>
      </c>
      <c r="B488" s="2" t="s">
        <v>60</v>
      </c>
      <c r="C488" s="2" t="s">
        <v>48</v>
      </c>
      <c r="D488" s="8" t="s">
        <v>625</v>
      </c>
      <c r="E488" s="6">
        <v>45284.0</v>
      </c>
      <c r="F488" s="6">
        <v>45473.0</v>
      </c>
      <c r="G488" s="7">
        <v>3.504700319E9</v>
      </c>
      <c r="H488" s="2" t="s">
        <v>21</v>
      </c>
    </row>
    <row r="489" ht="14.25" customHeight="1">
      <c r="A489" s="2" t="s">
        <v>540</v>
      </c>
      <c r="B489" s="2" t="s">
        <v>18</v>
      </c>
      <c r="C489" s="2" t="s">
        <v>36</v>
      </c>
      <c r="D489" s="8" t="s">
        <v>634</v>
      </c>
      <c r="E489" s="6">
        <v>45284.0</v>
      </c>
      <c r="F489" s="6">
        <v>45536.0</v>
      </c>
      <c r="G489" s="7">
        <v>8.473123375E9</v>
      </c>
      <c r="H489" s="8" t="s">
        <v>573</v>
      </c>
    </row>
    <row r="490" ht="14.25" customHeight="1">
      <c r="A490" s="2" t="s">
        <v>541</v>
      </c>
      <c r="B490" s="2" t="s">
        <v>12</v>
      </c>
      <c r="C490" s="2" t="s">
        <v>48</v>
      </c>
      <c r="D490" s="8" t="s">
        <v>602</v>
      </c>
      <c r="E490" s="6">
        <v>45285.0</v>
      </c>
      <c r="F490" s="6">
        <v>45318.0</v>
      </c>
      <c r="G490" s="7">
        <v>4.07605972E8</v>
      </c>
    </row>
    <row r="491" ht="14.25" customHeight="1">
      <c r="A491" s="2" t="s">
        <v>542</v>
      </c>
      <c r="B491" s="2" t="s">
        <v>60</v>
      </c>
      <c r="C491" s="2" t="s">
        <v>19</v>
      </c>
      <c r="D491" s="8" t="s">
        <v>635</v>
      </c>
      <c r="E491" s="6">
        <v>45285.0</v>
      </c>
      <c r="F491" s="6">
        <v>45567.0</v>
      </c>
      <c r="G491" s="7">
        <v>3.697961455E9</v>
      </c>
      <c r="H491" s="2" t="s">
        <v>50</v>
      </c>
    </row>
    <row r="492" ht="14.25" customHeight="1">
      <c r="A492" s="2" t="s">
        <v>543</v>
      </c>
      <c r="B492" s="2" t="s">
        <v>18</v>
      </c>
      <c r="C492" s="2" t="s">
        <v>42</v>
      </c>
      <c r="D492" s="8" t="s">
        <v>621</v>
      </c>
      <c r="E492" s="6">
        <v>45286.0</v>
      </c>
      <c r="F492" s="6">
        <v>45368.0</v>
      </c>
      <c r="G492" s="7">
        <v>9.185210892E9</v>
      </c>
      <c r="H492" s="8" t="s">
        <v>581</v>
      </c>
    </row>
    <row r="493" ht="14.25" customHeight="1">
      <c r="A493" s="2" t="s">
        <v>544</v>
      </c>
      <c r="B493" s="2" t="s">
        <v>35</v>
      </c>
      <c r="C493" s="2" t="s">
        <v>13</v>
      </c>
      <c r="D493" s="2" t="s">
        <v>78</v>
      </c>
      <c r="E493" s="6">
        <v>45286.0</v>
      </c>
      <c r="F493" s="6">
        <v>45570.0</v>
      </c>
      <c r="G493" s="7">
        <v>5.7743407E8</v>
      </c>
      <c r="H493" s="2" t="s">
        <v>50</v>
      </c>
    </row>
    <row r="494" ht="14.25" customHeight="1">
      <c r="A494" s="2" t="s">
        <v>545</v>
      </c>
      <c r="B494" s="2" t="s">
        <v>18</v>
      </c>
      <c r="C494" s="2" t="s">
        <v>31</v>
      </c>
      <c r="D494" s="8" t="s">
        <v>636</v>
      </c>
      <c r="E494" s="6">
        <v>45286.0</v>
      </c>
      <c r="F494" s="6">
        <v>45044.0</v>
      </c>
      <c r="G494" s="7">
        <v>9.221677626E9</v>
      </c>
      <c r="H494" s="8" t="s">
        <v>581</v>
      </c>
    </row>
    <row r="495" ht="14.25" customHeight="1">
      <c r="A495" s="2" t="s">
        <v>546</v>
      </c>
      <c r="B495" s="2" t="s">
        <v>60</v>
      </c>
      <c r="C495" s="2" t="s">
        <v>31</v>
      </c>
      <c r="D495" s="8" t="s">
        <v>599</v>
      </c>
      <c r="E495" s="6">
        <v>45287.0</v>
      </c>
      <c r="F495" s="6">
        <v>45624.0</v>
      </c>
      <c r="G495" s="7">
        <v>4.616485762E9</v>
      </c>
      <c r="H495" s="2" t="s">
        <v>44</v>
      </c>
    </row>
    <row r="496" ht="14.25" customHeight="1">
      <c r="A496" s="2" t="s">
        <v>547</v>
      </c>
      <c r="B496" s="2" t="s">
        <v>18</v>
      </c>
      <c r="C496" s="2" t="s">
        <v>24</v>
      </c>
      <c r="D496" s="8" t="s">
        <v>618</v>
      </c>
      <c r="E496" s="6">
        <v>45287.0</v>
      </c>
      <c r="F496" s="6">
        <v>45343.0</v>
      </c>
      <c r="G496" s="7">
        <v>4.101514487E9</v>
      </c>
    </row>
    <row r="497" ht="14.25" customHeight="1">
      <c r="A497" s="2" t="s">
        <v>548</v>
      </c>
      <c r="B497" s="2" t="s">
        <v>35</v>
      </c>
      <c r="C497" s="2" t="s">
        <v>39</v>
      </c>
      <c r="D497" s="2" t="s">
        <v>145</v>
      </c>
      <c r="E497" s="6">
        <v>45289.0</v>
      </c>
      <c r="F497" s="6">
        <v>45611.0</v>
      </c>
      <c r="G497" s="7">
        <v>4.19613481E8</v>
      </c>
      <c r="H497" s="2" t="s">
        <v>50</v>
      </c>
    </row>
    <row r="498" ht="14.25" customHeight="1">
      <c r="A498" s="2" t="s">
        <v>549</v>
      </c>
      <c r="B498" s="2" t="s">
        <v>35</v>
      </c>
      <c r="C498" s="2" t="s">
        <v>36</v>
      </c>
      <c r="D498" s="2" t="s">
        <v>37</v>
      </c>
      <c r="E498" s="6">
        <v>45289.0</v>
      </c>
      <c r="F498" s="6">
        <v>45346.0</v>
      </c>
      <c r="G498" s="7">
        <v>2.71658499E8</v>
      </c>
      <c r="H498" s="2" t="s">
        <v>21</v>
      </c>
    </row>
    <row r="499" ht="14.25" customHeight="1">
      <c r="A499" s="2" t="s">
        <v>550</v>
      </c>
      <c r="B499" s="2" t="s">
        <v>60</v>
      </c>
      <c r="C499" s="2" t="s">
        <v>19</v>
      </c>
      <c r="D499" s="8" t="s">
        <v>616</v>
      </c>
      <c r="E499" s="6">
        <v>45290.0</v>
      </c>
      <c r="F499" s="6">
        <v>45461.0</v>
      </c>
      <c r="G499" s="7">
        <v>3.282339654E9</v>
      </c>
      <c r="H499" s="2" t="s">
        <v>67</v>
      </c>
    </row>
    <row r="500" ht="14.25" customHeight="1">
      <c r="A500" s="2" t="s">
        <v>551</v>
      </c>
      <c r="B500" s="2" t="s">
        <v>18</v>
      </c>
      <c r="C500" s="2" t="s">
        <v>48</v>
      </c>
      <c r="D500" s="8" t="s">
        <v>629</v>
      </c>
      <c r="E500" s="6">
        <v>45291.0</v>
      </c>
      <c r="F500" s="6">
        <v>45563.0</v>
      </c>
      <c r="G500" s="7">
        <v>2.974669932E9</v>
      </c>
      <c r="H500" s="2" t="s">
        <v>67</v>
      </c>
    </row>
    <row r="501" ht="14.25" customHeight="1">
      <c r="A501" s="8" t="s">
        <v>643</v>
      </c>
      <c r="B501" s="2" t="s">
        <v>12</v>
      </c>
      <c r="C501" s="8" t="s">
        <v>39</v>
      </c>
      <c r="D501" s="8" t="s">
        <v>644</v>
      </c>
      <c r="E501" s="6">
        <v>45292.0</v>
      </c>
      <c r="F501" s="6">
        <v>45292.0</v>
      </c>
      <c r="G501" s="7">
        <v>1.05133426E8</v>
      </c>
      <c r="H501" s="8" t="s">
        <v>645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</cols>
  <sheetData>
    <row r="1">
      <c r="A1" s="1" t="s">
        <v>0</v>
      </c>
    </row>
    <row r="2">
      <c r="A2" s="2" t="s">
        <v>11</v>
      </c>
    </row>
    <row r="3">
      <c r="A3" s="8" t="s">
        <v>574</v>
      </c>
    </row>
    <row r="4">
      <c r="A4" s="2" t="s">
        <v>17</v>
      </c>
    </row>
    <row r="5">
      <c r="A5" s="8" t="s">
        <v>576</v>
      </c>
    </row>
    <row r="6">
      <c r="A6" s="2" t="s">
        <v>23</v>
      </c>
    </row>
    <row r="7">
      <c r="A7" s="8" t="s">
        <v>579</v>
      </c>
    </row>
    <row r="8">
      <c r="A8" s="2" t="s">
        <v>27</v>
      </c>
    </row>
    <row r="9">
      <c r="A9" s="8" t="s">
        <v>583</v>
      </c>
    </row>
    <row r="10">
      <c r="A10" s="2" t="s">
        <v>29</v>
      </c>
    </row>
    <row r="11">
      <c r="A11" s="8" t="s">
        <v>584</v>
      </c>
    </row>
    <row r="12">
      <c r="A12" s="2" t="s">
        <v>34</v>
      </c>
    </row>
    <row r="13">
      <c r="A13" s="8" t="s">
        <v>586</v>
      </c>
    </row>
    <row r="14">
      <c r="A14" s="2" t="s">
        <v>38</v>
      </c>
    </row>
    <row r="15">
      <c r="A15" s="8" t="s">
        <v>588</v>
      </c>
    </row>
    <row r="16">
      <c r="A16" s="2" t="s">
        <v>41</v>
      </c>
    </row>
    <row r="17">
      <c r="A17" s="8" t="s">
        <v>589</v>
      </c>
    </row>
    <row r="18">
      <c r="A18" s="2" t="s">
        <v>45</v>
      </c>
    </row>
    <row r="19">
      <c r="A19" s="8" t="s">
        <v>592</v>
      </c>
    </row>
    <row r="20">
      <c r="A20" s="2" t="s">
        <v>47</v>
      </c>
    </row>
    <row r="21">
      <c r="A21" s="8" t="s">
        <v>594</v>
      </c>
    </row>
    <row r="22">
      <c r="A22" s="2" t="s">
        <v>51</v>
      </c>
    </row>
    <row r="23">
      <c r="A23" s="8" t="s">
        <v>596</v>
      </c>
    </row>
    <row r="24">
      <c r="A24" s="2" t="s">
        <v>52</v>
      </c>
    </row>
    <row r="25">
      <c r="A25" s="8" t="s">
        <v>598</v>
      </c>
    </row>
    <row r="26">
      <c r="A26" s="2" t="s">
        <v>54</v>
      </c>
    </row>
    <row r="27">
      <c r="A27" s="8" t="s">
        <v>600</v>
      </c>
    </row>
    <row r="28">
      <c r="A28" s="2" t="s">
        <v>55</v>
      </c>
    </row>
    <row r="29">
      <c r="A29" s="8" t="s">
        <v>601</v>
      </c>
    </row>
    <row r="30">
      <c r="A30" s="2" t="s">
        <v>57</v>
      </c>
    </row>
    <row r="31">
      <c r="A31" s="8" t="s">
        <v>604</v>
      </c>
    </row>
    <row r="32">
      <c r="A32" s="2" t="s">
        <v>59</v>
      </c>
    </row>
    <row r="33">
      <c r="A33" s="8" t="s">
        <v>606</v>
      </c>
    </row>
    <row r="34">
      <c r="A34" s="2" t="s">
        <v>62</v>
      </c>
    </row>
    <row r="35">
      <c r="A35" s="8" t="s">
        <v>607</v>
      </c>
    </row>
    <row r="36">
      <c r="A36" s="2" t="s">
        <v>64</v>
      </c>
    </row>
    <row r="37">
      <c r="A37" s="8" t="s">
        <v>608</v>
      </c>
    </row>
    <row r="38">
      <c r="A38" s="2" t="s">
        <v>65</v>
      </c>
    </row>
    <row r="39">
      <c r="A39" s="8" t="s">
        <v>609</v>
      </c>
    </row>
    <row r="40">
      <c r="A40" s="2" t="s">
        <v>68</v>
      </c>
    </row>
    <row r="41">
      <c r="A41" s="8" t="s">
        <v>611</v>
      </c>
    </row>
    <row r="42">
      <c r="A42" s="2" t="s">
        <v>70</v>
      </c>
    </row>
    <row r="43">
      <c r="A43" s="2" t="s">
        <v>72</v>
      </c>
    </row>
    <row r="44">
      <c r="A44" s="2" t="s">
        <v>73</v>
      </c>
    </row>
    <row r="45">
      <c r="A45" s="2" t="s">
        <v>75</v>
      </c>
    </row>
    <row r="46">
      <c r="A46" s="2" t="s">
        <v>76</v>
      </c>
    </row>
    <row r="47">
      <c r="A47" s="2" t="s">
        <v>77</v>
      </c>
    </row>
    <row r="48">
      <c r="A48" s="2" t="s">
        <v>79</v>
      </c>
    </row>
    <row r="49">
      <c r="A49" s="2" t="s">
        <v>81</v>
      </c>
    </row>
    <row r="50">
      <c r="A50" s="2" t="s">
        <v>82</v>
      </c>
    </row>
    <row r="51">
      <c r="A51" s="2" t="s">
        <v>84</v>
      </c>
    </row>
    <row r="52">
      <c r="A52" s="2" t="s">
        <v>86</v>
      </c>
    </row>
    <row r="53">
      <c r="A53" s="2" t="s">
        <v>88</v>
      </c>
    </row>
    <row r="54">
      <c r="A54" s="2" t="s">
        <v>89</v>
      </c>
    </row>
    <row r="55">
      <c r="A55" s="2" t="s">
        <v>90</v>
      </c>
    </row>
    <row r="56">
      <c r="A56" s="2" t="s">
        <v>92</v>
      </c>
    </row>
    <row r="57">
      <c r="A57" s="2" t="s">
        <v>94</v>
      </c>
    </row>
    <row r="58">
      <c r="A58" s="2" t="s">
        <v>96</v>
      </c>
    </row>
    <row r="59">
      <c r="A59" s="2" t="s">
        <v>98</v>
      </c>
    </row>
    <row r="60">
      <c r="A60" s="2" t="s">
        <v>99</v>
      </c>
    </row>
    <row r="61">
      <c r="A61" s="2" t="s">
        <v>100</v>
      </c>
    </row>
    <row r="62">
      <c r="A62" s="2" t="s">
        <v>102</v>
      </c>
    </row>
    <row r="63">
      <c r="A63" s="2" t="s">
        <v>103</v>
      </c>
    </row>
    <row r="64">
      <c r="A64" s="2" t="s">
        <v>104</v>
      </c>
    </row>
    <row r="65">
      <c r="A65" s="2" t="s">
        <v>105</v>
      </c>
    </row>
    <row r="66">
      <c r="A66" s="2" t="s">
        <v>106</v>
      </c>
    </row>
    <row r="67">
      <c r="A67" s="2" t="s">
        <v>107</v>
      </c>
    </row>
    <row r="68">
      <c r="A68" s="2" t="s">
        <v>108</v>
      </c>
    </row>
    <row r="69">
      <c r="A69" s="2" t="s">
        <v>109</v>
      </c>
    </row>
    <row r="70">
      <c r="A70" s="2" t="s">
        <v>110</v>
      </c>
    </row>
    <row r="71">
      <c r="A71" s="2" t="s">
        <v>112</v>
      </c>
    </row>
    <row r="72">
      <c r="A72" s="2" t="s">
        <v>113</v>
      </c>
    </row>
    <row r="73">
      <c r="A73" s="2" t="s">
        <v>114</v>
      </c>
    </row>
    <row r="74">
      <c r="A74" s="2" t="s">
        <v>115</v>
      </c>
    </row>
    <row r="75">
      <c r="A75" s="2" t="s">
        <v>116</v>
      </c>
    </row>
    <row r="76">
      <c r="A76" s="2" t="s">
        <v>117</v>
      </c>
    </row>
    <row r="77">
      <c r="A77" s="2" t="s">
        <v>118</v>
      </c>
    </row>
    <row r="78">
      <c r="A78" s="2" t="s">
        <v>119</v>
      </c>
    </row>
    <row r="79">
      <c r="A79" s="2" t="s">
        <v>120</v>
      </c>
    </row>
    <row r="80">
      <c r="A80" s="2" t="s">
        <v>122</v>
      </c>
    </row>
    <row r="81">
      <c r="A81" s="2" t="s">
        <v>123</v>
      </c>
    </row>
    <row r="82">
      <c r="A82" s="2" t="s">
        <v>124</v>
      </c>
    </row>
    <row r="83">
      <c r="A83" s="2" t="s">
        <v>125</v>
      </c>
    </row>
    <row r="84">
      <c r="A84" s="2" t="s">
        <v>126</v>
      </c>
    </row>
    <row r="85">
      <c r="A85" s="2" t="s">
        <v>127</v>
      </c>
    </row>
    <row r="86">
      <c r="A86" s="2" t="s">
        <v>128</v>
      </c>
    </row>
    <row r="87">
      <c r="A87" s="2" t="s">
        <v>129</v>
      </c>
    </row>
    <row r="88">
      <c r="A88" s="2" t="s">
        <v>130</v>
      </c>
    </row>
    <row r="89">
      <c r="A89" s="2" t="s">
        <v>131</v>
      </c>
    </row>
    <row r="90">
      <c r="A90" s="2" t="s">
        <v>132</v>
      </c>
    </row>
    <row r="91">
      <c r="A91" s="2" t="s">
        <v>134</v>
      </c>
    </row>
    <row r="92">
      <c r="A92" s="2" t="s">
        <v>136</v>
      </c>
    </row>
    <row r="93">
      <c r="A93" s="2" t="s">
        <v>137</v>
      </c>
    </row>
    <row r="94">
      <c r="A94" s="2" t="s">
        <v>138</v>
      </c>
    </row>
    <row r="95">
      <c r="A95" s="2" t="s">
        <v>139</v>
      </c>
    </row>
    <row r="96">
      <c r="A96" s="2" t="s">
        <v>140</v>
      </c>
    </row>
    <row r="97">
      <c r="A97" s="2" t="s">
        <v>141</v>
      </c>
    </row>
    <row r="98">
      <c r="A98" s="2" t="s">
        <v>142</v>
      </c>
    </row>
    <row r="99">
      <c r="A99" s="2" t="s">
        <v>144</v>
      </c>
    </row>
    <row r="100">
      <c r="A100" s="2" t="s">
        <v>146</v>
      </c>
    </row>
    <row r="101">
      <c r="A101" s="2" t="s">
        <v>147</v>
      </c>
    </row>
    <row r="102">
      <c r="A102" s="2" t="s">
        <v>148</v>
      </c>
    </row>
    <row r="103">
      <c r="A103" s="2" t="s">
        <v>149</v>
      </c>
    </row>
    <row r="104">
      <c r="A104" s="2" t="s">
        <v>150</v>
      </c>
    </row>
    <row r="105">
      <c r="A105" s="2" t="s">
        <v>151</v>
      </c>
    </row>
    <row r="106">
      <c r="A106" s="2" t="s">
        <v>152</v>
      </c>
    </row>
    <row r="107">
      <c r="A107" s="2" t="s">
        <v>153</v>
      </c>
    </row>
    <row r="108">
      <c r="A108" s="2" t="s">
        <v>155</v>
      </c>
    </row>
    <row r="109">
      <c r="A109" s="2" t="s">
        <v>156</v>
      </c>
    </row>
    <row r="110">
      <c r="A110" s="2" t="s">
        <v>157</v>
      </c>
    </row>
    <row r="111">
      <c r="A111" s="2" t="s">
        <v>158</v>
      </c>
    </row>
    <row r="112">
      <c r="A112" s="2" t="s">
        <v>159</v>
      </c>
    </row>
    <row r="113">
      <c r="A113" s="2" t="s">
        <v>161</v>
      </c>
    </row>
    <row r="114">
      <c r="A114" s="2" t="s">
        <v>162</v>
      </c>
    </row>
    <row r="115">
      <c r="A115" s="2" t="s">
        <v>163</v>
      </c>
    </row>
    <row r="116">
      <c r="A116" s="2" t="s">
        <v>164</v>
      </c>
    </row>
    <row r="117">
      <c r="A117" s="2" t="s">
        <v>165</v>
      </c>
    </row>
    <row r="118">
      <c r="A118" s="2" t="s">
        <v>166</v>
      </c>
    </row>
    <row r="119">
      <c r="A119" s="2" t="s">
        <v>167</v>
      </c>
    </row>
    <row r="120">
      <c r="A120" s="2" t="s">
        <v>168</v>
      </c>
    </row>
    <row r="121">
      <c r="A121" s="2" t="s">
        <v>169</v>
      </c>
    </row>
    <row r="122">
      <c r="A122" s="2" t="s">
        <v>170</v>
      </c>
    </row>
    <row r="123">
      <c r="A123" s="2" t="s">
        <v>172</v>
      </c>
    </row>
    <row r="124">
      <c r="A124" s="2" t="s">
        <v>173</v>
      </c>
    </row>
    <row r="125">
      <c r="A125" s="2" t="s">
        <v>174</v>
      </c>
    </row>
    <row r="126">
      <c r="A126" s="2" t="s">
        <v>175</v>
      </c>
    </row>
    <row r="127">
      <c r="A127" s="2" t="s">
        <v>176</v>
      </c>
    </row>
    <row r="128">
      <c r="A128" s="2" t="s">
        <v>177</v>
      </c>
    </row>
    <row r="129">
      <c r="A129" s="2" t="s">
        <v>178</v>
      </c>
    </row>
    <row r="130">
      <c r="A130" s="2" t="s">
        <v>179</v>
      </c>
    </row>
    <row r="131">
      <c r="A131" s="2" t="s">
        <v>180</v>
      </c>
    </row>
    <row r="132">
      <c r="A132" s="2" t="s">
        <v>181</v>
      </c>
    </row>
    <row r="133">
      <c r="A133" s="2" t="s">
        <v>183</v>
      </c>
    </row>
    <row r="134">
      <c r="A134" s="2" t="s">
        <v>184</v>
      </c>
    </row>
    <row r="135">
      <c r="A135" s="2" t="s">
        <v>186</v>
      </c>
    </row>
    <row r="136">
      <c r="A136" s="2" t="s">
        <v>187</v>
      </c>
    </row>
    <row r="137">
      <c r="A137" s="2" t="s">
        <v>188</v>
      </c>
    </row>
    <row r="138">
      <c r="A138" s="2" t="s">
        <v>189</v>
      </c>
    </row>
    <row r="139">
      <c r="A139" s="2" t="s">
        <v>190</v>
      </c>
    </row>
    <row r="140">
      <c r="A140" s="2" t="s">
        <v>191</v>
      </c>
    </row>
    <row r="141">
      <c r="A141" s="2" t="s">
        <v>192</v>
      </c>
    </row>
    <row r="142">
      <c r="A142" s="2" t="s">
        <v>193</v>
      </c>
    </row>
    <row r="143">
      <c r="A143" s="2" t="s">
        <v>194</v>
      </c>
    </row>
    <row r="144">
      <c r="A144" s="2" t="s">
        <v>195</v>
      </c>
    </row>
    <row r="145">
      <c r="A145" s="2" t="s">
        <v>196</v>
      </c>
    </row>
    <row r="146">
      <c r="A146" s="2" t="s">
        <v>197</v>
      </c>
    </row>
    <row r="147">
      <c r="A147" s="2" t="s">
        <v>198</v>
      </c>
    </row>
    <row r="148">
      <c r="A148" s="2" t="s">
        <v>199</v>
      </c>
    </row>
    <row r="149">
      <c r="A149" s="2" t="s">
        <v>200</v>
      </c>
    </row>
    <row r="150">
      <c r="A150" s="2" t="s">
        <v>201</v>
      </c>
    </row>
    <row r="151">
      <c r="A151" s="2" t="s">
        <v>202</v>
      </c>
    </row>
    <row r="152">
      <c r="A152" s="2" t="s">
        <v>203</v>
      </c>
    </row>
    <row r="153">
      <c r="A153" s="2" t="s">
        <v>204</v>
      </c>
    </row>
    <row r="154">
      <c r="A154" s="2" t="s">
        <v>205</v>
      </c>
    </row>
    <row r="155">
      <c r="A155" s="2" t="s">
        <v>206</v>
      </c>
    </row>
    <row r="156">
      <c r="A156" s="2" t="s">
        <v>207</v>
      </c>
    </row>
    <row r="157">
      <c r="A157" s="2" t="s">
        <v>208</v>
      </c>
    </row>
    <row r="158">
      <c r="A158" s="2" t="s">
        <v>209</v>
      </c>
    </row>
    <row r="159">
      <c r="A159" s="2" t="s">
        <v>210</v>
      </c>
    </row>
    <row r="160">
      <c r="A160" s="2" t="s">
        <v>211</v>
      </c>
    </row>
    <row r="161">
      <c r="A161" s="2" t="s">
        <v>212</v>
      </c>
    </row>
    <row r="162">
      <c r="A162" s="2" t="s">
        <v>213</v>
      </c>
    </row>
    <row r="163">
      <c r="A163" s="2" t="s">
        <v>214</v>
      </c>
    </row>
    <row r="164">
      <c r="A164" s="2" t="s">
        <v>215</v>
      </c>
    </row>
    <row r="165">
      <c r="A165" s="2" t="s">
        <v>216</v>
      </c>
    </row>
    <row r="166">
      <c r="A166" s="2" t="s">
        <v>217</v>
      </c>
    </row>
    <row r="167">
      <c r="A167" s="2" t="s">
        <v>218</v>
      </c>
    </row>
    <row r="168">
      <c r="A168" s="2" t="s">
        <v>219</v>
      </c>
    </row>
    <row r="169">
      <c r="A169" s="2" t="s">
        <v>220</v>
      </c>
    </row>
    <row r="170">
      <c r="A170" s="2" t="s">
        <v>221</v>
      </c>
    </row>
    <row r="171">
      <c r="A171" s="2" t="s">
        <v>222</v>
      </c>
    </row>
    <row r="172">
      <c r="A172" s="2" t="s">
        <v>223</v>
      </c>
    </row>
    <row r="173">
      <c r="A173" s="2" t="s">
        <v>224</v>
      </c>
    </row>
    <row r="174">
      <c r="A174" s="2" t="s">
        <v>225</v>
      </c>
    </row>
    <row r="175">
      <c r="A175" s="2" t="s">
        <v>226</v>
      </c>
    </row>
    <row r="176">
      <c r="A176" s="2" t="s">
        <v>227</v>
      </c>
    </row>
    <row r="177">
      <c r="A177" s="2" t="s">
        <v>228</v>
      </c>
    </row>
    <row r="178">
      <c r="A178" s="2" t="s">
        <v>229</v>
      </c>
    </row>
    <row r="179">
      <c r="A179" s="2" t="s">
        <v>230</v>
      </c>
    </row>
    <row r="180">
      <c r="A180" s="2" t="s">
        <v>231</v>
      </c>
    </row>
    <row r="181">
      <c r="A181" s="2" t="s">
        <v>232</v>
      </c>
    </row>
    <row r="182">
      <c r="A182" s="2" t="s">
        <v>233</v>
      </c>
    </row>
    <row r="183">
      <c r="A183" s="2" t="s">
        <v>234</v>
      </c>
    </row>
    <row r="184">
      <c r="A184" s="2" t="s">
        <v>235</v>
      </c>
    </row>
    <row r="185">
      <c r="A185" s="2" t="s">
        <v>236</v>
      </c>
    </row>
    <row r="186">
      <c r="A186" s="2" t="s">
        <v>237</v>
      </c>
    </row>
    <row r="187">
      <c r="A187" s="2" t="s">
        <v>238</v>
      </c>
    </row>
    <row r="188">
      <c r="A188" s="2" t="s">
        <v>239</v>
      </c>
    </row>
    <row r="189">
      <c r="A189" s="2" t="s">
        <v>240</v>
      </c>
    </row>
    <row r="190">
      <c r="A190" s="2" t="s">
        <v>241</v>
      </c>
    </row>
    <row r="191">
      <c r="A191" s="2" t="s">
        <v>242</v>
      </c>
    </row>
    <row r="192">
      <c r="A192" s="2" t="s">
        <v>243</v>
      </c>
    </row>
    <row r="193">
      <c r="A193" s="2" t="s">
        <v>244</v>
      </c>
    </row>
    <row r="194">
      <c r="A194" s="2" t="s">
        <v>245</v>
      </c>
    </row>
    <row r="195">
      <c r="A195" s="2" t="s">
        <v>246</v>
      </c>
    </row>
    <row r="196">
      <c r="A196" s="2" t="s">
        <v>247</v>
      </c>
    </row>
    <row r="197">
      <c r="A197" s="2" t="s">
        <v>248</v>
      </c>
    </row>
    <row r="198">
      <c r="A198" s="2" t="s">
        <v>249</v>
      </c>
    </row>
    <row r="199">
      <c r="A199" s="2" t="s">
        <v>250</v>
      </c>
    </row>
    <row r="200">
      <c r="A200" s="2" t="s">
        <v>251</v>
      </c>
    </row>
    <row r="201">
      <c r="A201" s="2" t="s">
        <v>252</v>
      </c>
    </row>
    <row r="202">
      <c r="A202" s="2" t="s">
        <v>253</v>
      </c>
    </row>
    <row r="203">
      <c r="A203" s="2" t="s">
        <v>254</v>
      </c>
    </row>
    <row r="204">
      <c r="A204" s="2" t="s">
        <v>255</v>
      </c>
    </row>
    <row r="205">
      <c r="A205" s="2" t="s">
        <v>256</v>
      </c>
    </row>
    <row r="206">
      <c r="A206" s="2" t="s">
        <v>257</v>
      </c>
    </row>
    <row r="207">
      <c r="A207" s="2" t="s">
        <v>258</v>
      </c>
    </row>
    <row r="208">
      <c r="A208" s="2" t="s">
        <v>259</v>
      </c>
    </row>
    <row r="209">
      <c r="A209" s="2" t="s">
        <v>260</v>
      </c>
    </row>
    <row r="210">
      <c r="A210" s="2" t="s">
        <v>261</v>
      </c>
    </row>
    <row r="211">
      <c r="A211" s="2" t="s">
        <v>262</v>
      </c>
    </row>
    <row r="212">
      <c r="A212" s="2" t="s">
        <v>263</v>
      </c>
    </row>
    <row r="213">
      <c r="A213" s="8" t="s">
        <v>264</v>
      </c>
    </row>
    <row r="214">
      <c r="A214" s="8" t="s">
        <v>265</v>
      </c>
    </row>
    <row r="215">
      <c r="A215" s="2" t="s">
        <v>266</v>
      </c>
    </row>
    <row r="216">
      <c r="A216" s="2" t="s">
        <v>267</v>
      </c>
    </row>
    <row r="217">
      <c r="A217" s="2" t="s">
        <v>268</v>
      </c>
    </row>
    <row r="218">
      <c r="A218" s="2" t="s">
        <v>269</v>
      </c>
    </row>
    <row r="219">
      <c r="A219" s="2" t="s">
        <v>270</v>
      </c>
    </row>
    <row r="220">
      <c r="A220" s="2" t="s">
        <v>271</v>
      </c>
    </row>
    <row r="221">
      <c r="A221" s="2" t="s">
        <v>272</v>
      </c>
    </row>
    <row r="222">
      <c r="A222" s="2" t="s">
        <v>273</v>
      </c>
    </row>
    <row r="223">
      <c r="A223" s="2" t="s">
        <v>274</v>
      </c>
    </row>
    <row r="224">
      <c r="A224" s="2" t="s">
        <v>275</v>
      </c>
    </row>
    <row r="225">
      <c r="A225" s="2" t="s">
        <v>276</v>
      </c>
    </row>
    <row r="226">
      <c r="A226" s="2" t="s">
        <v>277</v>
      </c>
    </row>
    <row r="227">
      <c r="A227" s="2" t="s">
        <v>278</v>
      </c>
    </row>
    <row r="228">
      <c r="A228" s="2" t="s">
        <v>279</v>
      </c>
    </row>
    <row r="229">
      <c r="A229" s="2" t="s">
        <v>280</v>
      </c>
    </row>
    <row r="230">
      <c r="A230" s="2" t="s">
        <v>281</v>
      </c>
    </row>
    <row r="231">
      <c r="A231" s="2" t="s">
        <v>282</v>
      </c>
    </row>
    <row r="232">
      <c r="A232" s="2" t="s">
        <v>283</v>
      </c>
    </row>
    <row r="233">
      <c r="A233" s="2" t="s">
        <v>284</v>
      </c>
    </row>
    <row r="234">
      <c r="A234" s="2" t="s">
        <v>285</v>
      </c>
    </row>
    <row r="235">
      <c r="A235" s="2" t="s">
        <v>286</v>
      </c>
    </row>
    <row r="236">
      <c r="A236" s="2" t="s">
        <v>287</v>
      </c>
    </row>
    <row r="237">
      <c r="A237" s="2" t="s">
        <v>288</v>
      </c>
    </row>
    <row r="238">
      <c r="A238" s="2" t="s">
        <v>289</v>
      </c>
    </row>
    <row r="239">
      <c r="A239" s="2" t="s">
        <v>290</v>
      </c>
    </row>
    <row r="240">
      <c r="A240" s="2" t="s">
        <v>291</v>
      </c>
    </row>
    <row r="241">
      <c r="A241" s="2" t="s">
        <v>292</v>
      </c>
    </row>
    <row r="242">
      <c r="A242" s="2" t="s">
        <v>293</v>
      </c>
    </row>
    <row r="243">
      <c r="A243" s="2" t="s">
        <v>294</v>
      </c>
    </row>
    <row r="244">
      <c r="A244" s="2" t="s">
        <v>295</v>
      </c>
    </row>
    <row r="245">
      <c r="A245" s="2" t="s">
        <v>296</v>
      </c>
    </row>
    <row r="246">
      <c r="A246" s="2" t="s">
        <v>297</v>
      </c>
    </row>
    <row r="247">
      <c r="A247" s="2" t="s">
        <v>298</v>
      </c>
    </row>
    <row r="248">
      <c r="A248" s="2" t="s">
        <v>299</v>
      </c>
    </row>
    <row r="249">
      <c r="A249" s="2" t="s">
        <v>300</v>
      </c>
    </row>
    <row r="250">
      <c r="A250" s="2" t="s">
        <v>301</v>
      </c>
    </row>
    <row r="251">
      <c r="A251" s="2" t="s">
        <v>302</v>
      </c>
    </row>
    <row r="252">
      <c r="A252" s="2" t="s">
        <v>303</v>
      </c>
    </row>
    <row r="253">
      <c r="A253" s="2" t="s">
        <v>304</v>
      </c>
    </row>
    <row r="254">
      <c r="A254" s="2" t="s">
        <v>305</v>
      </c>
    </row>
    <row r="255">
      <c r="A255" s="2" t="s">
        <v>306</v>
      </c>
    </row>
    <row r="256">
      <c r="A256" s="2" t="s">
        <v>307</v>
      </c>
    </row>
    <row r="257">
      <c r="A257" s="2" t="s">
        <v>308</v>
      </c>
    </row>
    <row r="258">
      <c r="A258" s="2" t="s">
        <v>309</v>
      </c>
    </row>
    <row r="259">
      <c r="A259" s="2" t="s">
        <v>310</v>
      </c>
    </row>
    <row r="260">
      <c r="A260" s="2" t="s">
        <v>311</v>
      </c>
    </row>
    <row r="261">
      <c r="A261" s="2" t="s">
        <v>312</v>
      </c>
    </row>
    <row r="262">
      <c r="A262" s="2" t="s">
        <v>313</v>
      </c>
    </row>
    <row r="263">
      <c r="A263" s="2" t="s">
        <v>314</v>
      </c>
    </row>
    <row r="264">
      <c r="A264" s="2" t="s">
        <v>315</v>
      </c>
    </row>
    <row r="265">
      <c r="A265" s="2" t="s">
        <v>316</v>
      </c>
    </row>
    <row r="266">
      <c r="A266" s="2" t="s">
        <v>317</v>
      </c>
    </row>
    <row r="267">
      <c r="A267" s="2" t="s">
        <v>318</v>
      </c>
    </row>
    <row r="268">
      <c r="A268" s="2" t="s">
        <v>319</v>
      </c>
    </row>
    <row r="269">
      <c r="A269" s="2" t="s">
        <v>320</v>
      </c>
    </row>
    <row r="270">
      <c r="A270" s="2" t="s">
        <v>321</v>
      </c>
    </row>
    <row r="271">
      <c r="A271" s="2" t="s">
        <v>322</v>
      </c>
    </row>
    <row r="272">
      <c r="A272" s="2" t="s">
        <v>323</v>
      </c>
    </row>
    <row r="273">
      <c r="A273" s="2" t="s">
        <v>324</v>
      </c>
    </row>
    <row r="274">
      <c r="A274" s="2" t="s">
        <v>325</v>
      </c>
    </row>
    <row r="275">
      <c r="A275" s="2" t="s">
        <v>326</v>
      </c>
    </row>
    <row r="276">
      <c r="A276" s="2" t="s">
        <v>327</v>
      </c>
    </row>
    <row r="277">
      <c r="A277" s="2" t="s">
        <v>328</v>
      </c>
    </row>
    <row r="278">
      <c r="A278" s="2" t="s">
        <v>329</v>
      </c>
    </row>
    <row r="279">
      <c r="A279" s="2" t="s">
        <v>330</v>
      </c>
    </row>
    <row r="280">
      <c r="A280" s="2" t="s">
        <v>331</v>
      </c>
    </row>
    <row r="281">
      <c r="A281" s="2" t="s">
        <v>332</v>
      </c>
    </row>
    <row r="282">
      <c r="A282" s="2" t="s">
        <v>333</v>
      </c>
    </row>
    <row r="283">
      <c r="A283" s="2" t="s">
        <v>334</v>
      </c>
    </row>
    <row r="284">
      <c r="A284" s="2" t="s">
        <v>335</v>
      </c>
    </row>
    <row r="285">
      <c r="A285" s="2" t="s">
        <v>336</v>
      </c>
    </row>
    <row r="286">
      <c r="A286" s="2" t="s">
        <v>337</v>
      </c>
    </row>
    <row r="287">
      <c r="A287" s="2" t="s">
        <v>338</v>
      </c>
    </row>
    <row r="288">
      <c r="A288" s="2" t="s">
        <v>339</v>
      </c>
    </row>
    <row r="289">
      <c r="A289" s="2" t="s">
        <v>340</v>
      </c>
    </row>
    <row r="290">
      <c r="A290" s="2" t="s">
        <v>341</v>
      </c>
    </row>
    <row r="291">
      <c r="A291" s="2" t="s">
        <v>342</v>
      </c>
    </row>
    <row r="292">
      <c r="A292" s="2" t="s">
        <v>343</v>
      </c>
    </row>
    <row r="293">
      <c r="A293" s="2" t="s">
        <v>344</v>
      </c>
    </row>
    <row r="294">
      <c r="A294" s="2" t="s">
        <v>345</v>
      </c>
    </row>
    <row r="295">
      <c r="A295" s="2" t="s">
        <v>346</v>
      </c>
    </row>
    <row r="296">
      <c r="A296" s="2" t="s">
        <v>347</v>
      </c>
    </row>
    <row r="297">
      <c r="A297" s="2" t="s">
        <v>348</v>
      </c>
    </row>
    <row r="298">
      <c r="A298" s="2" t="s">
        <v>349</v>
      </c>
    </row>
    <row r="299">
      <c r="A299" s="2" t="s">
        <v>350</v>
      </c>
    </row>
    <row r="300">
      <c r="A300" s="2" t="s">
        <v>351</v>
      </c>
    </row>
    <row r="301">
      <c r="A301" s="2" t="s">
        <v>352</v>
      </c>
    </row>
    <row r="302">
      <c r="A302" s="2" t="s">
        <v>353</v>
      </c>
    </row>
    <row r="303">
      <c r="A303" s="2" t="s">
        <v>354</v>
      </c>
    </row>
    <row r="304">
      <c r="A304" s="2" t="s">
        <v>355</v>
      </c>
    </row>
    <row r="305">
      <c r="A305" s="2" t="s">
        <v>356</v>
      </c>
    </row>
    <row r="306">
      <c r="A306" s="2" t="s">
        <v>357</v>
      </c>
    </row>
    <row r="307">
      <c r="A307" s="2" t="s">
        <v>358</v>
      </c>
    </row>
    <row r="308">
      <c r="A308" s="2" t="s">
        <v>359</v>
      </c>
    </row>
    <row r="309">
      <c r="A309" s="2" t="s">
        <v>360</v>
      </c>
    </row>
    <row r="310">
      <c r="A310" s="2" t="s">
        <v>361</v>
      </c>
    </row>
    <row r="311">
      <c r="A311" s="2" t="s">
        <v>362</v>
      </c>
    </row>
    <row r="312">
      <c r="A312" s="2" t="s">
        <v>363</v>
      </c>
    </row>
    <row r="313">
      <c r="A313" s="2" t="s">
        <v>364</v>
      </c>
    </row>
    <row r="314">
      <c r="A314" s="2" t="s">
        <v>365</v>
      </c>
    </row>
    <row r="315">
      <c r="A315" s="2" t="s">
        <v>366</v>
      </c>
    </row>
    <row r="316">
      <c r="A316" s="2" t="s">
        <v>367</v>
      </c>
    </row>
    <row r="317">
      <c r="A317" s="2" t="s">
        <v>368</v>
      </c>
    </row>
    <row r="318">
      <c r="A318" s="2" t="s">
        <v>369</v>
      </c>
    </row>
    <row r="319">
      <c r="A319" s="2" t="s">
        <v>370</v>
      </c>
    </row>
    <row r="320">
      <c r="A320" s="2" t="s">
        <v>371</v>
      </c>
    </row>
    <row r="321">
      <c r="A321" s="2" t="s">
        <v>372</v>
      </c>
    </row>
    <row r="322">
      <c r="A322" s="2" t="s">
        <v>373</v>
      </c>
    </row>
    <row r="323">
      <c r="A323" s="2" t="s">
        <v>374</v>
      </c>
    </row>
    <row r="324">
      <c r="A324" s="2" t="s">
        <v>375</v>
      </c>
    </row>
    <row r="325">
      <c r="A325" s="2" t="s">
        <v>376</v>
      </c>
    </row>
    <row r="326">
      <c r="A326" s="2" t="s">
        <v>377</v>
      </c>
    </row>
    <row r="327">
      <c r="A327" s="2" t="s">
        <v>378</v>
      </c>
    </row>
    <row r="328">
      <c r="A328" s="2" t="s">
        <v>379</v>
      </c>
    </row>
    <row r="329">
      <c r="A329" s="2" t="s">
        <v>380</v>
      </c>
    </row>
    <row r="330">
      <c r="A330" s="2" t="s">
        <v>381</v>
      </c>
    </row>
    <row r="331">
      <c r="A331" s="2" t="s">
        <v>382</v>
      </c>
    </row>
    <row r="332">
      <c r="A332" s="2" t="s">
        <v>383</v>
      </c>
    </row>
    <row r="333">
      <c r="A333" s="2" t="s">
        <v>384</v>
      </c>
    </row>
    <row r="334">
      <c r="A334" s="2" t="s">
        <v>385</v>
      </c>
    </row>
    <row r="335">
      <c r="A335" s="2" t="s">
        <v>386</v>
      </c>
    </row>
    <row r="336">
      <c r="A336" s="2" t="s">
        <v>387</v>
      </c>
    </row>
    <row r="337">
      <c r="A337" s="2" t="s">
        <v>388</v>
      </c>
    </row>
    <row r="338">
      <c r="A338" s="2" t="s">
        <v>389</v>
      </c>
    </row>
    <row r="339">
      <c r="A339" s="2" t="s">
        <v>390</v>
      </c>
    </row>
    <row r="340">
      <c r="A340" s="2" t="s">
        <v>391</v>
      </c>
    </row>
    <row r="341">
      <c r="A341" s="2" t="s">
        <v>392</v>
      </c>
    </row>
    <row r="342">
      <c r="A342" s="2" t="s">
        <v>393</v>
      </c>
    </row>
    <row r="343">
      <c r="A343" s="2" t="s">
        <v>394</v>
      </c>
    </row>
    <row r="344">
      <c r="A344" s="2" t="s">
        <v>395</v>
      </c>
    </row>
    <row r="345">
      <c r="A345" s="2" t="s">
        <v>396</v>
      </c>
    </row>
    <row r="346">
      <c r="A346" s="2" t="s">
        <v>397</v>
      </c>
    </row>
    <row r="347">
      <c r="A347" s="2" t="s">
        <v>398</v>
      </c>
    </row>
    <row r="348">
      <c r="A348" s="2" t="s">
        <v>399</v>
      </c>
    </row>
    <row r="349">
      <c r="A349" s="2" t="s">
        <v>400</v>
      </c>
    </row>
    <row r="350">
      <c r="A350" s="2" t="s">
        <v>401</v>
      </c>
    </row>
    <row r="351">
      <c r="A351" s="2" t="s">
        <v>402</v>
      </c>
    </row>
    <row r="352">
      <c r="A352" s="2" t="s">
        <v>403</v>
      </c>
    </row>
    <row r="353">
      <c r="A353" s="2" t="s">
        <v>404</v>
      </c>
    </row>
    <row r="354">
      <c r="A354" s="2" t="s">
        <v>405</v>
      </c>
    </row>
    <row r="355">
      <c r="A355" s="2" t="s">
        <v>406</v>
      </c>
    </row>
    <row r="356">
      <c r="A356" s="2" t="s">
        <v>407</v>
      </c>
    </row>
    <row r="357">
      <c r="A357" s="2" t="s">
        <v>408</v>
      </c>
    </row>
    <row r="358">
      <c r="A358" s="2" t="s">
        <v>409</v>
      </c>
    </row>
    <row r="359">
      <c r="A359" s="2" t="s">
        <v>410</v>
      </c>
    </row>
    <row r="360">
      <c r="A360" s="2" t="s">
        <v>411</v>
      </c>
    </row>
    <row r="361">
      <c r="A361" s="2" t="s">
        <v>412</v>
      </c>
    </row>
    <row r="362">
      <c r="A362" s="2" t="s">
        <v>413</v>
      </c>
    </row>
    <row r="363">
      <c r="A363" s="2" t="s">
        <v>414</v>
      </c>
    </row>
    <row r="364">
      <c r="A364" s="2" t="s">
        <v>415</v>
      </c>
    </row>
    <row r="365">
      <c r="A365" s="2" t="s">
        <v>416</v>
      </c>
    </row>
    <row r="366">
      <c r="A366" s="2" t="s">
        <v>417</v>
      </c>
    </row>
    <row r="367">
      <c r="A367" s="2" t="s">
        <v>418</v>
      </c>
    </row>
    <row r="368">
      <c r="A368" s="2" t="s">
        <v>419</v>
      </c>
    </row>
    <row r="369">
      <c r="A369" s="2" t="s">
        <v>420</v>
      </c>
    </row>
    <row r="370">
      <c r="A370" s="2" t="s">
        <v>421</v>
      </c>
    </row>
    <row r="371">
      <c r="A371" s="2" t="s">
        <v>422</v>
      </c>
    </row>
    <row r="372">
      <c r="A372" s="2" t="s">
        <v>423</v>
      </c>
    </row>
    <row r="373">
      <c r="A373" s="2" t="s">
        <v>424</v>
      </c>
    </row>
    <row r="374">
      <c r="A374" s="2" t="s">
        <v>425</v>
      </c>
    </row>
    <row r="375">
      <c r="A375" s="2" t="s">
        <v>426</v>
      </c>
    </row>
    <row r="376">
      <c r="A376" s="2" t="s">
        <v>427</v>
      </c>
    </row>
    <row r="377">
      <c r="A377" s="2" t="s">
        <v>428</v>
      </c>
    </row>
    <row r="378">
      <c r="A378" s="2" t="s">
        <v>429</v>
      </c>
    </row>
    <row r="379">
      <c r="A379" s="2" t="s">
        <v>430</v>
      </c>
    </row>
    <row r="380">
      <c r="A380" s="2" t="s">
        <v>431</v>
      </c>
    </row>
    <row r="381">
      <c r="A381" s="2" t="s">
        <v>432</v>
      </c>
    </row>
    <row r="382">
      <c r="A382" s="2" t="s">
        <v>433</v>
      </c>
    </row>
    <row r="383">
      <c r="A383" s="2" t="s">
        <v>434</v>
      </c>
    </row>
    <row r="384">
      <c r="A384" s="2" t="s">
        <v>435</v>
      </c>
    </row>
    <row r="385">
      <c r="A385" s="2" t="s">
        <v>436</v>
      </c>
    </row>
    <row r="386">
      <c r="A386" s="2" t="s">
        <v>437</v>
      </c>
    </row>
    <row r="387">
      <c r="A387" s="2" t="s">
        <v>438</v>
      </c>
    </row>
    <row r="388">
      <c r="A388" s="2" t="s">
        <v>439</v>
      </c>
    </row>
    <row r="389">
      <c r="A389" s="2" t="s">
        <v>440</v>
      </c>
    </row>
    <row r="390">
      <c r="A390" s="2" t="s">
        <v>441</v>
      </c>
    </row>
    <row r="391">
      <c r="A391" s="2" t="s">
        <v>442</v>
      </c>
    </row>
    <row r="392">
      <c r="A392" s="2" t="s">
        <v>443</v>
      </c>
    </row>
    <row r="393">
      <c r="A393" s="2" t="s">
        <v>444</v>
      </c>
    </row>
    <row r="394">
      <c r="A394" s="2" t="s">
        <v>445</v>
      </c>
    </row>
    <row r="395">
      <c r="A395" s="2" t="s">
        <v>446</v>
      </c>
    </row>
    <row r="396">
      <c r="A396" s="2" t="s">
        <v>447</v>
      </c>
    </row>
    <row r="397">
      <c r="A397" s="2" t="s">
        <v>448</v>
      </c>
    </row>
    <row r="398">
      <c r="A398" s="2" t="s">
        <v>449</v>
      </c>
    </row>
    <row r="399">
      <c r="A399" s="2" t="s">
        <v>450</v>
      </c>
    </row>
    <row r="400">
      <c r="A400" s="2" t="s">
        <v>451</v>
      </c>
    </row>
    <row r="401">
      <c r="A401" s="2" t="s">
        <v>452</v>
      </c>
    </row>
    <row r="402">
      <c r="A402" s="2" t="s">
        <v>453</v>
      </c>
    </row>
    <row r="403">
      <c r="A403" s="2" t="s">
        <v>454</v>
      </c>
    </row>
    <row r="404">
      <c r="A404" s="2" t="s">
        <v>455</v>
      </c>
    </row>
    <row r="405">
      <c r="A405" s="2" t="s">
        <v>456</v>
      </c>
    </row>
    <row r="406">
      <c r="A406" s="2" t="s">
        <v>457</v>
      </c>
    </row>
    <row r="407">
      <c r="A407" s="2" t="s">
        <v>458</v>
      </c>
    </row>
    <row r="408">
      <c r="A408" s="2" t="s">
        <v>459</v>
      </c>
    </row>
    <row r="409">
      <c r="A409" s="2" t="s">
        <v>460</v>
      </c>
    </row>
    <row r="410">
      <c r="A410" s="2" t="s">
        <v>461</v>
      </c>
    </row>
    <row r="411">
      <c r="A411" s="2" t="s">
        <v>462</v>
      </c>
    </row>
    <row r="412">
      <c r="A412" s="2" t="s">
        <v>463</v>
      </c>
    </row>
    <row r="413">
      <c r="A413" s="2" t="s">
        <v>464</v>
      </c>
    </row>
    <row r="414">
      <c r="A414" s="2" t="s">
        <v>465</v>
      </c>
    </row>
    <row r="415">
      <c r="A415" s="2" t="s">
        <v>466</v>
      </c>
    </row>
    <row r="416">
      <c r="A416" s="2" t="s">
        <v>467</v>
      </c>
    </row>
    <row r="417">
      <c r="A417" s="2" t="s">
        <v>468</v>
      </c>
    </row>
    <row r="418">
      <c r="A418" s="2" t="s">
        <v>469</v>
      </c>
    </row>
    <row r="419">
      <c r="A419" s="2" t="s">
        <v>470</v>
      </c>
    </row>
    <row r="420">
      <c r="A420" s="2" t="s">
        <v>471</v>
      </c>
    </row>
    <row r="421">
      <c r="A421" s="2" t="s">
        <v>472</v>
      </c>
    </row>
    <row r="422">
      <c r="A422" s="2" t="s">
        <v>473</v>
      </c>
    </row>
    <row r="423">
      <c r="A423" s="2" t="s">
        <v>474</v>
      </c>
    </row>
    <row r="424">
      <c r="A424" s="2" t="s">
        <v>475</v>
      </c>
    </row>
    <row r="425">
      <c r="A425" s="2" t="s">
        <v>476</v>
      </c>
    </row>
    <row r="426">
      <c r="A426" s="2" t="s">
        <v>477</v>
      </c>
    </row>
    <row r="427">
      <c r="A427" s="2" t="s">
        <v>478</v>
      </c>
    </row>
    <row r="428">
      <c r="A428" s="2" t="s">
        <v>479</v>
      </c>
    </row>
    <row r="429">
      <c r="A429" s="2" t="s">
        <v>480</v>
      </c>
    </row>
    <row r="430">
      <c r="A430" s="2" t="s">
        <v>481</v>
      </c>
    </row>
    <row r="431">
      <c r="A431" s="2" t="s">
        <v>482</v>
      </c>
    </row>
    <row r="432">
      <c r="A432" s="2" t="s">
        <v>483</v>
      </c>
    </row>
    <row r="433">
      <c r="A433" s="2" t="s">
        <v>484</v>
      </c>
    </row>
    <row r="434">
      <c r="A434" s="2" t="s">
        <v>485</v>
      </c>
    </row>
    <row r="435">
      <c r="A435" s="2" t="s">
        <v>486</v>
      </c>
    </row>
    <row r="436">
      <c r="A436" s="2" t="s">
        <v>487</v>
      </c>
    </row>
    <row r="437">
      <c r="A437" s="2" t="s">
        <v>488</v>
      </c>
    </row>
    <row r="438">
      <c r="A438" s="2" t="s">
        <v>489</v>
      </c>
    </row>
    <row r="439">
      <c r="A439" s="2" t="s">
        <v>490</v>
      </c>
    </row>
    <row r="440">
      <c r="A440" s="2" t="s">
        <v>491</v>
      </c>
    </row>
    <row r="441">
      <c r="A441" s="2" t="s">
        <v>492</v>
      </c>
    </row>
    <row r="442">
      <c r="A442" s="2" t="s">
        <v>493</v>
      </c>
    </row>
    <row r="443">
      <c r="A443" s="2" t="s">
        <v>494</v>
      </c>
    </row>
    <row r="444">
      <c r="A444" s="2" t="s">
        <v>495</v>
      </c>
    </row>
    <row r="445">
      <c r="A445" s="2" t="s">
        <v>496</v>
      </c>
    </row>
    <row r="446">
      <c r="A446" s="2" t="s">
        <v>497</v>
      </c>
    </row>
    <row r="447">
      <c r="A447" s="2" t="s">
        <v>498</v>
      </c>
    </row>
    <row r="448">
      <c r="A448" s="2" t="s">
        <v>499</v>
      </c>
    </row>
    <row r="449">
      <c r="A449" s="2" t="s">
        <v>500</v>
      </c>
    </row>
    <row r="450">
      <c r="A450" s="2" t="s">
        <v>501</v>
      </c>
    </row>
    <row r="451">
      <c r="A451" s="2" t="s">
        <v>502</v>
      </c>
    </row>
    <row r="452">
      <c r="A452" s="2" t="s">
        <v>503</v>
      </c>
    </row>
    <row r="453">
      <c r="A453" s="2" t="s">
        <v>504</v>
      </c>
    </row>
    <row r="454">
      <c r="A454" s="2" t="s">
        <v>505</v>
      </c>
    </row>
    <row r="455">
      <c r="A455" s="2" t="s">
        <v>506</v>
      </c>
    </row>
    <row r="456">
      <c r="A456" s="2" t="s">
        <v>507</v>
      </c>
    </row>
    <row r="457">
      <c r="A457" s="2" t="s">
        <v>508</v>
      </c>
    </row>
    <row r="458">
      <c r="A458" s="2" t="s">
        <v>509</v>
      </c>
    </row>
    <row r="459">
      <c r="A459" s="2" t="s">
        <v>510</v>
      </c>
    </row>
    <row r="460">
      <c r="A460" s="2" t="s">
        <v>511</v>
      </c>
    </row>
    <row r="461">
      <c r="A461" s="2" t="s">
        <v>512</v>
      </c>
    </row>
    <row r="462">
      <c r="A462" s="2" t="s">
        <v>513</v>
      </c>
    </row>
    <row r="463">
      <c r="A463" s="2" t="s">
        <v>514</v>
      </c>
    </row>
    <row r="464">
      <c r="A464" s="2" t="s">
        <v>515</v>
      </c>
    </row>
    <row r="465">
      <c r="A465" s="2" t="s">
        <v>516</v>
      </c>
    </row>
    <row r="466">
      <c r="A466" s="2" t="s">
        <v>517</v>
      </c>
    </row>
    <row r="467">
      <c r="A467" s="2" t="s">
        <v>518</v>
      </c>
    </row>
    <row r="468">
      <c r="A468" s="2" t="s">
        <v>519</v>
      </c>
    </row>
    <row r="469">
      <c r="A469" s="2" t="s">
        <v>520</v>
      </c>
    </row>
    <row r="470">
      <c r="A470" s="2" t="s">
        <v>521</v>
      </c>
    </row>
    <row r="471">
      <c r="A471" s="2" t="s">
        <v>522</v>
      </c>
    </row>
    <row r="472">
      <c r="A472" s="2" t="s">
        <v>523</v>
      </c>
    </row>
    <row r="473">
      <c r="A473" s="2" t="s">
        <v>524</v>
      </c>
    </row>
    <row r="474">
      <c r="A474" s="2" t="s">
        <v>525</v>
      </c>
    </row>
    <row r="475">
      <c r="A475" s="2" t="s">
        <v>526</v>
      </c>
    </row>
    <row r="476">
      <c r="A476" s="2" t="s">
        <v>527</v>
      </c>
    </row>
    <row r="477">
      <c r="A477" s="2" t="s">
        <v>528</v>
      </c>
    </row>
    <row r="478">
      <c r="A478" s="2" t="s">
        <v>529</v>
      </c>
    </row>
    <row r="479">
      <c r="A479" s="2" t="s">
        <v>530</v>
      </c>
    </row>
    <row r="480">
      <c r="A480" s="2" t="s">
        <v>531</v>
      </c>
    </row>
    <row r="481">
      <c r="A481" s="2" t="s">
        <v>532</v>
      </c>
    </row>
    <row r="482">
      <c r="A482" s="2" t="s">
        <v>533</v>
      </c>
    </row>
    <row r="483">
      <c r="A483" s="2" t="s">
        <v>534</v>
      </c>
    </row>
    <row r="484">
      <c r="A484" s="2" t="s">
        <v>535</v>
      </c>
    </row>
    <row r="485">
      <c r="A485" s="2" t="s">
        <v>536</v>
      </c>
    </row>
    <row r="486">
      <c r="A486" s="2" t="s">
        <v>537</v>
      </c>
    </row>
    <row r="487">
      <c r="A487" s="2" t="s">
        <v>538</v>
      </c>
    </row>
    <row r="488">
      <c r="A488" s="2" t="s">
        <v>539</v>
      </c>
    </row>
    <row r="489">
      <c r="A489" s="2" t="s">
        <v>540</v>
      </c>
    </row>
    <row r="490">
      <c r="A490" s="2" t="s">
        <v>541</v>
      </c>
    </row>
    <row r="491">
      <c r="A491" s="2" t="s">
        <v>542</v>
      </c>
    </row>
    <row r="492">
      <c r="A492" s="2" t="s">
        <v>543</v>
      </c>
    </row>
    <row r="493">
      <c r="A493" s="2" t="s">
        <v>544</v>
      </c>
    </row>
    <row r="494">
      <c r="A494" s="2" t="s">
        <v>545</v>
      </c>
    </row>
    <row r="495">
      <c r="A495" s="2" t="s">
        <v>546</v>
      </c>
    </row>
    <row r="496">
      <c r="A496" s="2" t="s">
        <v>547</v>
      </c>
    </row>
    <row r="497">
      <c r="A497" s="2" t="s">
        <v>548</v>
      </c>
    </row>
    <row r="498">
      <c r="A498" s="2" t="s">
        <v>549</v>
      </c>
    </row>
    <row r="499">
      <c r="A499" s="2" t="s">
        <v>550</v>
      </c>
    </row>
    <row r="500">
      <c r="A500" s="2" t="s">
        <v>551</v>
      </c>
    </row>
  </sheetData>
  <autoFilter ref="$A$1:$A$500">
    <sortState ref="A1:A500">
      <sortCondition ref="A1:A5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</cols>
  <sheetData>
    <row r="1">
      <c r="A1" s="1" t="s">
        <v>0</v>
      </c>
    </row>
    <row r="2">
      <c r="A2" s="2" t="s">
        <v>11</v>
      </c>
    </row>
    <row r="3">
      <c r="A3" s="8" t="s">
        <v>574</v>
      </c>
    </row>
    <row r="4">
      <c r="A4" s="2" t="s">
        <v>17</v>
      </c>
    </row>
    <row r="5">
      <c r="A5" s="8" t="s">
        <v>576</v>
      </c>
    </row>
    <row r="6">
      <c r="A6" s="2" t="s">
        <v>23</v>
      </c>
    </row>
    <row r="7">
      <c r="A7" s="8" t="s">
        <v>579</v>
      </c>
    </row>
    <row r="8">
      <c r="A8" s="2" t="s">
        <v>27</v>
      </c>
    </row>
    <row r="9">
      <c r="A9" s="8" t="s">
        <v>583</v>
      </c>
    </row>
    <row r="10">
      <c r="A10" s="2" t="s">
        <v>29</v>
      </c>
    </row>
    <row r="11">
      <c r="A11" s="8" t="s">
        <v>584</v>
      </c>
    </row>
    <row r="12">
      <c r="A12" s="2" t="s">
        <v>34</v>
      </c>
    </row>
    <row r="13">
      <c r="A13" s="8" t="s">
        <v>586</v>
      </c>
    </row>
    <row r="14">
      <c r="A14" s="2" t="s">
        <v>38</v>
      </c>
    </row>
    <row r="15">
      <c r="A15" s="8" t="s">
        <v>588</v>
      </c>
    </row>
    <row r="16">
      <c r="A16" s="2" t="s">
        <v>41</v>
      </c>
    </row>
    <row r="17">
      <c r="A17" s="8" t="s">
        <v>589</v>
      </c>
    </row>
    <row r="18">
      <c r="A18" s="2" t="s">
        <v>45</v>
      </c>
    </row>
    <row r="19">
      <c r="A19" s="8" t="s">
        <v>592</v>
      </c>
    </row>
    <row r="20">
      <c r="A20" s="2" t="s">
        <v>47</v>
      </c>
    </row>
    <row r="21">
      <c r="A21" s="8" t="s">
        <v>594</v>
      </c>
    </row>
    <row r="22">
      <c r="A22" s="2" t="s">
        <v>51</v>
      </c>
    </row>
    <row r="23">
      <c r="A23" s="8" t="s">
        <v>596</v>
      </c>
    </row>
    <row r="24">
      <c r="A24" s="2" t="s">
        <v>52</v>
      </c>
    </row>
    <row r="25">
      <c r="A25" s="8" t="s">
        <v>598</v>
      </c>
    </row>
    <row r="26">
      <c r="A26" s="2" t="s">
        <v>54</v>
      </c>
    </row>
    <row r="27">
      <c r="A27" s="8" t="s">
        <v>600</v>
      </c>
    </row>
    <row r="28">
      <c r="A28" s="2" t="s">
        <v>55</v>
      </c>
    </row>
    <row r="29">
      <c r="A29" s="8" t="s">
        <v>601</v>
      </c>
    </row>
    <row r="30">
      <c r="A30" s="2" t="s">
        <v>57</v>
      </c>
    </row>
    <row r="31">
      <c r="A31" s="8" t="s">
        <v>604</v>
      </c>
    </row>
    <row r="32">
      <c r="A32" s="2" t="s">
        <v>59</v>
      </c>
    </row>
    <row r="33">
      <c r="A33" s="8" t="s">
        <v>606</v>
      </c>
    </row>
    <row r="34">
      <c r="A34" s="2" t="s">
        <v>62</v>
      </c>
    </row>
    <row r="35">
      <c r="A35" s="8" t="s">
        <v>607</v>
      </c>
    </row>
    <row r="36">
      <c r="A36" s="2" t="s">
        <v>64</v>
      </c>
    </row>
    <row r="37">
      <c r="A37" s="8" t="s">
        <v>608</v>
      </c>
    </row>
    <row r="38">
      <c r="A38" s="2" t="s">
        <v>65</v>
      </c>
    </row>
    <row r="39">
      <c r="A39" s="8" t="s">
        <v>609</v>
      </c>
    </row>
    <row r="40">
      <c r="A40" s="2" t="s">
        <v>68</v>
      </c>
    </row>
    <row r="41">
      <c r="A41" s="8" t="s">
        <v>611</v>
      </c>
    </row>
    <row r="42">
      <c r="A42" s="2" t="s">
        <v>70</v>
      </c>
    </row>
    <row r="43">
      <c r="A43" s="2" t="s">
        <v>72</v>
      </c>
    </row>
    <row r="44">
      <c r="A44" s="2" t="s">
        <v>73</v>
      </c>
    </row>
    <row r="45">
      <c r="A45" s="2" t="s">
        <v>75</v>
      </c>
    </row>
    <row r="46">
      <c r="A46" s="2" t="s">
        <v>76</v>
      </c>
    </row>
    <row r="47">
      <c r="A47" s="2" t="s">
        <v>77</v>
      </c>
    </row>
    <row r="48">
      <c r="A48" s="2" t="s">
        <v>79</v>
      </c>
    </row>
    <row r="49">
      <c r="A49" s="2" t="s">
        <v>81</v>
      </c>
    </row>
    <row r="50">
      <c r="A50" s="2" t="s">
        <v>82</v>
      </c>
    </row>
    <row r="51">
      <c r="A51" s="2" t="s">
        <v>84</v>
      </c>
    </row>
    <row r="52">
      <c r="A52" s="2" t="s">
        <v>86</v>
      </c>
    </row>
    <row r="53">
      <c r="A53" s="2" t="s">
        <v>88</v>
      </c>
    </row>
    <row r="54">
      <c r="A54" s="2" t="s">
        <v>89</v>
      </c>
    </row>
    <row r="55">
      <c r="A55" s="2" t="s">
        <v>90</v>
      </c>
    </row>
    <row r="56">
      <c r="A56" s="2" t="s">
        <v>92</v>
      </c>
    </row>
    <row r="57">
      <c r="A57" s="2" t="s">
        <v>94</v>
      </c>
    </row>
    <row r="58">
      <c r="A58" s="2" t="s">
        <v>96</v>
      </c>
    </row>
    <row r="59">
      <c r="A59" s="2" t="s">
        <v>98</v>
      </c>
    </row>
    <row r="60">
      <c r="A60" s="2" t="s">
        <v>99</v>
      </c>
    </row>
    <row r="61">
      <c r="A61" s="2" t="s">
        <v>100</v>
      </c>
    </row>
    <row r="62">
      <c r="A62" s="2" t="s">
        <v>102</v>
      </c>
    </row>
    <row r="63">
      <c r="A63" s="2" t="s">
        <v>103</v>
      </c>
    </row>
    <row r="64">
      <c r="A64" s="2" t="s">
        <v>104</v>
      </c>
    </row>
    <row r="65">
      <c r="A65" s="2" t="s">
        <v>105</v>
      </c>
    </row>
    <row r="66">
      <c r="A66" s="2" t="s">
        <v>106</v>
      </c>
    </row>
    <row r="67">
      <c r="A67" s="2" t="s">
        <v>107</v>
      </c>
    </row>
    <row r="68">
      <c r="A68" s="2" t="s">
        <v>108</v>
      </c>
    </row>
    <row r="69">
      <c r="A69" s="2" t="s">
        <v>109</v>
      </c>
    </row>
    <row r="70">
      <c r="A70" s="2" t="s">
        <v>110</v>
      </c>
    </row>
    <row r="71">
      <c r="A71" s="2" t="s">
        <v>112</v>
      </c>
    </row>
    <row r="72">
      <c r="A72" s="2" t="s">
        <v>113</v>
      </c>
    </row>
    <row r="73">
      <c r="A73" s="2" t="s">
        <v>114</v>
      </c>
    </row>
    <row r="74">
      <c r="A74" s="2" t="s">
        <v>115</v>
      </c>
    </row>
    <row r="75">
      <c r="A75" s="2" t="s">
        <v>116</v>
      </c>
    </row>
    <row r="76">
      <c r="A76" s="2" t="s">
        <v>117</v>
      </c>
    </row>
    <row r="77">
      <c r="A77" s="2" t="s">
        <v>118</v>
      </c>
    </row>
    <row r="78">
      <c r="A78" s="2" t="s">
        <v>119</v>
      </c>
    </row>
    <row r="79">
      <c r="A79" s="2" t="s">
        <v>120</v>
      </c>
    </row>
    <row r="80">
      <c r="A80" s="2" t="s">
        <v>122</v>
      </c>
    </row>
    <row r="81">
      <c r="A81" s="2" t="s">
        <v>123</v>
      </c>
    </row>
    <row r="82">
      <c r="A82" s="2" t="s">
        <v>124</v>
      </c>
    </row>
    <row r="83">
      <c r="A83" s="2" t="s">
        <v>125</v>
      </c>
    </row>
    <row r="84">
      <c r="A84" s="2" t="s">
        <v>126</v>
      </c>
    </row>
    <row r="85">
      <c r="A85" s="2" t="s">
        <v>127</v>
      </c>
    </row>
    <row r="86">
      <c r="A86" s="2" t="s">
        <v>128</v>
      </c>
    </row>
    <row r="87">
      <c r="A87" s="2" t="s">
        <v>129</v>
      </c>
    </row>
    <row r="88">
      <c r="A88" s="2" t="s">
        <v>130</v>
      </c>
    </row>
    <row r="89">
      <c r="A89" s="2" t="s">
        <v>131</v>
      </c>
    </row>
    <row r="90">
      <c r="A90" s="2" t="s">
        <v>132</v>
      </c>
    </row>
    <row r="91">
      <c r="A91" s="2" t="s">
        <v>134</v>
      </c>
    </row>
    <row r="92">
      <c r="A92" s="2" t="s">
        <v>136</v>
      </c>
    </row>
    <row r="93">
      <c r="A93" s="2" t="s">
        <v>137</v>
      </c>
    </row>
    <row r="94">
      <c r="A94" s="2" t="s">
        <v>138</v>
      </c>
    </row>
    <row r="95">
      <c r="A95" s="2" t="s">
        <v>139</v>
      </c>
    </row>
    <row r="96">
      <c r="A96" s="2" t="s">
        <v>140</v>
      </c>
    </row>
    <row r="97">
      <c r="A97" s="2" t="s">
        <v>141</v>
      </c>
    </row>
    <row r="98">
      <c r="A98" s="2" t="s">
        <v>142</v>
      </c>
    </row>
    <row r="99">
      <c r="A99" s="2" t="s">
        <v>144</v>
      </c>
    </row>
    <row r="100">
      <c r="A100" s="2" t="s">
        <v>146</v>
      </c>
    </row>
    <row r="101">
      <c r="A101" s="2" t="s">
        <v>147</v>
      </c>
    </row>
    <row r="102">
      <c r="A102" s="2" t="s">
        <v>148</v>
      </c>
    </row>
    <row r="103">
      <c r="A103" s="2" t="s">
        <v>149</v>
      </c>
    </row>
    <row r="104">
      <c r="A104" s="2" t="s">
        <v>150</v>
      </c>
    </row>
    <row r="105">
      <c r="A105" s="2" t="s">
        <v>151</v>
      </c>
    </row>
    <row r="106">
      <c r="A106" s="2" t="s">
        <v>152</v>
      </c>
    </row>
    <row r="107">
      <c r="A107" s="2" t="s">
        <v>153</v>
      </c>
    </row>
    <row r="108">
      <c r="A108" s="2" t="s">
        <v>155</v>
      </c>
    </row>
    <row r="109">
      <c r="A109" s="2" t="s">
        <v>156</v>
      </c>
    </row>
    <row r="110">
      <c r="A110" s="2" t="s">
        <v>157</v>
      </c>
    </row>
    <row r="111">
      <c r="A111" s="2" t="s">
        <v>158</v>
      </c>
    </row>
    <row r="112">
      <c r="A112" s="2" t="s">
        <v>159</v>
      </c>
    </row>
    <row r="113">
      <c r="A113" s="2" t="s">
        <v>161</v>
      </c>
    </row>
    <row r="114">
      <c r="A114" s="2" t="s">
        <v>162</v>
      </c>
    </row>
    <row r="115">
      <c r="A115" s="2" t="s">
        <v>163</v>
      </c>
    </row>
    <row r="116">
      <c r="A116" s="2" t="s">
        <v>164</v>
      </c>
    </row>
    <row r="117">
      <c r="A117" s="2" t="s">
        <v>165</v>
      </c>
    </row>
    <row r="118">
      <c r="A118" s="2" t="s">
        <v>166</v>
      </c>
    </row>
    <row r="119">
      <c r="A119" s="2" t="s">
        <v>167</v>
      </c>
    </row>
    <row r="120">
      <c r="A120" s="2" t="s">
        <v>168</v>
      </c>
    </row>
    <row r="121">
      <c r="A121" s="2" t="s">
        <v>169</v>
      </c>
    </row>
    <row r="122">
      <c r="A122" s="2" t="s">
        <v>170</v>
      </c>
    </row>
    <row r="123">
      <c r="A123" s="2" t="s">
        <v>172</v>
      </c>
    </row>
    <row r="124">
      <c r="A124" s="2" t="s">
        <v>173</v>
      </c>
    </row>
    <row r="125">
      <c r="A125" s="2" t="s">
        <v>174</v>
      </c>
    </row>
    <row r="126">
      <c r="A126" s="2" t="s">
        <v>175</v>
      </c>
    </row>
    <row r="127">
      <c r="A127" s="2" t="s">
        <v>176</v>
      </c>
    </row>
    <row r="128">
      <c r="A128" s="2" t="s">
        <v>177</v>
      </c>
    </row>
    <row r="129">
      <c r="A129" s="2" t="s">
        <v>178</v>
      </c>
    </row>
    <row r="130">
      <c r="A130" s="2" t="s">
        <v>179</v>
      </c>
    </row>
    <row r="131">
      <c r="A131" s="2" t="s">
        <v>180</v>
      </c>
    </row>
    <row r="132">
      <c r="A132" s="2" t="s">
        <v>181</v>
      </c>
    </row>
    <row r="133">
      <c r="A133" s="2" t="s">
        <v>183</v>
      </c>
    </row>
    <row r="134">
      <c r="A134" s="2" t="s">
        <v>184</v>
      </c>
    </row>
    <row r="135">
      <c r="A135" s="2" t="s">
        <v>186</v>
      </c>
    </row>
    <row r="136">
      <c r="A136" s="2" t="s">
        <v>187</v>
      </c>
    </row>
    <row r="137">
      <c r="A137" s="2" t="s">
        <v>188</v>
      </c>
    </row>
    <row r="138">
      <c r="A138" s="2" t="s">
        <v>189</v>
      </c>
    </row>
    <row r="139">
      <c r="A139" s="2" t="s">
        <v>190</v>
      </c>
    </row>
    <row r="140">
      <c r="A140" s="2" t="s">
        <v>191</v>
      </c>
    </row>
    <row r="141">
      <c r="A141" s="2" t="s">
        <v>192</v>
      </c>
    </row>
    <row r="142">
      <c r="A142" s="2" t="s">
        <v>193</v>
      </c>
    </row>
    <row r="143">
      <c r="A143" s="2" t="s">
        <v>194</v>
      </c>
    </row>
    <row r="144">
      <c r="A144" s="2" t="s">
        <v>195</v>
      </c>
    </row>
    <row r="145">
      <c r="A145" s="2" t="s">
        <v>196</v>
      </c>
    </row>
    <row r="146">
      <c r="A146" s="2" t="s">
        <v>197</v>
      </c>
    </row>
    <row r="147">
      <c r="A147" s="2" t="s">
        <v>198</v>
      </c>
    </row>
    <row r="148">
      <c r="A148" s="2" t="s">
        <v>199</v>
      </c>
    </row>
    <row r="149">
      <c r="A149" s="2" t="s">
        <v>200</v>
      </c>
    </row>
    <row r="150">
      <c r="A150" s="2" t="s">
        <v>201</v>
      </c>
    </row>
    <row r="151">
      <c r="A151" s="2" t="s">
        <v>202</v>
      </c>
    </row>
    <row r="152">
      <c r="A152" s="2" t="s">
        <v>203</v>
      </c>
    </row>
    <row r="153">
      <c r="A153" s="2" t="s">
        <v>204</v>
      </c>
    </row>
    <row r="154">
      <c r="A154" s="2" t="s">
        <v>205</v>
      </c>
    </row>
    <row r="155">
      <c r="A155" s="2" t="s">
        <v>206</v>
      </c>
    </row>
    <row r="156">
      <c r="A156" s="2" t="s">
        <v>207</v>
      </c>
    </row>
    <row r="157">
      <c r="A157" s="2" t="s">
        <v>208</v>
      </c>
    </row>
    <row r="158">
      <c r="A158" s="2" t="s">
        <v>209</v>
      </c>
    </row>
    <row r="159">
      <c r="A159" s="2" t="s">
        <v>210</v>
      </c>
    </row>
    <row r="160">
      <c r="A160" s="2" t="s">
        <v>211</v>
      </c>
    </row>
    <row r="161">
      <c r="A161" s="2" t="s">
        <v>212</v>
      </c>
    </row>
    <row r="162">
      <c r="A162" s="2" t="s">
        <v>213</v>
      </c>
    </row>
    <row r="163">
      <c r="A163" s="2" t="s">
        <v>214</v>
      </c>
    </row>
    <row r="164">
      <c r="A164" s="2" t="s">
        <v>215</v>
      </c>
    </row>
    <row r="165">
      <c r="A165" s="2" t="s">
        <v>216</v>
      </c>
    </row>
    <row r="166">
      <c r="A166" s="2" t="s">
        <v>217</v>
      </c>
    </row>
    <row r="167">
      <c r="A167" s="2" t="s">
        <v>218</v>
      </c>
    </row>
    <row r="168">
      <c r="A168" s="2" t="s">
        <v>219</v>
      </c>
    </row>
    <row r="169">
      <c r="A169" s="2" t="s">
        <v>220</v>
      </c>
    </row>
    <row r="170">
      <c r="A170" s="2" t="s">
        <v>221</v>
      </c>
    </row>
    <row r="171">
      <c r="A171" s="2" t="s">
        <v>222</v>
      </c>
    </row>
    <row r="172">
      <c r="A172" s="2" t="s">
        <v>223</v>
      </c>
    </row>
    <row r="173">
      <c r="A173" s="2" t="s">
        <v>224</v>
      </c>
    </row>
    <row r="174">
      <c r="A174" s="2" t="s">
        <v>225</v>
      </c>
    </row>
    <row r="175">
      <c r="A175" s="2" t="s">
        <v>226</v>
      </c>
    </row>
    <row r="176">
      <c r="A176" s="2" t="s">
        <v>227</v>
      </c>
    </row>
    <row r="177">
      <c r="A177" s="2" t="s">
        <v>228</v>
      </c>
    </row>
    <row r="178">
      <c r="A178" s="2" t="s">
        <v>229</v>
      </c>
    </row>
    <row r="179">
      <c r="A179" s="2" t="s">
        <v>230</v>
      </c>
    </row>
    <row r="180">
      <c r="A180" s="2" t="s">
        <v>231</v>
      </c>
    </row>
    <row r="181">
      <c r="A181" s="2" t="s">
        <v>232</v>
      </c>
    </row>
    <row r="182">
      <c r="A182" s="2" t="s">
        <v>233</v>
      </c>
    </row>
    <row r="183">
      <c r="A183" s="2" t="s">
        <v>234</v>
      </c>
    </row>
    <row r="184">
      <c r="A184" s="2" t="s">
        <v>235</v>
      </c>
    </row>
    <row r="185">
      <c r="A185" s="2" t="s">
        <v>236</v>
      </c>
    </row>
    <row r="186">
      <c r="A186" s="2" t="s">
        <v>237</v>
      </c>
    </row>
    <row r="187">
      <c r="A187" s="2" t="s">
        <v>238</v>
      </c>
    </row>
    <row r="188">
      <c r="A188" s="2" t="s">
        <v>239</v>
      </c>
    </row>
    <row r="189">
      <c r="A189" s="2" t="s">
        <v>240</v>
      </c>
    </row>
    <row r="190">
      <c r="A190" s="2" t="s">
        <v>241</v>
      </c>
    </row>
    <row r="191">
      <c r="A191" s="2" t="s">
        <v>242</v>
      </c>
    </row>
    <row r="192">
      <c r="A192" s="2" t="s">
        <v>243</v>
      </c>
    </row>
    <row r="193">
      <c r="A193" s="2" t="s">
        <v>244</v>
      </c>
    </row>
    <row r="194">
      <c r="A194" s="2" t="s">
        <v>245</v>
      </c>
    </row>
    <row r="195">
      <c r="A195" s="2" t="s">
        <v>246</v>
      </c>
    </row>
    <row r="196">
      <c r="A196" s="2" t="s">
        <v>247</v>
      </c>
    </row>
    <row r="197">
      <c r="A197" s="2" t="s">
        <v>248</v>
      </c>
    </row>
    <row r="198">
      <c r="A198" s="2" t="s">
        <v>249</v>
      </c>
    </row>
    <row r="199">
      <c r="A199" s="2" t="s">
        <v>250</v>
      </c>
    </row>
    <row r="200">
      <c r="A200" s="2" t="s">
        <v>251</v>
      </c>
    </row>
    <row r="201">
      <c r="A201" s="2" t="s">
        <v>252</v>
      </c>
    </row>
    <row r="202">
      <c r="A202" s="2" t="s">
        <v>253</v>
      </c>
    </row>
    <row r="203">
      <c r="A203" s="2" t="s">
        <v>254</v>
      </c>
    </row>
    <row r="204">
      <c r="A204" s="2" t="s">
        <v>255</v>
      </c>
    </row>
    <row r="205">
      <c r="A205" s="2" t="s">
        <v>256</v>
      </c>
    </row>
    <row r="206">
      <c r="A206" s="2" t="s">
        <v>257</v>
      </c>
    </row>
    <row r="207">
      <c r="A207" s="2" t="s">
        <v>258</v>
      </c>
    </row>
    <row r="208">
      <c r="A208" s="2" t="s">
        <v>259</v>
      </c>
    </row>
    <row r="209">
      <c r="A209" s="2" t="s">
        <v>260</v>
      </c>
    </row>
    <row r="210">
      <c r="A210" s="2" t="s">
        <v>261</v>
      </c>
    </row>
    <row r="211">
      <c r="A211" s="2" t="s">
        <v>262</v>
      </c>
    </row>
    <row r="212">
      <c r="A212" s="2" t="s">
        <v>263</v>
      </c>
    </row>
    <row r="213">
      <c r="A213" s="2" t="s">
        <v>264</v>
      </c>
    </row>
    <row r="214">
      <c r="A214" s="8" t="s">
        <v>264</v>
      </c>
    </row>
    <row r="215">
      <c r="A215" s="2" t="s">
        <v>266</v>
      </c>
    </row>
    <row r="216">
      <c r="A216" s="2" t="s">
        <v>267</v>
      </c>
    </row>
    <row r="217">
      <c r="A217" s="2" t="s">
        <v>268</v>
      </c>
    </row>
    <row r="218">
      <c r="A218" s="2" t="s">
        <v>269</v>
      </c>
    </row>
    <row r="219">
      <c r="A219" s="2" t="s">
        <v>270</v>
      </c>
    </row>
    <row r="220">
      <c r="A220" s="2" t="s">
        <v>271</v>
      </c>
    </row>
    <row r="221">
      <c r="A221" s="2" t="s">
        <v>272</v>
      </c>
    </row>
    <row r="222">
      <c r="A222" s="2" t="s">
        <v>273</v>
      </c>
    </row>
    <row r="223">
      <c r="A223" s="2" t="s">
        <v>274</v>
      </c>
    </row>
    <row r="224">
      <c r="A224" s="2" t="s">
        <v>275</v>
      </c>
    </row>
    <row r="225">
      <c r="A225" s="2" t="s">
        <v>276</v>
      </c>
    </row>
    <row r="226">
      <c r="A226" s="2" t="s">
        <v>277</v>
      </c>
    </row>
    <row r="227">
      <c r="A227" s="2" t="s">
        <v>278</v>
      </c>
    </row>
    <row r="228">
      <c r="A228" s="2" t="s">
        <v>279</v>
      </c>
    </row>
    <row r="229">
      <c r="A229" s="2" t="s">
        <v>280</v>
      </c>
    </row>
    <row r="230">
      <c r="A230" s="2" t="s">
        <v>281</v>
      </c>
    </row>
    <row r="231">
      <c r="A231" s="2" t="s">
        <v>282</v>
      </c>
    </row>
    <row r="232">
      <c r="A232" s="2" t="s">
        <v>283</v>
      </c>
    </row>
    <row r="233">
      <c r="A233" s="2" t="s">
        <v>284</v>
      </c>
    </row>
    <row r="234">
      <c r="A234" s="2" t="s">
        <v>285</v>
      </c>
    </row>
    <row r="235">
      <c r="A235" s="2" t="s">
        <v>286</v>
      </c>
    </row>
    <row r="236">
      <c r="A236" s="2" t="s">
        <v>287</v>
      </c>
    </row>
    <row r="237">
      <c r="A237" s="2" t="s">
        <v>288</v>
      </c>
    </row>
    <row r="238">
      <c r="A238" s="2" t="s">
        <v>289</v>
      </c>
    </row>
    <row r="239">
      <c r="A239" s="2" t="s">
        <v>290</v>
      </c>
    </row>
    <row r="240">
      <c r="A240" s="2" t="s">
        <v>291</v>
      </c>
    </row>
    <row r="241">
      <c r="A241" s="2" t="s">
        <v>292</v>
      </c>
    </row>
    <row r="242">
      <c r="A242" s="2" t="s">
        <v>293</v>
      </c>
    </row>
    <row r="243">
      <c r="A243" s="2" t="s">
        <v>294</v>
      </c>
    </row>
    <row r="244">
      <c r="A244" s="2" t="s">
        <v>295</v>
      </c>
    </row>
    <row r="245">
      <c r="A245" s="2" t="s">
        <v>296</v>
      </c>
    </row>
    <row r="246">
      <c r="A246" s="2" t="s">
        <v>297</v>
      </c>
    </row>
    <row r="247">
      <c r="A247" s="2" t="s">
        <v>298</v>
      </c>
    </row>
    <row r="248">
      <c r="A248" s="2" t="s">
        <v>299</v>
      </c>
    </row>
    <row r="249">
      <c r="A249" s="2" t="s">
        <v>300</v>
      </c>
    </row>
    <row r="250">
      <c r="A250" s="2" t="s">
        <v>301</v>
      </c>
    </row>
    <row r="251">
      <c r="A251" s="2" t="s">
        <v>302</v>
      </c>
    </row>
    <row r="252">
      <c r="A252" s="2" t="s">
        <v>303</v>
      </c>
    </row>
    <row r="253">
      <c r="A253" s="2" t="s">
        <v>304</v>
      </c>
    </row>
    <row r="254">
      <c r="A254" s="2" t="s">
        <v>305</v>
      </c>
    </row>
    <row r="255">
      <c r="A255" s="2" t="s">
        <v>306</v>
      </c>
    </row>
    <row r="256">
      <c r="A256" s="2" t="s">
        <v>307</v>
      </c>
    </row>
    <row r="257">
      <c r="A257" s="2" t="s">
        <v>308</v>
      </c>
    </row>
    <row r="258">
      <c r="A258" s="2" t="s">
        <v>309</v>
      </c>
    </row>
    <row r="259">
      <c r="A259" s="2" t="s">
        <v>310</v>
      </c>
    </row>
    <row r="260">
      <c r="A260" s="2" t="s">
        <v>311</v>
      </c>
    </row>
    <row r="261">
      <c r="A261" s="2" t="s">
        <v>312</v>
      </c>
    </row>
    <row r="262">
      <c r="A262" s="2" t="s">
        <v>313</v>
      </c>
    </row>
    <row r="263">
      <c r="A263" s="2" t="s">
        <v>314</v>
      </c>
    </row>
    <row r="264">
      <c r="A264" s="2" t="s">
        <v>315</v>
      </c>
    </row>
    <row r="265">
      <c r="A265" s="2" t="s">
        <v>316</v>
      </c>
    </row>
    <row r="266">
      <c r="A266" s="2" t="s">
        <v>317</v>
      </c>
    </row>
    <row r="267">
      <c r="A267" s="2" t="s">
        <v>318</v>
      </c>
    </row>
    <row r="268">
      <c r="A268" s="2" t="s">
        <v>319</v>
      </c>
    </row>
    <row r="269">
      <c r="A269" s="2" t="s">
        <v>320</v>
      </c>
    </row>
    <row r="270">
      <c r="A270" s="2" t="s">
        <v>321</v>
      </c>
    </row>
    <row r="271">
      <c r="A271" s="2" t="s">
        <v>322</v>
      </c>
    </row>
    <row r="272">
      <c r="A272" s="2" t="s">
        <v>323</v>
      </c>
    </row>
    <row r="273">
      <c r="A273" s="2" t="s">
        <v>324</v>
      </c>
    </row>
    <row r="274">
      <c r="A274" s="2" t="s">
        <v>325</v>
      </c>
    </row>
    <row r="275">
      <c r="A275" s="2" t="s">
        <v>326</v>
      </c>
    </row>
    <row r="276">
      <c r="A276" s="2" t="s">
        <v>327</v>
      </c>
    </row>
    <row r="277">
      <c r="A277" s="2" t="s">
        <v>328</v>
      </c>
    </row>
    <row r="278">
      <c r="A278" s="2" t="s">
        <v>329</v>
      </c>
    </row>
    <row r="279">
      <c r="A279" s="2" t="s">
        <v>330</v>
      </c>
    </row>
    <row r="280">
      <c r="A280" s="2" t="s">
        <v>331</v>
      </c>
    </row>
    <row r="281">
      <c r="A281" s="2" t="s">
        <v>332</v>
      </c>
    </row>
    <row r="282">
      <c r="A282" s="2" t="s">
        <v>333</v>
      </c>
    </row>
    <row r="283">
      <c r="A283" s="2" t="s">
        <v>334</v>
      </c>
    </row>
    <row r="284">
      <c r="A284" s="2" t="s">
        <v>335</v>
      </c>
    </row>
    <row r="285">
      <c r="A285" s="2" t="s">
        <v>336</v>
      </c>
    </row>
    <row r="286">
      <c r="A286" s="2" t="s">
        <v>337</v>
      </c>
    </row>
    <row r="287">
      <c r="A287" s="2" t="s">
        <v>338</v>
      </c>
    </row>
    <row r="288">
      <c r="A288" s="2" t="s">
        <v>339</v>
      </c>
    </row>
    <row r="289">
      <c r="A289" s="2" t="s">
        <v>340</v>
      </c>
    </row>
    <row r="290">
      <c r="A290" s="2" t="s">
        <v>341</v>
      </c>
    </row>
    <row r="291">
      <c r="A291" s="2" t="s">
        <v>342</v>
      </c>
    </row>
    <row r="292">
      <c r="A292" s="2" t="s">
        <v>343</v>
      </c>
    </row>
    <row r="293">
      <c r="A293" s="2" t="s">
        <v>344</v>
      </c>
    </row>
    <row r="294">
      <c r="A294" s="2" t="s">
        <v>345</v>
      </c>
    </row>
    <row r="295">
      <c r="A295" s="2" t="s">
        <v>346</v>
      </c>
    </row>
    <row r="296">
      <c r="A296" s="2" t="s">
        <v>347</v>
      </c>
    </row>
    <row r="297">
      <c r="A297" s="2" t="s">
        <v>348</v>
      </c>
    </row>
    <row r="298">
      <c r="A298" s="2" t="s">
        <v>349</v>
      </c>
    </row>
    <row r="299">
      <c r="A299" s="2" t="s">
        <v>350</v>
      </c>
    </row>
    <row r="300">
      <c r="A300" s="2" t="s">
        <v>351</v>
      </c>
    </row>
    <row r="301">
      <c r="A301" s="2" t="s">
        <v>352</v>
      </c>
    </row>
    <row r="302">
      <c r="A302" s="2" t="s">
        <v>353</v>
      </c>
    </row>
    <row r="303">
      <c r="A303" s="2" t="s">
        <v>354</v>
      </c>
    </row>
    <row r="304">
      <c r="A304" s="2" t="s">
        <v>355</v>
      </c>
    </row>
    <row r="305">
      <c r="A305" s="2" t="s">
        <v>356</v>
      </c>
    </row>
    <row r="306">
      <c r="A306" s="2" t="s">
        <v>357</v>
      </c>
    </row>
    <row r="307">
      <c r="A307" s="2" t="s">
        <v>358</v>
      </c>
    </row>
    <row r="308">
      <c r="A308" s="2" t="s">
        <v>359</v>
      </c>
    </row>
    <row r="309">
      <c r="A309" s="2" t="s">
        <v>360</v>
      </c>
    </row>
    <row r="310">
      <c r="A310" s="2" t="s">
        <v>361</v>
      </c>
    </row>
    <row r="311">
      <c r="A311" s="2" t="s">
        <v>362</v>
      </c>
    </row>
    <row r="312">
      <c r="A312" s="2" t="s">
        <v>363</v>
      </c>
    </row>
    <row r="313">
      <c r="A313" s="2" t="s">
        <v>364</v>
      </c>
    </row>
    <row r="314">
      <c r="A314" s="2" t="s">
        <v>365</v>
      </c>
    </row>
    <row r="315">
      <c r="A315" s="2" t="s">
        <v>366</v>
      </c>
    </row>
    <row r="316">
      <c r="A316" s="2" t="s">
        <v>367</v>
      </c>
    </row>
    <row r="317">
      <c r="A317" s="2" t="s">
        <v>368</v>
      </c>
    </row>
    <row r="318">
      <c r="A318" s="2" t="s">
        <v>369</v>
      </c>
    </row>
    <row r="319">
      <c r="A319" s="2" t="s">
        <v>370</v>
      </c>
    </row>
    <row r="320">
      <c r="A320" s="2" t="s">
        <v>371</v>
      </c>
    </row>
    <row r="321">
      <c r="A321" s="2" t="s">
        <v>372</v>
      </c>
    </row>
    <row r="322">
      <c r="A322" s="2" t="s">
        <v>373</v>
      </c>
    </row>
    <row r="323">
      <c r="A323" s="2" t="s">
        <v>374</v>
      </c>
    </row>
    <row r="324">
      <c r="A324" s="2" t="s">
        <v>375</v>
      </c>
    </row>
    <row r="325">
      <c r="A325" s="2" t="s">
        <v>376</v>
      </c>
    </row>
    <row r="326">
      <c r="A326" s="2" t="s">
        <v>377</v>
      </c>
    </row>
    <row r="327">
      <c r="A327" s="2" t="s">
        <v>378</v>
      </c>
    </row>
    <row r="328">
      <c r="A328" s="2" t="s">
        <v>379</v>
      </c>
    </row>
    <row r="329">
      <c r="A329" s="2" t="s">
        <v>380</v>
      </c>
    </row>
    <row r="330">
      <c r="A330" s="2" t="s">
        <v>381</v>
      </c>
    </row>
    <row r="331">
      <c r="A331" s="2" t="s">
        <v>382</v>
      </c>
    </row>
    <row r="332">
      <c r="A332" s="2" t="s">
        <v>383</v>
      </c>
    </row>
    <row r="333">
      <c r="A333" s="2" t="s">
        <v>384</v>
      </c>
    </row>
    <row r="334">
      <c r="A334" s="2" t="s">
        <v>385</v>
      </c>
    </row>
    <row r="335">
      <c r="A335" s="2" t="s">
        <v>386</v>
      </c>
    </row>
    <row r="336">
      <c r="A336" s="2" t="s">
        <v>387</v>
      </c>
    </row>
    <row r="337">
      <c r="A337" s="2" t="s">
        <v>388</v>
      </c>
    </row>
    <row r="338">
      <c r="A338" s="2" t="s">
        <v>389</v>
      </c>
    </row>
    <row r="339">
      <c r="A339" s="2" t="s">
        <v>390</v>
      </c>
    </row>
    <row r="340">
      <c r="A340" s="2" t="s">
        <v>391</v>
      </c>
    </row>
    <row r="341">
      <c r="A341" s="2" t="s">
        <v>392</v>
      </c>
    </row>
    <row r="342">
      <c r="A342" s="2" t="s">
        <v>393</v>
      </c>
    </row>
    <row r="343">
      <c r="A343" s="2" t="s">
        <v>394</v>
      </c>
    </row>
    <row r="344">
      <c r="A344" s="2" t="s">
        <v>395</v>
      </c>
    </row>
    <row r="345">
      <c r="A345" s="2" t="s">
        <v>396</v>
      </c>
    </row>
    <row r="346">
      <c r="A346" s="2" t="s">
        <v>397</v>
      </c>
    </row>
    <row r="347">
      <c r="A347" s="2" t="s">
        <v>398</v>
      </c>
    </row>
    <row r="348">
      <c r="A348" s="2" t="s">
        <v>399</v>
      </c>
    </row>
    <row r="349">
      <c r="A349" s="2" t="s">
        <v>400</v>
      </c>
    </row>
    <row r="350">
      <c r="A350" s="2" t="s">
        <v>401</v>
      </c>
    </row>
    <row r="351">
      <c r="A351" s="2" t="s">
        <v>402</v>
      </c>
    </row>
    <row r="352">
      <c r="A352" s="2" t="s">
        <v>403</v>
      </c>
    </row>
    <row r="353">
      <c r="A353" s="2" t="s">
        <v>404</v>
      </c>
    </row>
    <row r="354">
      <c r="A354" s="2" t="s">
        <v>405</v>
      </c>
    </row>
    <row r="355">
      <c r="A355" s="2" t="s">
        <v>406</v>
      </c>
    </row>
    <row r="356">
      <c r="A356" s="2" t="s">
        <v>407</v>
      </c>
    </row>
    <row r="357">
      <c r="A357" s="2" t="s">
        <v>408</v>
      </c>
    </row>
    <row r="358">
      <c r="A358" s="2" t="s">
        <v>409</v>
      </c>
    </row>
    <row r="359">
      <c r="A359" s="2" t="s">
        <v>410</v>
      </c>
    </row>
    <row r="360">
      <c r="A360" s="2" t="s">
        <v>411</v>
      </c>
    </row>
    <row r="361">
      <c r="A361" s="2" t="s">
        <v>412</v>
      </c>
    </row>
    <row r="362">
      <c r="A362" s="2" t="s">
        <v>413</v>
      </c>
    </row>
    <row r="363">
      <c r="A363" s="2" t="s">
        <v>414</v>
      </c>
    </row>
    <row r="364">
      <c r="A364" s="2" t="s">
        <v>415</v>
      </c>
    </row>
    <row r="365">
      <c r="A365" s="2" t="s">
        <v>416</v>
      </c>
    </row>
    <row r="366">
      <c r="A366" s="2" t="s">
        <v>417</v>
      </c>
    </row>
    <row r="367">
      <c r="A367" s="2" t="s">
        <v>418</v>
      </c>
    </row>
    <row r="368">
      <c r="A368" s="2" t="s">
        <v>419</v>
      </c>
    </row>
    <row r="369">
      <c r="A369" s="2" t="s">
        <v>420</v>
      </c>
    </row>
    <row r="370">
      <c r="A370" s="2" t="s">
        <v>421</v>
      </c>
    </row>
    <row r="371">
      <c r="A371" s="2" t="s">
        <v>422</v>
      </c>
    </row>
    <row r="372">
      <c r="A372" s="2" t="s">
        <v>423</v>
      </c>
    </row>
    <row r="373">
      <c r="A373" s="2" t="s">
        <v>424</v>
      </c>
    </row>
    <row r="374">
      <c r="A374" s="2" t="s">
        <v>425</v>
      </c>
    </row>
    <row r="375">
      <c r="A375" s="2" t="s">
        <v>426</v>
      </c>
    </row>
    <row r="376">
      <c r="A376" s="2" t="s">
        <v>427</v>
      </c>
    </row>
    <row r="377">
      <c r="A377" s="2" t="s">
        <v>428</v>
      </c>
    </row>
    <row r="378">
      <c r="A378" s="2" t="s">
        <v>429</v>
      </c>
    </row>
    <row r="379">
      <c r="A379" s="2" t="s">
        <v>430</v>
      </c>
    </row>
    <row r="380">
      <c r="A380" s="2" t="s">
        <v>431</v>
      </c>
    </row>
    <row r="381">
      <c r="A381" s="2" t="s">
        <v>432</v>
      </c>
    </row>
    <row r="382">
      <c r="A382" s="2" t="s">
        <v>433</v>
      </c>
    </row>
    <row r="383">
      <c r="A383" s="2" t="s">
        <v>434</v>
      </c>
    </row>
    <row r="384">
      <c r="A384" s="2" t="s">
        <v>435</v>
      </c>
    </row>
    <row r="385">
      <c r="A385" s="2" t="s">
        <v>436</v>
      </c>
    </row>
    <row r="386">
      <c r="A386" s="2" t="s">
        <v>437</v>
      </c>
    </row>
    <row r="387">
      <c r="A387" s="2" t="s">
        <v>438</v>
      </c>
    </row>
    <row r="388">
      <c r="A388" s="2" t="s">
        <v>439</v>
      </c>
    </row>
    <row r="389">
      <c r="A389" s="2" t="s">
        <v>440</v>
      </c>
    </row>
    <row r="390">
      <c r="A390" s="2" t="s">
        <v>441</v>
      </c>
    </row>
    <row r="391">
      <c r="A391" s="2" t="s">
        <v>442</v>
      </c>
    </row>
    <row r="392">
      <c r="A392" s="2" t="s">
        <v>443</v>
      </c>
    </row>
    <row r="393">
      <c r="A393" s="2" t="s">
        <v>444</v>
      </c>
    </row>
    <row r="394">
      <c r="A394" s="2" t="s">
        <v>445</v>
      </c>
    </row>
    <row r="395">
      <c r="A395" s="2" t="s">
        <v>446</v>
      </c>
    </row>
    <row r="396">
      <c r="A396" s="2" t="s">
        <v>447</v>
      </c>
    </row>
    <row r="397">
      <c r="A397" s="2" t="s">
        <v>448</v>
      </c>
    </row>
    <row r="398">
      <c r="A398" s="2" t="s">
        <v>449</v>
      </c>
    </row>
    <row r="399">
      <c r="A399" s="2" t="s">
        <v>450</v>
      </c>
    </row>
    <row r="400">
      <c r="A400" s="2" t="s">
        <v>451</v>
      </c>
    </row>
    <row r="401">
      <c r="A401" s="2" t="s">
        <v>452</v>
      </c>
    </row>
    <row r="402">
      <c r="A402" s="2" t="s">
        <v>453</v>
      </c>
    </row>
    <row r="403">
      <c r="A403" s="2" t="s">
        <v>454</v>
      </c>
    </row>
    <row r="404">
      <c r="A404" s="2" t="s">
        <v>455</v>
      </c>
    </row>
    <row r="405">
      <c r="A405" s="2" t="s">
        <v>456</v>
      </c>
    </row>
    <row r="406">
      <c r="A406" s="2" t="s">
        <v>457</v>
      </c>
    </row>
    <row r="407">
      <c r="A407" s="2" t="s">
        <v>458</v>
      </c>
    </row>
    <row r="408">
      <c r="A408" s="2" t="s">
        <v>459</v>
      </c>
    </row>
    <row r="409">
      <c r="A409" s="2" t="s">
        <v>460</v>
      </c>
    </row>
    <row r="410">
      <c r="A410" s="2" t="s">
        <v>461</v>
      </c>
    </row>
    <row r="411">
      <c r="A411" s="2" t="s">
        <v>462</v>
      </c>
    </row>
    <row r="412">
      <c r="A412" s="2" t="s">
        <v>463</v>
      </c>
    </row>
    <row r="413">
      <c r="A413" s="2" t="s">
        <v>464</v>
      </c>
    </row>
    <row r="414">
      <c r="A414" s="2" t="s">
        <v>465</v>
      </c>
    </row>
    <row r="415">
      <c r="A415" s="2" t="s">
        <v>466</v>
      </c>
    </row>
    <row r="416">
      <c r="A416" s="2" t="s">
        <v>467</v>
      </c>
    </row>
    <row r="417">
      <c r="A417" s="2" t="s">
        <v>468</v>
      </c>
    </row>
    <row r="418">
      <c r="A418" s="2" t="s">
        <v>469</v>
      </c>
    </row>
    <row r="419">
      <c r="A419" s="2" t="s">
        <v>470</v>
      </c>
    </row>
    <row r="420">
      <c r="A420" s="2" t="s">
        <v>471</v>
      </c>
    </row>
    <row r="421">
      <c r="A421" s="2" t="s">
        <v>472</v>
      </c>
    </row>
    <row r="422">
      <c r="A422" s="2" t="s">
        <v>473</v>
      </c>
    </row>
    <row r="423">
      <c r="A423" s="2" t="s">
        <v>474</v>
      </c>
    </row>
    <row r="424">
      <c r="A424" s="2" t="s">
        <v>475</v>
      </c>
    </row>
    <row r="425">
      <c r="A425" s="2" t="s">
        <v>476</v>
      </c>
    </row>
    <row r="426">
      <c r="A426" s="2" t="s">
        <v>477</v>
      </c>
    </row>
    <row r="427">
      <c r="A427" s="2" t="s">
        <v>478</v>
      </c>
    </row>
    <row r="428">
      <c r="A428" s="2" t="s">
        <v>479</v>
      </c>
    </row>
    <row r="429">
      <c r="A429" s="2" t="s">
        <v>480</v>
      </c>
    </row>
    <row r="430">
      <c r="A430" s="2" t="s">
        <v>481</v>
      </c>
    </row>
    <row r="431">
      <c r="A431" s="2" t="s">
        <v>482</v>
      </c>
    </row>
    <row r="432">
      <c r="A432" s="2" t="s">
        <v>483</v>
      </c>
    </row>
    <row r="433">
      <c r="A433" s="2" t="s">
        <v>484</v>
      </c>
    </row>
    <row r="434">
      <c r="A434" s="2" t="s">
        <v>485</v>
      </c>
    </row>
    <row r="435">
      <c r="A435" s="2" t="s">
        <v>486</v>
      </c>
    </row>
    <row r="436">
      <c r="A436" s="2" t="s">
        <v>487</v>
      </c>
    </row>
    <row r="437">
      <c r="A437" s="2" t="s">
        <v>488</v>
      </c>
    </row>
    <row r="438">
      <c r="A438" s="2" t="s">
        <v>489</v>
      </c>
    </row>
    <row r="439">
      <c r="A439" s="2" t="s">
        <v>490</v>
      </c>
    </row>
    <row r="440">
      <c r="A440" s="2" t="s">
        <v>491</v>
      </c>
    </row>
    <row r="441">
      <c r="A441" s="2" t="s">
        <v>492</v>
      </c>
    </row>
    <row r="442">
      <c r="A442" s="2" t="s">
        <v>493</v>
      </c>
    </row>
    <row r="443">
      <c r="A443" s="2" t="s">
        <v>494</v>
      </c>
    </row>
    <row r="444">
      <c r="A444" s="2" t="s">
        <v>495</v>
      </c>
    </row>
    <row r="445">
      <c r="A445" s="2" t="s">
        <v>496</v>
      </c>
    </row>
    <row r="446">
      <c r="A446" s="2" t="s">
        <v>497</v>
      </c>
    </row>
    <row r="447">
      <c r="A447" s="2" t="s">
        <v>498</v>
      </c>
    </row>
    <row r="448">
      <c r="A448" s="2" t="s">
        <v>499</v>
      </c>
    </row>
    <row r="449">
      <c r="A449" s="2" t="s">
        <v>500</v>
      </c>
    </row>
    <row r="450">
      <c r="A450" s="2" t="s">
        <v>501</v>
      </c>
    </row>
    <row r="451">
      <c r="A451" s="2" t="s">
        <v>502</v>
      </c>
    </row>
    <row r="452">
      <c r="A452" s="2" t="s">
        <v>503</v>
      </c>
    </row>
    <row r="453">
      <c r="A453" s="2" t="s">
        <v>504</v>
      </c>
    </row>
    <row r="454">
      <c r="A454" s="2" t="s">
        <v>505</v>
      </c>
    </row>
    <row r="455">
      <c r="A455" s="2" t="s">
        <v>506</v>
      </c>
    </row>
    <row r="456">
      <c r="A456" s="2" t="s">
        <v>507</v>
      </c>
    </row>
    <row r="457">
      <c r="A457" s="2" t="s">
        <v>508</v>
      </c>
    </row>
    <row r="458">
      <c r="A458" s="2" t="s">
        <v>509</v>
      </c>
    </row>
    <row r="459">
      <c r="A459" s="2" t="s">
        <v>510</v>
      </c>
    </row>
    <row r="460">
      <c r="A460" s="2" t="s">
        <v>511</v>
      </c>
    </row>
    <row r="461">
      <c r="A461" s="2" t="s">
        <v>512</v>
      </c>
    </row>
    <row r="462">
      <c r="A462" s="2" t="s">
        <v>513</v>
      </c>
    </row>
    <row r="463">
      <c r="A463" s="2" t="s">
        <v>514</v>
      </c>
    </row>
    <row r="464">
      <c r="A464" s="2" t="s">
        <v>515</v>
      </c>
    </row>
    <row r="465">
      <c r="A465" s="2" t="s">
        <v>516</v>
      </c>
    </row>
    <row r="466">
      <c r="A466" s="2" t="s">
        <v>517</v>
      </c>
    </row>
    <row r="467">
      <c r="A467" s="2" t="s">
        <v>518</v>
      </c>
    </row>
    <row r="468">
      <c r="A468" s="2" t="s">
        <v>519</v>
      </c>
    </row>
    <row r="469">
      <c r="A469" s="2" t="s">
        <v>520</v>
      </c>
    </row>
    <row r="470">
      <c r="A470" s="2" t="s">
        <v>521</v>
      </c>
    </row>
    <row r="471">
      <c r="A471" s="2" t="s">
        <v>522</v>
      </c>
    </row>
    <row r="472">
      <c r="A472" s="2" t="s">
        <v>523</v>
      </c>
    </row>
    <row r="473">
      <c r="A473" s="2" t="s">
        <v>524</v>
      </c>
    </row>
    <row r="474">
      <c r="A474" s="2" t="s">
        <v>525</v>
      </c>
    </row>
    <row r="475">
      <c r="A475" s="2" t="s">
        <v>526</v>
      </c>
    </row>
    <row r="476">
      <c r="A476" s="2" t="s">
        <v>527</v>
      </c>
    </row>
    <row r="477">
      <c r="A477" s="2" t="s">
        <v>528</v>
      </c>
    </row>
    <row r="478">
      <c r="A478" s="2" t="s">
        <v>529</v>
      </c>
    </row>
    <row r="479">
      <c r="A479" s="2" t="s">
        <v>530</v>
      </c>
    </row>
    <row r="480">
      <c r="A480" s="2" t="s">
        <v>531</v>
      </c>
    </row>
    <row r="481">
      <c r="A481" s="2" t="s">
        <v>532</v>
      </c>
    </row>
    <row r="482">
      <c r="A482" s="2" t="s">
        <v>533</v>
      </c>
    </row>
    <row r="483">
      <c r="A483" s="2" t="s">
        <v>534</v>
      </c>
    </row>
    <row r="484">
      <c r="A484" s="2" t="s">
        <v>535</v>
      </c>
    </row>
    <row r="485">
      <c r="A485" s="2" t="s">
        <v>536</v>
      </c>
    </row>
    <row r="486">
      <c r="A486" s="2" t="s">
        <v>537</v>
      </c>
    </row>
    <row r="487">
      <c r="A487" s="2" t="s">
        <v>538</v>
      </c>
    </row>
    <row r="488">
      <c r="A488" s="2" t="s">
        <v>539</v>
      </c>
    </row>
    <row r="489">
      <c r="A489" s="2" t="s">
        <v>540</v>
      </c>
    </row>
    <row r="490">
      <c r="A490" s="2" t="s">
        <v>541</v>
      </c>
    </row>
    <row r="491">
      <c r="A491" s="2" t="s">
        <v>542</v>
      </c>
    </row>
    <row r="492">
      <c r="A492" s="2" t="s">
        <v>543</v>
      </c>
    </row>
    <row r="493">
      <c r="A493" s="2" t="s">
        <v>544</v>
      </c>
    </row>
    <row r="494">
      <c r="A494" s="2" t="s">
        <v>545</v>
      </c>
    </row>
    <row r="495">
      <c r="A495" s="2" t="s">
        <v>546</v>
      </c>
    </row>
    <row r="496">
      <c r="A496" s="2" t="s">
        <v>547</v>
      </c>
    </row>
    <row r="497">
      <c r="A497" s="2" t="s">
        <v>548</v>
      </c>
    </row>
    <row r="498">
      <c r="A498" s="2" t="s">
        <v>549</v>
      </c>
    </row>
    <row r="499">
      <c r="A499" s="2" t="s">
        <v>550</v>
      </c>
    </row>
    <row r="500">
      <c r="A500" s="2" t="s">
        <v>551</v>
      </c>
    </row>
    <row r="501">
      <c r="A501" s="8" t="s">
        <v>643</v>
      </c>
    </row>
  </sheetData>
  <autoFilter ref="$A$1:$A$501">
    <sortState ref="A1:A501">
      <sortCondition ref="A1:A50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2.0"/>
  </cols>
  <sheetData>
    <row r="1">
      <c r="A1" s="12" t="s">
        <v>646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5</v>
      </c>
      <c r="G1" s="13" t="s">
        <v>6</v>
      </c>
      <c r="H1" s="13" t="s">
        <v>8</v>
      </c>
      <c r="I1" s="13" t="s">
        <v>9</v>
      </c>
    </row>
    <row r="2">
      <c r="A2" s="14" t="s">
        <v>647</v>
      </c>
      <c r="B2" s="8" t="b">
        <v>1</v>
      </c>
      <c r="C2" s="8" t="b">
        <v>1</v>
      </c>
      <c r="D2" s="8" t="b">
        <v>1</v>
      </c>
      <c r="E2" s="8" t="b">
        <v>1</v>
      </c>
      <c r="F2" s="8" t="b">
        <v>1</v>
      </c>
      <c r="G2" s="8" t="b">
        <v>1</v>
      </c>
      <c r="H2" s="8" t="b">
        <v>1</v>
      </c>
      <c r="I2" s="8" t="b">
        <v>1</v>
      </c>
    </row>
    <row r="3">
      <c r="A3" s="14" t="s">
        <v>648</v>
      </c>
      <c r="B3" s="8" t="b">
        <v>1</v>
      </c>
      <c r="C3" s="2" t="b">
        <v>0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</row>
    <row r="4">
      <c r="A4" s="14" t="s">
        <v>649</v>
      </c>
      <c r="B4" s="8" t="b">
        <v>1</v>
      </c>
      <c r="C4" s="2" t="b">
        <v>0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</row>
    <row r="5">
      <c r="A5" s="14" t="s">
        <v>650</v>
      </c>
      <c r="B5" s="2" t="b">
        <v>0</v>
      </c>
      <c r="C5" s="8" t="b">
        <v>0</v>
      </c>
      <c r="D5" s="8" t="b">
        <v>0</v>
      </c>
      <c r="E5" s="8" t="b">
        <v>1</v>
      </c>
      <c r="F5" s="2" t="b">
        <v>0</v>
      </c>
      <c r="G5" s="2" t="b">
        <v>0</v>
      </c>
      <c r="H5" s="2" t="b">
        <v>0</v>
      </c>
      <c r="I5" s="2" t="b">
        <v>0</v>
      </c>
    </row>
    <row r="6">
      <c r="A6" s="14" t="s">
        <v>651</v>
      </c>
      <c r="B6" s="2" t="b">
        <v>0</v>
      </c>
      <c r="C6" s="2" t="b">
        <v>0</v>
      </c>
      <c r="D6" s="2" t="b">
        <v>0</v>
      </c>
      <c r="E6" s="2" t="b">
        <v>0</v>
      </c>
      <c r="F6" s="8" t="b">
        <v>1</v>
      </c>
      <c r="G6" s="8" t="b">
        <v>1</v>
      </c>
      <c r="H6" s="8" t="b">
        <v>1</v>
      </c>
      <c r="I6" s="2" t="b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5.57"/>
    <col customWidth="1" min="3" max="3" width="16.71"/>
    <col customWidth="1" min="4" max="4" width="19.86"/>
    <col customWidth="1" min="6" max="21" width="18.43"/>
  </cols>
  <sheetData>
    <row r="1"/>
    <row r="2"/>
    <row r="3"/>
    <row r="4"/>
    <row r="5">
      <c r="F5" s="15" t="s">
        <v>669</v>
      </c>
      <c r="G5" s="15" t="s">
        <v>670</v>
      </c>
      <c r="H5" s="15" t="s">
        <v>671</v>
      </c>
      <c r="I5" s="15" t="s">
        <v>672</v>
      </c>
      <c r="J5" s="15" t="s">
        <v>673</v>
      </c>
      <c r="K5" s="15" t="s">
        <v>674</v>
      </c>
      <c r="L5" s="15" t="s">
        <v>675</v>
      </c>
      <c r="M5" s="15" t="s">
        <v>676</v>
      </c>
      <c r="N5" s="15" t="s">
        <v>677</v>
      </c>
      <c r="O5" s="15" t="s">
        <v>678</v>
      </c>
      <c r="P5" s="15" t="s">
        <v>679</v>
      </c>
      <c r="Q5" s="15" t="s">
        <v>680</v>
      </c>
      <c r="R5" s="15" t="s">
        <v>681</v>
      </c>
      <c r="S5" s="15" t="s">
        <v>682</v>
      </c>
    </row>
    <row r="6">
      <c r="F6" s="16">
        <f t="shared" ref="F6:S6" si="1">F2/500</f>
        <v>1</v>
      </c>
      <c r="G6" s="17">
        <f t="shared" si="1"/>
        <v>0.994</v>
      </c>
      <c r="H6" s="17">
        <f t="shared" si="1"/>
        <v>0.996</v>
      </c>
      <c r="I6" s="17">
        <f t="shared" si="1"/>
        <v>0.994</v>
      </c>
      <c r="J6" s="16">
        <f t="shared" si="1"/>
        <v>1</v>
      </c>
      <c r="K6" s="16">
        <f t="shared" si="1"/>
        <v>1</v>
      </c>
      <c r="L6" s="16">
        <f t="shared" si="1"/>
        <v>1</v>
      </c>
      <c r="M6" s="18">
        <f t="shared" si="1"/>
        <v>0.876</v>
      </c>
      <c r="N6" s="16">
        <f t="shared" si="1"/>
        <v>0.996</v>
      </c>
      <c r="O6" s="17">
        <f t="shared" si="1"/>
        <v>0.998</v>
      </c>
      <c r="P6" s="17">
        <f t="shared" si="1"/>
        <v>0.994</v>
      </c>
      <c r="Q6" s="16">
        <f t="shared" si="1"/>
        <v>1</v>
      </c>
      <c r="R6" s="17">
        <f t="shared" si="1"/>
        <v>0.972</v>
      </c>
      <c r="S6" s="16">
        <f t="shared" si="1"/>
        <v>0.996</v>
      </c>
      <c r="T6" s="17"/>
      <c r="U6" s="17"/>
    </row>
    <row r="7"/>
    <row r="8"/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4.14"/>
  </cols>
  <sheetData>
    <row r="1">
      <c r="A1" s="19" t="s">
        <v>684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mergeCells count="1">
    <mergeCell ref="A1:E1"/>
  </mergeCell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43"/>
    <col customWidth="1" min="2" max="2" width="15.29"/>
    <col customWidth="1" min="3" max="3" width="9.43"/>
    <col customWidth="1" min="4" max="4" width="35.57"/>
    <col customWidth="1" min="5" max="5" width="16.57"/>
    <col customWidth="1" min="6" max="6" width="17.57"/>
    <col customWidth="1" min="7" max="7" width="16.57"/>
    <col customWidth="1" min="8" max="8" width="30.14"/>
    <col customWidth="1" min="9" max="9" width="17.14"/>
    <col customWidth="1" min="10" max="10" width="19.57"/>
    <col customWidth="1" min="11" max="11" width="13.71"/>
    <col customWidth="1" min="12" max="12" width="20.43"/>
    <col customWidth="1" min="13" max="13" width="20.86"/>
    <col customWidth="1" min="14" max="14" width="21.86"/>
    <col customWidth="1" min="15" max="15" width="16.57"/>
    <col customWidth="1" min="16" max="16" width="17.71"/>
    <col customWidth="1" min="17" max="17" width="18.14"/>
    <col customWidth="1" min="18" max="18" width="34.43"/>
    <col customWidth="1" min="19" max="19" width="34.57"/>
    <col customWidth="1" min="20" max="20" width="20.71"/>
    <col customWidth="1" min="21" max="21" width="21.71"/>
    <col customWidth="1" min="22" max="22" width="16.43"/>
    <col customWidth="1" min="23" max="46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4" t="s">
        <v>669</v>
      </c>
      <c r="J1" s="5" t="s">
        <v>670</v>
      </c>
      <c r="K1" s="5" t="s">
        <v>671</v>
      </c>
      <c r="L1" s="5" t="s">
        <v>672</v>
      </c>
      <c r="M1" s="5" t="s">
        <v>673</v>
      </c>
      <c r="N1" s="5" t="s">
        <v>674</v>
      </c>
      <c r="O1" s="5" t="s">
        <v>675</v>
      </c>
      <c r="P1" s="5" t="s">
        <v>676</v>
      </c>
      <c r="Q1" s="4" t="s">
        <v>677</v>
      </c>
      <c r="R1" s="4" t="s">
        <v>678</v>
      </c>
      <c r="S1" s="4" t="s">
        <v>679</v>
      </c>
      <c r="T1" s="4" t="s">
        <v>680</v>
      </c>
      <c r="U1" s="4" t="s">
        <v>681</v>
      </c>
      <c r="V1" s="4" t="s">
        <v>682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ht="14.25" customHeight="1">
      <c r="A2" s="2" t="s">
        <v>236</v>
      </c>
      <c r="B2" s="2" t="s">
        <v>18</v>
      </c>
      <c r="C2" s="2" t="s">
        <v>19</v>
      </c>
      <c r="D2" s="8" t="s">
        <v>633</v>
      </c>
      <c r="E2" s="6">
        <v>45056.0</v>
      </c>
      <c r="F2" s="6">
        <v>45210.0</v>
      </c>
      <c r="G2" s="11">
        <v>2.299354314E10</v>
      </c>
      <c r="H2" s="2" t="s">
        <v>21</v>
      </c>
      <c r="I2" s="2">
        <f t="shared" ref="I2:P2" si="1">IF(ISBLANK(A2)=TRUE,0,1)</f>
        <v>1</v>
      </c>
      <c r="J2" s="2">
        <f t="shared" si="1"/>
        <v>1</v>
      </c>
      <c r="K2" s="2">
        <f t="shared" si="1"/>
        <v>1</v>
      </c>
      <c r="L2" s="2">
        <f t="shared" si="1"/>
        <v>1</v>
      </c>
      <c r="M2" s="2">
        <f t="shared" si="1"/>
        <v>1</v>
      </c>
      <c r="N2" s="2">
        <f t="shared" si="1"/>
        <v>1</v>
      </c>
      <c r="O2" s="2">
        <f t="shared" si="1"/>
        <v>1</v>
      </c>
      <c r="P2" s="2">
        <f t="shared" si="1"/>
        <v>1</v>
      </c>
      <c r="Q2" s="2">
        <f t="shared" ref="Q2:Q501" si="3">IF(COUNTIF(A:A, A2) &gt; 1, 0, 1)</f>
        <v>1</v>
      </c>
      <c r="R2" s="2">
        <f>IF(ISERROR(VLOOKUP(A2, 'Project Reference'!A:A, 1, FALSE)), 0, 1)</f>
        <v>1</v>
      </c>
      <c r="S2" s="2">
        <f>IFERROR(__xludf.DUMMYFUNCTION("IF(AND(REGEXMATCH(D2, B2), REGEXMATCH(D2, C2)), 1, 0)"),1.0)</f>
        <v>1</v>
      </c>
      <c r="T2" s="2">
        <f t="shared" ref="T2:T501" si="4">IF(AND(YEAR(E2)&gt;=2023, YEAR(E2)&lt;=2024), 1, 0)</f>
        <v>1</v>
      </c>
      <c r="U2" s="2">
        <f t="shared" ref="U2:U501" si="5">IF(F2-E2&gt;=3, 1, 0)</f>
        <v>1</v>
      </c>
      <c r="V2" s="2">
        <f t="shared" ref="V2:V501" si="6">IF(G2&gt;10000000000, 0, 1)</f>
        <v>0</v>
      </c>
    </row>
    <row r="3" ht="14.25" customHeight="1">
      <c r="A3" s="2" t="s">
        <v>272</v>
      </c>
      <c r="B3" s="2" t="s">
        <v>60</v>
      </c>
      <c r="C3" s="2" t="s">
        <v>31</v>
      </c>
      <c r="D3" s="8" t="s">
        <v>613</v>
      </c>
      <c r="E3" s="6">
        <v>45081.0</v>
      </c>
      <c r="F3" s="6">
        <v>45386.0</v>
      </c>
      <c r="G3" s="11">
        <v>1.0119728525E10</v>
      </c>
      <c r="H3" s="2" t="s">
        <v>67</v>
      </c>
      <c r="I3" s="2">
        <f t="shared" ref="I3:P3" si="2">IF(ISBLANK(A3)=TRUE,0,1)</f>
        <v>1</v>
      </c>
      <c r="J3" s="2">
        <f t="shared" si="2"/>
        <v>1</v>
      </c>
      <c r="K3" s="2">
        <f t="shared" si="2"/>
        <v>1</v>
      </c>
      <c r="L3" s="2">
        <f t="shared" si="2"/>
        <v>1</v>
      </c>
      <c r="M3" s="2">
        <f t="shared" si="2"/>
        <v>1</v>
      </c>
      <c r="N3" s="2">
        <f t="shared" si="2"/>
        <v>1</v>
      </c>
      <c r="O3" s="2">
        <f t="shared" si="2"/>
        <v>1</v>
      </c>
      <c r="P3" s="2">
        <f t="shared" si="2"/>
        <v>1</v>
      </c>
      <c r="Q3" s="2">
        <f t="shared" si="3"/>
        <v>1</v>
      </c>
      <c r="R3" s="2">
        <f>IF(ISERROR(VLOOKUP(A3, 'Project Reference'!A:A, 1, FALSE)), 0, 1)</f>
        <v>1</v>
      </c>
      <c r="S3" s="2">
        <f>IFERROR(__xludf.DUMMYFUNCTION("IF(AND(REGEXMATCH(D3, B3), REGEXMATCH(D3, C3)), 1, 0)"),1.0)</f>
        <v>1</v>
      </c>
      <c r="T3" s="2">
        <f t="shared" si="4"/>
        <v>1</v>
      </c>
      <c r="U3" s="2">
        <f t="shared" si="5"/>
        <v>1</v>
      </c>
      <c r="V3" s="2">
        <f t="shared" si="6"/>
        <v>0</v>
      </c>
    </row>
    <row r="4" ht="14.25" customHeight="1">
      <c r="A4" s="8" t="s">
        <v>643</v>
      </c>
      <c r="B4" s="2" t="s">
        <v>12</v>
      </c>
      <c r="C4" s="8" t="s">
        <v>39</v>
      </c>
      <c r="D4" s="8" t="s">
        <v>644</v>
      </c>
      <c r="E4" s="6">
        <v>45292.0</v>
      </c>
      <c r="F4" s="6">
        <v>45292.0</v>
      </c>
      <c r="G4" s="7">
        <v>1.05133426E8</v>
      </c>
      <c r="H4" s="8" t="s">
        <v>645</v>
      </c>
      <c r="I4" s="2">
        <f t="shared" ref="I4:P4" si="7">IF(ISBLANK(A4)=TRUE,0,1)</f>
        <v>1</v>
      </c>
      <c r="J4" s="2">
        <f t="shared" si="7"/>
        <v>1</v>
      </c>
      <c r="K4" s="2">
        <f t="shared" si="7"/>
        <v>1</v>
      </c>
      <c r="L4" s="2">
        <f t="shared" si="7"/>
        <v>1</v>
      </c>
      <c r="M4" s="2">
        <f t="shared" si="7"/>
        <v>1</v>
      </c>
      <c r="N4" s="2">
        <f t="shared" si="7"/>
        <v>1</v>
      </c>
      <c r="O4" s="2">
        <f t="shared" si="7"/>
        <v>1</v>
      </c>
      <c r="P4" s="2">
        <f t="shared" si="7"/>
        <v>1</v>
      </c>
      <c r="Q4" s="2">
        <f t="shared" si="3"/>
        <v>1</v>
      </c>
      <c r="R4" s="2">
        <f>IF(ISERROR(VLOOKUP(A4, 'Project Reference'!A:A, 1, FALSE)), 0, 1)</f>
        <v>0</v>
      </c>
      <c r="S4" s="2">
        <f>IFERROR(__xludf.DUMMYFUNCTION("IF(AND(REGEXMATCH(D4, B4), REGEXMATCH(D4, C4)), 1, 0)"),0.0)</f>
        <v>0</v>
      </c>
      <c r="T4" s="2">
        <f t="shared" si="4"/>
        <v>1</v>
      </c>
      <c r="U4" s="2">
        <f t="shared" si="5"/>
        <v>0</v>
      </c>
      <c r="V4" s="2">
        <f t="shared" si="6"/>
        <v>1</v>
      </c>
    </row>
    <row r="5" ht="14.25" customHeight="1">
      <c r="A5" s="2" t="s">
        <v>264</v>
      </c>
      <c r="B5" s="2" t="s">
        <v>18</v>
      </c>
      <c r="C5" s="2" t="s">
        <v>48</v>
      </c>
      <c r="D5" s="8" t="s">
        <v>629</v>
      </c>
      <c r="E5" s="6">
        <v>45078.0</v>
      </c>
      <c r="F5" s="6">
        <v>45153.0</v>
      </c>
      <c r="G5" s="7">
        <v>1.206249778E9</v>
      </c>
      <c r="H5" s="2" t="s">
        <v>67</v>
      </c>
      <c r="I5" s="2">
        <f t="shared" ref="I5:P5" si="8">IF(ISBLANK(A5)=TRUE,0,1)</f>
        <v>1</v>
      </c>
      <c r="J5" s="2">
        <f t="shared" si="8"/>
        <v>1</v>
      </c>
      <c r="K5" s="2">
        <f t="shared" si="8"/>
        <v>1</v>
      </c>
      <c r="L5" s="2">
        <f t="shared" si="8"/>
        <v>1</v>
      </c>
      <c r="M5" s="2">
        <f t="shared" si="8"/>
        <v>1</v>
      </c>
      <c r="N5" s="2">
        <f t="shared" si="8"/>
        <v>1</v>
      </c>
      <c r="O5" s="2">
        <f t="shared" si="8"/>
        <v>1</v>
      </c>
      <c r="P5" s="2">
        <f t="shared" si="8"/>
        <v>1</v>
      </c>
      <c r="Q5" s="2">
        <f t="shared" si="3"/>
        <v>0</v>
      </c>
      <c r="R5" s="2">
        <f>IF(ISERROR(VLOOKUP(A5, 'Project Reference'!A:A, 1, FALSE)), 0, 1)</f>
        <v>1</v>
      </c>
      <c r="S5" s="2">
        <f>IFERROR(__xludf.DUMMYFUNCTION("IF(AND(REGEXMATCH(D5, B5), REGEXMATCH(D5, C5)), 1, 0)"),1.0)</f>
        <v>1</v>
      </c>
      <c r="T5" s="2">
        <f t="shared" si="4"/>
        <v>1</v>
      </c>
      <c r="U5" s="2">
        <f t="shared" si="5"/>
        <v>1</v>
      </c>
      <c r="V5" s="2">
        <f t="shared" si="6"/>
        <v>1</v>
      </c>
    </row>
    <row r="6" ht="14.25" customHeight="1">
      <c r="A6" s="8" t="s">
        <v>264</v>
      </c>
      <c r="B6" s="2" t="s">
        <v>18</v>
      </c>
      <c r="C6" s="2" t="s">
        <v>48</v>
      </c>
      <c r="D6" s="8" t="s">
        <v>629</v>
      </c>
      <c r="E6" s="6">
        <v>45078.0</v>
      </c>
      <c r="F6" s="6">
        <v>45153.0</v>
      </c>
      <c r="G6" s="7">
        <v>6.06080757E9</v>
      </c>
      <c r="H6" s="8" t="s">
        <v>581</v>
      </c>
      <c r="I6" s="2">
        <f t="shared" ref="I6:P6" si="9">IF(ISBLANK(A6)=TRUE,0,1)</f>
        <v>1</v>
      </c>
      <c r="J6" s="2">
        <f t="shared" si="9"/>
        <v>1</v>
      </c>
      <c r="K6" s="2">
        <f t="shared" si="9"/>
        <v>1</v>
      </c>
      <c r="L6" s="2">
        <f t="shared" si="9"/>
        <v>1</v>
      </c>
      <c r="M6" s="2">
        <f t="shared" si="9"/>
        <v>1</v>
      </c>
      <c r="N6" s="2">
        <f t="shared" si="9"/>
        <v>1</v>
      </c>
      <c r="O6" s="2">
        <f t="shared" si="9"/>
        <v>1</v>
      </c>
      <c r="P6" s="2">
        <f t="shared" si="9"/>
        <v>1</v>
      </c>
      <c r="Q6" s="2">
        <f t="shared" si="3"/>
        <v>0</v>
      </c>
      <c r="R6" s="2">
        <f>IF(ISERROR(VLOOKUP(A6, 'Project Reference'!A:A, 1, FALSE)), 0, 1)</f>
        <v>1</v>
      </c>
      <c r="S6" s="2">
        <f>IFERROR(__xludf.DUMMYFUNCTION("IF(AND(REGEXMATCH(D6, B6), REGEXMATCH(D6, C6)), 1, 0)"),1.0)</f>
        <v>1</v>
      </c>
      <c r="T6" s="2">
        <f t="shared" si="4"/>
        <v>1</v>
      </c>
      <c r="U6" s="2">
        <f t="shared" si="5"/>
        <v>1</v>
      </c>
      <c r="V6" s="2">
        <f t="shared" si="6"/>
        <v>1</v>
      </c>
    </row>
    <row r="7" ht="14.25" customHeight="1">
      <c r="A7" s="2" t="s">
        <v>260</v>
      </c>
      <c r="B7" s="2"/>
      <c r="C7" s="2"/>
      <c r="D7" s="8" t="s">
        <v>629</v>
      </c>
      <c r="E7" s="6">
        <v>45074.0</v>
      </c>
      <c r="F7" s="6">
        <v>45243.0</v>
      </c>
      <c r="G7" s="11">
        <v>8.372699981E9</v>
      </c>
      <c r="H7" s="2"/>
      <c r="I7" s="2">
        <f t="shared" ref="I7:P7" si="10">IF(ISBLANK(A7)=TRUE,0,1)</f>
        <v>1</v>
      </c>
      <c r="J7" s="2">
        <f t="shared" si="10"/>
        <v>0</v>
      </c>
      <c r="K7" s="2">
        <f t="shared" si="10"/>
        <v>0</v>
      </c>
      <c r="L7" s="2">
        <f t="shared" si="10"/>
        <v>1</v>
      </c>
      <c r="M7" s="2">
        <f t="shared" si="10"/>
        <v>1</v>
      </c>
      <c r="N7" s="2">
        <f t="shared" si="10"/>
        <v>1</v>
      </c>
      <c r="O7" s="2">
        <f t="shared" si="10"/>
        <v>1</v>
      </c>
      <c r="P7" s="2">
        <f t="shared" si="10"/>
        <v>0</v>
      </c>
      <c r="Q7" s="2">
        <f t="shared" si="3"/>
        <v>1</v>
      </c>
      <c r="R7" s="2">
        <f>IF(ISERROR(VLOOKUP(A7, 'Project Reference'!A:A, 1, FALSE)), 0, 1)</f>
        <v>1</v>
      </c>
      <c r="S7" s="2">
        <f>IFERROR(__xludf.DUMMYFUNCTION("IF(AND(REGEXMATCH(D7, B7), REGEXMATCH(D7, C7)), 1, 0)"),1.0)</f>
        <v>1</v>
      </c>
      <c r="T7" s="2">
        <f t="shared" si="4"/>
        <v>1</v>
      </c>
      <c r="U7" s="2">
        <f t="shared" si="5"/>
        <v>1</v>
      </c>
      <c r="V7" s="2">
        <f t="shared" si="6"/>
        <v>1</v>
      </c>
    </row>
    <row r="8" ht="14.25" customHeight="1">
      <c r="A8" s="2" t="s">
        <v>178</v>
      </c>
      <c r="B8" s="2"/>
      <c r="C8" s="2" t="s">
        <v>36</v>
      </c>
      <c r="D8" s="2"/>
      <c r="E8" s="6">
        <v>45010.0</v>
      </c>
      <c r="F8" s="6">
        <v>45091.0</v>
      </c>
      <c r="G8" s="7">
        <v>2.960912774E9</v>
      </c>
      <c r="H8" s="2"/>
      <c r="I8" s="2">
        <f t="shared" ref="I8:P8" si="11">IF(ISBLANK(A8)=TRUE,0,1)</f>
        <v>1</v>
      </c>
      <c r="J8" s="2">
        <f t="shared" si="11"/>
        <v>0</v>
      </c>
      <c r="K8" s="2">
        <f t="shared" si="11"/>
        <v>1</v>
      </c>
      <c r="L8" s="2">
        <f t="shared" si="11"/>
        <v>0</v>
      </c>
      <c r="M8" s="2">
        <f t="shared" si="11"/>
        <v>1</v>
      </c>
      <c r="N8" s="2">
        <f t="shared" si="11"/>
        <v>1</v>
      </c>
      <c r="O8" s="2">
        <f t="shared" si="11"/>
        <v>1</v>
      </c>
      <c r="P8" s="2">
        <f t="shared" si="11"/>
        <v>0</v>
      </c>
      <c r="Q8" s="2">
        <f t="shared" si="3"/>
        <v>1</v>
      </c>
      <c r="R8" s="2">
        <f>IF(ISERROR(VLOOKUP(A8, 'Project Reference'!A:A, 1, FALSE)), 0, 1)</f>
        <v>1</v>
      </c>
      <c r="S8" s="2">
        <f>IFERROR(__xludf.DUMMYFUNCTION("IF(AND(REGEXMATCH(D8, B8), REGEXMATCH(D8, C8)), 1, 0)"),0.0)</f>
        <v>0</v>
      </c>
      <c r="T8" s="2">
        <f t="shared" si="4"/>
        <v>1</v>
      </c>
      <c r="U8" s="2">
        <f t="shared" si="5"/>
        <v>1</v>
      </c>
      <c r="V8" s="2">
        <f t="shared" si="6"/>
        <v>1</v>
      </c>
    </row>
    <row r="9" ht="14.25" customHeight="1">
      <c r="A9" s="2" t="s">
        <v>120</v>
      </c>
      <c r="B9" s="2"/>
      <c r="C9" s="2"/>
      <c r="D9" s="2"/>
      <c r="E9" s="6">
        <v>44969.0</v>
      </c>
      <c r="F9" s="6">
        <v>45030.0</v>
      </c>
      <c r="G9" s="11">
        <v>3.1469007E8</v>
      </c>
      <c r="H9" s="2" t="s">
        <v>44</v>
      </c>
      <c r="I9" s="2">
        <f t="shared" ref="I9:P9" si="12">IF(ISBLANK(A9)=TRUE,0,1)</f>
        <v>1</v>
      </c>
      <c r="J9" s="2">
        <f t="shared" si="12"/>
        <v>0</v>
      </c>
      <c r="K9" s="2">
        <f t="shared" si="12"/>
        <v>0</v>
      </c>
      <c r="L9" s="2">
        <f t="shared" si="12"/>
        <v>0</v>
      </c>
      <c r="M9" s="2">
        <f t="shared" si="12"/>
        <v>1</v>
      </c>
      <c r="N9" s="2">
        <f t="shared" si="12"/>
        <v>1</v>
      </c>
      <c r="O9" s="2">
        <f t="shared" si="12"/>
        <v>1</v>
      </c>
      <c r="P9" s="2">
        <f t="shared" si="12"/>
        <v>1</v>
      </c>
      <c r="Q9" s="2">
        <f t="shared" si="3"/>
        <v>1</v>
      </c>
      <c r="R9" s="2">
        <f>IF(ISERROR(VLOOKUP(A9, 'Project Reference'!A:A, 1, FALSE)), 0, 1)</f>
        <v>1</v>
      </c>
      <c r="S9" s="2">
        <f>IFERROR(__xludf.DUMMYFUNCTION("IF(AND(REGEXMATCH(D9, B9), REGEXMATCH(D9, C9)), 1, 0)"),1.0)</f>
        <v>1</v>
      </c>
      <c r="T9" s="2">
        <f t="shared" si="4"/>
        <v>1</v>
      </c>
      <c r="U9" s="2">
        <f t="shared" si="5"/>
        <v>1</v>
      </c>
      <c r="V9" s="2">
        <f t="shared" si="6"/>
        <v>1</v>
      </c>
    </row>
    <row r="10" ht="14.25" customHeight="1">
      <c r="A10" s="2" t="s">
        <v>23</v>
      </c>
      <c r="B10" s="2" t="s">
        <v>12</v>
      </c>
      <c r="C10" s="2" t="s">
        <v>36</v>
      </c>
      <c r="D10" s="8" t="s">
        <v>578</v>
      </c>
      <c r="E10" s="6">
        <v>44928.0</v>
      </c>
      <c r="F10" s="6">
        <v>45239.0</v>
      </c>
      <c r="G10" s="7">
        <v>1.91505827E8</v>
      </c>
      <c r="H10" s="2"/>
      <c r="I10" s="2">
        <f t="shared" ref="I10:P10" si="13">IF(ISBLANK(A10)=TRUE,0,1)</f>
        <v>1</v>
      </c>
      <c r="J10" s="2">
        <f t="shared" si="13"/>
        <v>1</v>
      </c>
      <c r="K10" s="2">
        <f t="shared" si="13"/>
        <v>1</v>
      </c>
      <c r="L10" s="2">
        <f t="shared" si="13"/>
        <v>1</v>
      </c>
      <c r="M10" s="2">
        <f t="shared" si="13"/>
        <v>1</v>
      </c>
      <c r="N10" s="2">
        <f t="shared" si="13"/>
        <v>1</v>
      </c>
      <c r="O10" s="2">
        <f t="shared" si="13"/>
        <v>1</v>
      </c>
      <c r="P10" s="2">
        <f t="shared" si="13"/>
        <v>0</v>
      </c>
      <c r="Q10" s="2">
        <f t="shared" si="3"/>
        <v>1</v>
      </c>
      <c r="R10" s="2">
        <f>IF(ISERROR(VLOOKUP(A10, 'Project Reference'!A:A, 1, FALSE)), 0, 1)</f>
        <v>1</v>
      </c>
      <c r="S10" s="2">
        <f>IFERROR(__xludf.DUMMYFUNCTION("IF(AND(REGEXMATCH(D10, B10), REGEXMATCH(D10, C10)), 1, 0)"),1.0)</f>
        <v>1</v>
      </c>
      <c r="T10" s="2">
        <f t="shared" si="4"/>
        <v>1</v>
      </c>
      <c r="U10" s="2">
        <f t="shared" si="5"/>
        <v>1</v>
      </c>
      <c r="V10" s="2">
        <f t="shared" si="6"/>
        <v>1</v>
      </c>
    </row>
    <row r="11" ht="14.25" customHeight="1">
      <c r="A11" s="2" t="s">
        <v>57</v>
      </c>
      <c r="B11" s="2" t="s">
        <v>12</v>
      </c>
      <c r="C11" s="2" t="s">
        <v>42</v>
      </c>
      <c r="D11" s="8" t="s">
        <v>603</v>
      </c>
      <c r="E11" s="6">
        <v>44938.0</v>
      </c>
      <c r="F11" s="6">
        <v>44985.0</v>
      </c>
      <c r="G11" s="7">
        <v>4.86357978E8</v>
      </c>
      <c r="H11" s="2"/>
      <c r="I11" s="2">
        <f t="shared" ref="I11:P11" si="14">IF(ISBLANK(A11)=TRUE,0,1)</f>
        <v>1</v>
      </c>
      <c r="J11" s="2">
        <f t="shared" si="14"/>
        <v>1</v>
      </c>
      <c r="K11" s="2">
        <f t="shared" si="14"/>
        <v>1</v>
      </c>
      <c r="L11" s="2">
        <f t="shared" si="14"/>
        <v>1</v>
      </c>
      <c r="M11" s="2">
        <f t="shared" si="14"/>
        <v>1</v>
      </c>
      <c r="N11" s="2">
        <f t="shared" si="14"/>
        <v>1</v>
      </c>
      <c r="O11" s="2">
        <f t="shared" si="14"/>
        <v>1</v>
      </c>
      <c r="P11" s="2">
        <f t="shared" si="14"/>
        <v>0</v>
      </c>
      <c r="Q11" s="2">
        <f t="shared" si="3"/>
        <v>1</v>
      </c>
      <c r="R11" s="2">
        <f>IF(ISERROR(VLOOKUP(A11, 'Project Reference'!A:A, 1, FALSE)), 0, 1)</f>
        <v>1</v>
      </c>
      <c r="S11" s="2">
        <f>IFERROR(__xludf.DUMMYFUNCTION("IF(AND(REGEXMATCH(D11, B11), REGEXMATCH(D11, C11)), 1, 0)"),1.0)</f>
        <v>1</v>
      </c>
      <c r="T11" s="2">
        <f t="shared" si="4"/>
        <v>1</v>
      </c>
      <c r="U11" s="2">
        <f t="shared" si="5"/>
        <v>1</v>
      </c>
      <c r="V11" s="2">
        <f t="shared" si="6"/>
        <v>1</v>
      </c>
    </row>
    <row r="12" ht="14.25" customHeight="1">
      <c r="A12" s="8" t="s">
        <v>609</v>
      </c>
      <c r="B12" s="2" t="s">
        <v>12</v>
      </c>
      <c r="C12" s="2" t="s">
        <v>24</v>
      </c>
      <c r="D12" s="8" t="s">
        <v>610</v>
      </c>
      <c r="E12" s="9">
        <v>45343.0</v>
      </c>
      <c r="F12" s="9">
        <v>45382.0</v>
      </c>
      <c r="G12" s="7">
        <v>4.6287632E8</v>
      </c>
      <c r="H12" s="2"/>
      <c r="I12" s="2">
        <f t="shared" ref="I12:P12" si="15">IF(ISBLANK(A12)=TRUE,0,1)</f>
        <v>1</v>
      </c>
      <c r="J12" s="2">
        <f t="shared" si="15"/>
        <v>1</v>
      </c>
      <c r="K12" s="2">
        <f t="shared" si="15"/>
        <v>1</v>
      </c>
      <c r="L12" s="2">
        <f t="shared" si="15"/>
        <v>1</v>
      </c>
      <c r="M12" s="2">
        <f t="shared" si="15"/>
        <v>1</v>
      </c>
      <c r="N12" s="2">
        <f t="shared" si="15"/>
        <v>1</v>
      </c>
      <c r="O12" s="2">
        <f t="shared" si="15"/>
        <v>1</v>
      </c>
      <c r="P12" s="2">
        <f t="shared" si="15"/>
        <v>0</v>
      </c>
      <c r="Q12" s="2">
        <f t="shared" si="3"/>
        <v>1</v>
      </c>
      <c r="R12" s="2">
        <f>IF(ISERROR(VLOOKUP(A12, 'Project Reference'!A:A, 1, FALSE)), 0, 1)</f>
        <v>1</v>
      </c>
      <c r="S12" s="2">
        <f>IFERROR(__xludf.DUMMYFUNCTION("IF(AND(REGEXMATCH(D12, B12), REGEXMATCH(D12, C12)), 1, 0)"),1.0)</f>
        <v>1</v>
      </c>
      <c r="T12" s="2">
        <f t="shared" si="4"/>
        <v>1</v>
      </c>
      <c r="U12" s="2">
        <f t="shared" si="5"/>
        <v>1</v>
      </c>
      <c r="V12" s="2">
        <f t="shared" si="6"/>
        <v>1</v>
      </c>
    </row>
    <row r="13" ht="14.25" customHeight="1">
      <c r="A13" s="2" t="s">
        <v>98</v>
      </c>
      <c r="B13" s="2" t="s">
        <v>35</v>
      </c>
      <c r="C13" s="2" t="s">
        <v>13</v>
      </c>
      <c r="D13" s="2" t="s">
        <v>78</v>
      </c>
      <c r="E13" s="6">
        <v>44954.0</v>
      </c>
      <c r="F13" s="6">
        <v>45186.0</v>
      </c>
      <c r="G13" s="7">
        <v>3.8226621E8</v>
      </c>
      <c r="H13" s="2"/>
      <c r="I13" s="2">
        <f t="shared" ref="I13:P13" si="16">IF(ISBLANK(A13)=TRUE,0,1)</f>
        <v>1</v>
      </c>
      <c r="J13" s="2">
        <f t="shared" si="16"/>
        <v>1</v>
      </c>
      <c r="K13" s="2">
        <f t="shared" si="16"/>
        <v>1</v>
      </c>
      <c r="L13" s="2">
        <f t="shared" si="16"/>
        <v>1</v>
      </c>
      <c r="M13" s="2">
        <f t="shared" si="16"/>
        <v>1</v>
      </c>
      <c r="N13" s="2">
        <f t="shared" si="16"/>
        <v>1</v>
      </c>
      <c r="O13" s="2">
        <f t="shared" si="16"/>
        <v>1</v>
      </c>
      <c r="P13" s="2">
        <f t="shared" si="16"/>
        <v>0</v>
      </c>
      <c r="Q13" s="2">
        <f t="shared" si="3"/>
        <v>1</v>
      </c>
      <c r="R13" s="2">
        <f>IF(ISERROR(VLOOKUP(A13, 'Project Reference'!A:A, 1, FALSE)), 0, 1)</f>
        <v>1</v>
      </c>
      <c r="S13" s="2">
        <f>IFERROR(__xludf.DUMMYFUNCTION("IF(AND(REGEXMATCH(D13, B13), REGEXMATCH(D13, C13)), 1, 0)"),1.0)</f>
        <v>1</v>
      </c>
      <c r="T13" s="2">
        <f t="shared" si="4"/>
        <v>1</v>
      </c>
      <c r="U13" s="2">
        <f t="shared" si="5"/>
        <v>1</v>
      </c>
      <c r="V13" s="2">
        <f t="shared" si="6"/>
        <v>1</v>
      </c>
    </row>
    <row r="14" ht="14.25" customHeight="1">
      <c r="A14" s="2" t="s">
        <v>102</v>
      </c>
      <c r="B14" s="2" t="s">
        <v>30</v>
      </c>
      <c r="C14" s="2" t="s">
        <v>31</v>
      </c>
      <c r="D14" s="8" t="s">
        <v>585</v>
      </c>
      <c r="E14" s="6">
        <v>44955.0</v>
      </c>
      <c r="F14" s="6">
        <v>45116.0</v>
      </c>
      <c r="G14" s="7">
        <v>3.703277131E9</v>
      </c>
      <c r="H14" s="2"/>
      <c r="I14" s="2">
        <f t="shared" ref="I14:P14" si="17">IF(ISBLANK(A14)=TRUE,0,1)</f>
        <v>1</v>
      </c>
      <c r="J14" s="2">
        <f t="shared" si="17"/>
        <v>1</v>
      </c>
      <c r="K14" s="2">
        <f t="shared" si="17"/>
        <v>1</v>
      </c>
      <c r="L14" s="2">
        <f t="shared" si="17"/>
        <v>1</v>
      </c>
      <c r="M14" s="2">
        <f t="shared" si="17"/>
        <v>1</v>
      </c>
      <c r="N14" s="2">
        <f t="shared" si="17"/>
        <v>1</v>
      </c>
      <c r="O14" s="2">
        <f t="shared" si="17"/>
        <v>1</v>
      </c>
      <c r="P14" s="2">
        <f t="shared" si="17"/>
        <v>0</v>
      </c>
      <c r="Q14" s="2">
        <f t="shared" si="3"/>
        <v>1</v>
      </c>
      <c r="R14" s="2">
        <f>IF(ISERROR(VLOOKUP(A14, 'Project Reference'!A:A, 1, FALSE)), 0, 1)</f>
        <v>1</v>
      </c>
      <c r="S14" s="2">
        <f>IFERROR(__xludf.DUMMYFUNCTION("IF(AND(REGEXMATCH(D14, B14), REGEXMATCH(D14, C14)), 1, 0)"),1.0)</f>
        <v>1</v>
      </c>
      <c r="T14" s="2">
        <f t="shared" si="4"/>
        <v>1</v>
      </c>
      <c r="U14" s="2">
        <f t="shared" si="5"/>
        <v>1</v>
      </c>
      <c r="V14" s="2">
        <f t="shared" si="6"/>
        <v>1</v>
      </c>
    </row>
    <row r="15" ht="14.25" customHeight="1">
      <c r="A15" s="2" t="s">
        <v>106</v>
      </c>
      <c r="B15" s="2" t="s">
        <v>30</v>
      </c>
      <c r="C15" s="2" t="s">
        <v>19</v>
      </c>
      <c r="D15" s="8" t="s">
        <v>623</v>
      </c>
      <c r="E15" s="6">
        <v>44959.0</v>
      </c>
      <c r="F15" s="6">
        <v>45167.0</v>
      </c>
      <c r="G15" s="7">
        <v>5.835541492E9</v>
      </c>
      <c r="H15" s="2"/>
      <c r="I15" s="2">
        <f t="shared" ref="I15:P15" si="18">IF(ISBLANK(A15)=TRUE,0,1)</f>
        <v>1</v>
      </c>
      <c r="J15" s="2">
        <f t="shared" si="18"/>
        <v>1</v>
      </c>
      <c r="K15" s="2">
        <f t="shared" si="18"/>
        <v>1</v>
      </c>
      <c r="L15" s="2">
        <f t="shared" si="18"/>
        <v>1</v>
      </c>
      <c r="M15" s="2">
        <f t="shared" si="18"/>
        <v>1</v>
      </c>
      <c r="N15" s="2">
        <f t="shared" si="18"/>
        <v>1</v>
      </c>
      <c r="O15" s="2">
        <f t="shared" si="18"/>
        <v>1</v>
      </c>
      <c r="P15" s="2">
        <f t="shared" si="18"/>
        <v>0</v>
      </c>
      <c r="Q15" s="2">
        <f t="shared" si="3"/>
        <v>1</v>
      </c>
      <c r="R15" s="2">
        <f>IF(ISERROR(VLOOKUP(A15, 'Project Reference'!A:A, 1, FALSE)), 0, 1)</f>
        <v>1</v>
      </c>
      <c r="S15" s="2">
        <f>IFERROR(__xludf.DUMMYFUNCTION("IF(AND(REGEXMATCH(D15, B15), REGEXMATCH(D15, C15)), 1, 0)"),1.0)</f>
        <v>1</v>
      </c>
      <c r="T15" s="2">
        <f t="shared" si="4"/>
        <v>1</v>
      </c>
      <c r="U15" s="2">
        <f t="shared" si="5"/>
        <v>1</v>
      </c>
      <c r="V15" s="2">
        <f t="shared" si="6"/>
        <v>1</v>
      </c>
    </row>
    <row r="16" ht="14.25" customHeight="1">
      <c r="A16" s="2" t="s">
        <v>130</v>
      </c>
      <c r="B16" s="2" t="s">
        <v>60</v>
      </c>
      <c r="C16" s="2" t="s">
        <v>42</v>
      </c>
      <c r="D16" s="8" t="s">
        <v>617</v>
      </c>
      <c r="E16" s="6">
        <v>44975.0</v>
      </c>
      <c r="F16" s="6">
        <v>45256.0</v>
      </c>
      <c r="G16" s="7">
        <v>3.367495384E9</v>
      </c>
      <c r="H16" s="2"/>
      <c r="I16" s="2">
        <f t="shared" ref="I16:P16" si="19">IF(ISBLANK(A16)=TRUE,0,1)</f>
        <v>1</v>
      </c>
      <c r="J16" s="2">
        <f t="shared" si="19"/>
        <v>1</v>
      </c>
      <c r="K16" s="2">
        <f t="shared" si="19"/>
        <v>1</v>
      </c>
      <c r="L16" s="2">
        <f t="shared" si="19"/>
        <v>1</v>
      </c>
      <c r="M16" s="2">
        <f t="shared" si="19"/>
        <v>1</v>
      </c>
      <c r="N16" s="2">
        <f t="shared" si="19"/>
        <v>1</v>
      </c>
      <c r="O16" s="2">
        <f t="shared" si="19"/>
        <v>1</v>
      </c>
      <c r="P16" s="2">
        <f t="shared" si="19"/>
        <v>0</v>
      </c>
      <c r="Q16" s="2">
        <f t="shared" si="3"/>
        <v>1</v>
      </c>
      <c r="R16" s="2">
        <f>IF(ISERROR(VLOOKUP(A16, 'Project Reference'!A:A, 1, FALSE)), 0, 1)</f>
        <v>1</v>
      </c>
      <c r="S16" s="2">
        <f>IFERROR(__xludf.DUMMYFUNCTION("IF(AND(REGEXMATCH(D16, B16), REGEXMATCH(D16, C16)), 1, 0)"),1.0)</f>
        <v>1</v>
      </c>
      <c r="T16" s="2">
        <f t="shared" si="4"/>
        <v>1</v>
      </c>
      <c r="U16" s="2">
        <f t="shared" si="5"/>
        <v>1</v>
      </c>
      <c r="V16" s="2">
        <f t="shared" si="6"/>
        <v>1</v>
      </c>
    </row>
    <row r="17" ht="14.25" customHeight="1">
      <c r="A17" s="2" t="s">
        <v>134</v>
      </c>
      <c r="B17" s="2" t="s">
        <v>18</v>
      </c>
      <c r="C17" s="2" t="s">
        <v>39</v>
      </c>
      <c r="D17" s="2"/>
      <c r="E17" s="6">
        <v>44977.0</v>
      </c>
      <c r="F17" s="6">
        <v>45285.0</v>
      </c>
      <c r="G17" s="7">
        <v>7.432359735E9</v>
      </c>
      <c r="H17" s="2"/>
      <c r="I17" s="2">
        <f t="shared" ref="I17:P17" si="20">IF(ISBLANK(A17)=TRUE,0,1)</f>
        <v>1</v>
      </c>
      <c r="J17" s="2">
        <f t="shared" si="20"/>
        <v>1</v>
      </c>
      <c r="K17" s="2">
        <f t="shared" si="20"/>
        <v>1</v>
      </c>
      <c r="L17" s="2">
        <f t="shared" si="20"/>
        <v>0</v>
      </c>
      <c r="M17" s="2">
        <f t="shared" si="20"/>
        <v>1</v>
      </c>
      <c r="N17" s="2">
        <f t="shared" si="20"/>
        <v>1</v>
      </c>
      <c r="O17" s="2">
        <f t="shared" si="20"/>
        <v>1</v>
      </c>
      <c r="P17" s="2">
        <f t="shared" si="20"/>
        <v>0</v>
      </c>
      <c r="Q17" s="2">
        <f t="shared" si="3"/>
        <v>1</v>
      </c>
      <c r="R17" s="2">
        <f>IF(ISERROR(VLOOKUP(A17, 'Project Reference'!A:A, 1, FALSE)), 0, 1)</f>
        <v>1</v>
      </c>
      <c r="S17" s="2">
        <f>IFERROR(__xludf.DUMMYFUNCTION("IF(AND(REGEXMATCH(D17, B17), REGEXMATCH(D17, C17)), 1, 0)"),0.0)</f>
        <v>0</v>
      </c>
      <c r="T17" s="2">
        <f t="shared" si="4"/>
        <v>1</v>
      </c>
      <c r="U17" s="2">
        <f t="shared" si="5"/>
        <v>1</v>
      </c>
      <c r="V17" s="2">
        <f t="shared" si="6"/>
        <v>1</v>
      </c>
    </row>
    <row r="18" ht="14.25" customHeight="1">
      <c r="A18" s="2" t="s">
        <v>136</v>
      </c>
      <c r="B18" s="2" t="s">
        <v>18</v>
      </c>
      <c r="C18" s="2" t="s">
        <v>48</v>
      </c>
      <c r="D18" s="8" t="s">
        <v>629</v>
      </c>
      <c r="E18" s="6">
        <v>44977.0</v>
      </c>
      <c r="F18" s="6">
        <v>45233.0</v>
      </c>
      <c r="G18" s="7">
        <v>7.645065116E9</v>
      </c>
      <c r="H18" s="2"/>
      <c r="I18" s="2">
        <f t="shared" ref="I18:P18" si="21">IF(ISBLANK(A18)=TRUE,0,1)</f>
        <v>1</v>
      </c>
      <c r="J18" s="2">
        <f t="shared" si="21"/>
        <v>1</v>
      </c>
      <c r="K18" s="2">
        <f t="shared" si="21"/>
        <v>1</v>
      </c>
      <c r="L18" s="2">
        <f t="shared" si="21"/>
        <v>1</v>
      </c>
      <c r="M18" s="2">
        <f t="shared" si="21"/>
        <v>1</v>
      </c>
      <c r="N18" s="2">
        <f t="shared" si="21"/>
        <v>1</v>
      </c>
      <c r="O18" s="2">
        <f t="shared" si="21"/>
        <v>1</v>
      </c>
      <c r="P18" s="2">
        <f t="shared" si="21"/>
        <v>0</v>
      </c>
      <c r="Q18" s="2">
        <f t="shared" si="3"/>
        <v>1</v>
      </c>
      <c r="R18" s="2">
        <f>IF(ISERROR(VLOOKUP(A18, 'Project Reference'!A:A, 1, FALSE)), 0, 1)</f>
        <v>1</v>
      </c>
      <c r="S18" s="2">
        <f>IFERROR(__xludf.DUMMYFUNCTION("IF(AND(REGEXMATCH(D18, B18), REGEXMATCH(D18, C18)), 1, 0)"),1.0)</f>
        <v>1</v>
      </c>
      <c r="T18" s="2">
        <f t="shared" si="4"/>
        <v>1</v>
      </c>
      <c r="U18" s="2">
        <f t="shared" si="5"/>
        <v>1</v>
      </c>
      <c r="V18" s="2">
        <f t="shared" si="6"/>
        <v>1</v>
      </c>
    </row>
    <row r="19" ht="14.25" customHeight="1">
      <c r="A19" s="2" t="s">
        <v>164</v>
      </c>
      <c r="B19" s="2" t="s">
        <v>18</v>
      </c>
      <c r="C19" s="2" t="s">
        <v>19</v>
      </c>
      <c r="D19" s="8" t="s">
        <v>633</v>
      </c>
      <c r="E19" s="6">
        <v>44998.0</v>
      </c>
      <c r="F19" s="6">
        <v>45341.0</v>
      </c>
      <c r="G19" s="7">
        <v>9.404668499E9</v>
      </c>
      <c r="H19" s="2"/>
      <c r="I19" s="2">
        <f t="shared" ref="I19:P19" si="22">IF(ISBLANK(A19)=TRUE,0,1)</f>
        <v>1</v>
      </c>
      <c r="J19" s="2">
        <f t="shared" si="22"/>
        <v>1</v>
      </c>
      <c r="K19" s="2">
        <f t="shared" si="22"/>
        <v>1</v>
      </c>
      <c r="L19" s="2">
        <f t="shared" si="22"/>
        <v>1</v>
      </c>
      <c r="M19" s="2">
        <f t="shared" si="22"/>
        <v>1</v>
      </c>
      <c r="N19" s="2">
        <f t="shared" si="22"/>
        <v>1</v>
      </c>
      <c r="O19" s="2">
        <f t="shared" si="22"/>
        <v>1</v>
      </c>
      <c r="P19" s="2">
        <f t="shared" si="22"/>
        <v>0</v>
      </c>
      <c r="Q19" s="2">
        <f t="shared" si="3"/>
        <v>1</v>
      </c>
      <c r="R19" s="2">
        <f>IF(ISERROR(VLOOKUP(A19, 'Project Reference'!A:A, 1, FALSE)), 0, 1)</f>
        <v>1</v>
      </c>
      <c r="S19" s="2">
        <f>IFERROR(__xludf.DUMMYFUNCTION("IF(AND(REGEXMATCH(D19, B19), REGEXMATCH(D19, C19)), 1, 0)"),1.0)</f>
        <v>1</v>
      </c>
      <c r="T19" s="2">
        <f t="shared" si="4"/>
        <v>1</v>
      </c>
      <c r="U19" s="2">
        <f t="shared" si="5"/>
        <v>1</v>
      </c>
      <c r="V19" s="2">
        <f t="shared" si="6"/>
        <v>1</v>
      </c>
    </row>
    <row r="20" ht="14.25" customHeight="1">
      <c r="A20" s="2" t="s">
        <v>172</v>
      </c>
      <c r="B20" s="2" t="s">
        <v>30</v>
      </c>
      <c r="C20" s="2" t="s">
        <v>42</v>
      </c>
      <c r="D20" s="8" t="s">
        <v>627</v>
      </c>
      <c r="E20" s="6">
        <v>45006.0</v>
      </c>
      <c r="F20" s="6">
        <v>45234.0</v>
      </c>
      <c r="G20" s="7">
        <v>7.494641055E9</v>
      </c>
      <c r="H20" s="2"/>
      <c r="I20" s="2">
        <f t="shared" ref="I20:P20" si="23">IF(ISBLANK(A20)=TRUE,0,1)</f>
        <v>1</v>
      </c>
      <c r="J20" s="2">
        <f t="shared" si="23"/>
        <v>1</v>
      </c>
      <c r="K20" s="2">
        <f t="shared" si="23"/>
        <v>1</v>
      </c>
      <c r="L20" s="2">
        <f t="shared" si="23"/>
        <v>1</v>
      </c>
      <c r="M20" s="2">
        <f t="shared" si="23"/>
        <v>1</v>
      </c>
      <c r="N20" s="2">
        <f t="shared" si="23"/>
        <v>1</v>
      </c>
      <c r="O20" s="2">
        <f t="shared" si="23"/>
        <v>1</v>
      </c>
      <c r="P20" s="2">
        <f t="shared" si="23"/>
        <v>0</v>
      </c>
      <c r="Q20" s="2">
        <f t="shared" si="3"/>
        <v>1</v>
      </c>
      <c r="R20" s="2">
        <f>IF(ISERROR(VLOOKUP(A20, 'Project Reference'!A:A, 1, FALSE)), 0, 1)</f>
        <v>1</v>
      </c>
      <c r="S20" s="2">
        <f>IFERROR(__xludf.DUMMYFUNCTION("IF(AND(REGEXMATCH(D20, B20), REGEXMATCH(D20, C20)), 1, 0)"),1.0)</f>
        <v>1</v>
      </c>
      <c r="T20" s="2">
        <f t="shared" si="4"/>
        <v>1</v>
      </c>
      <c r="U20" s="2">
        <f t="shared" si="5"/>
        <v>1</v>
      </c>
      <c r="V20" s="2">
        <f t="shared" si="6"/>
        <v>1</v>
      </c>
    </row>
    <row r="21" ht="14.25" customHeight="1">
      <c r="A21" s="2" t="s">
        <v>179</v>
      </c>
      <c r="B21" s="2" t="s">
        <v>35</v>
      </c>
      <c r="C21" s="2" t="s">
        <v>19</v>
      </c>
      <c r="D21" s="2" t="s">
        <v>97</v>
      </c>
      <c r="E21" s="6">
        <v>45011.0</v>
      </c>
      <c r="F21" s="6">
        <v>45235.0</v>
      </c>
      <c r="G21" s="7">
        <v>4.2185923E8</v>
      </c>
      <c r="H21" s="2"/>
      <c r="I21" s="2">
        <f t="shared" ref="I21:P21" si="24">IF(ISBLANK(A21)=TRUE,0,1)</f>
        <v>1</v>
      </c>
      <c r="J21" s="2">
        <f t="shared" si="24"/>
        <v>1</v>
      </c>
      <c r="K21" s="2">
        <f t="shared" si="24"/>
        <v>1</v>
      </c>
      <c r="L21" s="2">
        <f t="shared" si="24"/>
        <v>1</v>
      </c>
      <c r="M21" s="2">
        <f t="shared" si="24"/>
        <v>1</v>
      </c>
      <c r="N21" s="2">
        <f t="shared" si="24"/>
        <v>1</v>
      </c>
      <c r="O21" s="2">
        <f t="shared" si="24"/>
        <v>1</v>
      </c>
      <c r="P21" s="2">
        <f t="shared" si="24"/>
        <v>0</v>
      </c>
      <c r="Q21" s="2">
        <f t="shared" si="3"/>
        <v>1</v>
      </c>
      <c r="R21" s="2">
        <f>IF(ISERROR(VLOOKUP(A21, 'Project Reference'!A:A, 1, FALSE)), 0, 1)</f>
        <v>1</v>
      </c>
      <c r="S21" s="2">
        <f>IFERROR(__xludf.DUMMYFUNCTION("IF(AND(REGEXMATCH(D21, B21), REGEXMATCH(D21, C21)), 1, 0)"),1.0)</f>
        <v>1</v>
      </c>
      <c r="T21" s="2">
        <f t="shared" si="4"/>
        <v>1</v>
      </c>
      <c r="U21" s="2">
        <f t="shared" si="5"/>
        <v>1</v>
      </c>
      <c r="V21" s="2">
        <f t="shared" si="6"/>
        <v>1</v>
      </c>
    </row>
    <row r="22" ht="14.25" customHeight="1">
      <c r="A22" s="2" t="s">
        <v>209</v>
      </c>
      <c r="B22" s="2" t="s">
        <v>30</v>
      </c>
      <c r="C22" s="2" t="s">
        <v>39</v>
      </c>
      <c r="D22" s="8" t="s">
        <v>638</v>
      </c>
      <c r="E22" s="6">
        <v>45035.0</v>
      </c>
      <c r="F22" s="6">
        <v>45339.0</v>
      </c>
      <c r="G22" s="7">
        <v>4.409857336E9</v>
      </c>
      <c r="H22" s="2"/>
      <c r="I22" s="2">
        <f t="shared" ref="I22:P22" si="25">IF(ISBLANK(A22)=TRUE,0,1)</f>
        <v>1</v>
      </c>
      <c r="J22" s="2">
        <f t="shared" si="25"/>
        <v>1</v>
      </c>
      <c r="K22" s="2">
        <f t="shared" si="25"/>
        <v>1</v>
      </c>
      <c r="L22" s="2">
        <f t="shared" si="25"/>
        <v>1</v>
      </c>
      <c r="M22" s="2">
        <f t="shared" si="25"/>
        <v>1</v>
      </c>
      <c r="N22" s="2">
        <f t="shared" si="25"/>
        <v>1</v>
      </c>
      <c r="O22" s="2">
        <f t="shared" si="25"/>
        <v>1</v>
      </c>
      <c r="P22" s="2">
        <f t="shared" si="25"/>
        <v>0</v>
      </c>
      <c r="Q22" s="2">
        <f t="shared" si="3"/>
        <v>1</v>
      </c>
      <c r="R22" s="2">
        <f>IF(ISERROR(VLOOKUP(A22, 'Project Reference'!A:A, 1, FALSE)), 0, 1)</f>
        <v>1</v>
      </c>
      <c r="S22" s="2">
        <f>IFERROR(__xludf.DUMMYFUNCTION("IF(AND(REGEXMATCH(D22, B22), REGEXMATCH(D22, C22)), 1, 0)"),1.0)</f>
        <v>1</v>
      </c>
      <c r="T22" s="2">
        <f t="shared" si="4"/>
        <v>1</v>
      </c>
      <c r="U22" s="2">
        <f t="shared" si="5"/>
        <v>1</v>
      </c>
      <c r="V22" s="2">
        <f t="shared" si="6"/>
        <v>1</v>
      </c>
    </row>
    <row r="23" ht="14.25" customHeight="1">
      <c r="A23" s="2" t="s">
        <v>214</v>
      </c>
      <c r="B23" s="2" t="s">
        <v>35</v>
      </c>
      <c r="C23" s="2" t="s">
        <v>36</v>
      </c>
      <c r="D23" s="2" t="s">
        <v>37</v>
      </c>
      <c r="E23" s="6">
        <v>45036.0</v>
      </c>
      <c r="F23" s="6">
        <v>45313.0</v>
      </c>
      <c r="G23" s="7">
        <v>2.65879074E8</v>
      </c>
      <c r="H23" s="2"/>
      <c r="I23" s="2">
        <f t="shared" ref="I23:P23" si="26">IF(ISBLANK(A23)=TRUE,0,1)</f>
        <v>1</v>
      </c>
      <c r="J23" s="2">
        <f t="shared" si="26"/>
        <v>1</v>
      </c>
      <c r="K23" s="2">
        <f t="shared" si="26"/>
        <v>1</v>
      </c>
      <c r="L23" s="2">
        <f t="shared" si="26"/>
        <v>1</v>
      </c>
      <c r="M23" s="2">
        <f t="shared" si="26"/>
        <v>1</v>
      </c>
      <c r="N23" s="2">
        <f t="shared" si="26"/>
        <v>1</v>
      </c>
      <c r="O23" s="2">
        <f t="shared" si="26"/>
        <v>1</v>
      </c>
      <c r="P23" s="2">
        <f t="shared" si="26"/>
        <v>0</v>
      </c>
      <c r="Q23" s="2">
        <f t="shared" si="3"/>
        <v>1</v>
      </c>
      <c r="R23" s="2">
        <f>IF(ISERROR(VLOOKUP(A23, 'Project Reference'!A:A, 1, FALSE)), 0, 1)</f>
        <v>1</v>
      </c>
      <c r="S23" s="2">
        <f>IFERROR(__xludf.DUMMYFUNCTION("IF(AND(REGEXMATCH(D23, B23), REGEXMATCH(D23, C23)), 1, 0)"),1.0)</f>
        <v>1</v>
      </c>
      <c r="T23" s="2">
        <f t="shared" si="4"/>
        <v>1</v>
      </c>
      <c r="U23" s="2">
        <f t="shared" si="5"/>
        <v>1</v>
      </c>
      <c r="V23" s="2">
        <f t="shared" si="6"/>
        <v>1</v>
      </c>
    </row>
    <row r="24" ht="14.25" customHeight="1">
      <c r="A24" s="2" t="s">
        <v>222</v>
      </c>
      <c r="B24" s="2" t="s">
        <v>35</v>
      </c>
      <c r="C24" s="2" t="s">
        <v>13</v>
      </c>
      <c r="D24" s="2" t="s">
        <v>78</v>
      </c>
      <c r="E24" s="6">
        <v>45042.0</v>
      </c>
      <c r="F24" s="6">
        <v>45364.0</v>
      </c>
      <c r="G24" s="7">
        <v>4.33880373E8</v>
      </c>
      <c r="H24" s="2"/>
      <c r="I24" s="2">
        <f t="shared" ref="I24:P24" si="27">IF(ISBLANK(A24)=TRUE,0,1)</f>
        <v>1</v>
      </c>
      <c r="J24" s="2">
        <f t="shared" si="27"/>
        <v>1</v>
      </c>
      <c r="K24" s="2">
        <f t="shared" si="27"/>
        <v>1</v>
      </c>
      <c r="L24" s="2">
        <f t="shared" si="27"/>
        <v>1</v>
      </c>
      <c r="M24" s="2">
        <f t="shared" si="27"/>
        <v>1</v>
      </c>
      <c r="N24" s="2">
        <f t="shared" si="27"/>
        <v>1</v>
      </c>
      <c r="O24" s="2">
        <f t="shared" si="27"/>
        <v>1</v>
      </c>
      <c r="P24" s="2">
        <f t="shared" si="27"/>
        <v>0</v>
      </c>
      <c r="Q24" s="2">
        <f t="shared" si="3"/>
        <v>1</v>
      </c>
      <c r="R24" s="2">
        <f>IF(ISERROR(VLOOKUP(A24, 'Project Reference'!A:A, 1, FALSE)), 0, 1)</f>
        <v>1</v>
      </c>
      <c r="S24" s="2">
        <f>IFERROR(__xludf.DUMMYFUNCTION("IF(AND(REGEXMATCH(D24, B24), REGEXMATCH(D24, C24)), 1, 0)"),1.0)</f>
        <v>1</v>
      </c>
      <c r="T24" s="2">
        <f t="shared" si="4"/>
        <v>1</v>
      </c>
      <c r="U24" s="2">
        <f t="shared" si="5"/>
        <v>1</v>
      </c>
      <c r="V24" s="2">
        <f t="shared" si="6"/>
        <v>1</v>
      </c>
    </row>
    <row r="25" ht="14.25" customHeight="1">
      <c r="A25" s="2" t="s">
        <v>224</v>
      </c>
      <c r="B25" s="2" t="s">
        <v>12</v>
      </c>
      <c r="C25" s="2" t="s">
        <v>48</v>
      </c>
      <c r="D25" s="8" t="s">
        <v>602</v>
      </c>
      <c r="E25" s="6">
        <v>45045.0</v>
      </c>
      <c r="F25" s="6">
        <v>45324.0</v>
      </c>
      <c r="G25" s="7">
        <v>4.07950829E8</v>
      </c>
      <c r="H25" s="2"/>
      <c r="I25" s="2">
        <f t="shared" ref="I25:P25" si="28">IF(ISBLANK(A25)=TRUE,0,1)</f>
        <v>1</v>
      </c>
      <c r="J25" s="2">
        <f t="shared" si="28"/>
        <v>1</v>
      </c>
      <c r="K25" s="2">
        <f t="shared" si="28"/>
        <v>1</v>
      </c>
      <c r="L25" s="2">
        <f t="shared" si="28"/>
        <v>1</v>
      </c>
      <c r="M25" s="2">
        <f t="shared" si="28"/>
        <v>1</v>
      </c>
      <c r="N25" s="2">
        <f t="shared" si="28"/>
        <v>1</v>
      </c>
      <c r="O25" s="2">
        <f t="shared" si="28"/>
        <v>1</v>
      </c>
      <c r="P25" s="2">
        <f t="shared" si="28"/>
        <v>0</v>
      </c>
      <c r="Q25" s="2">
        <f t="shared" si="3"/>
        <v>1</v>
      </c>
      <c r="R25" s="2">
        <f>IF(ISERROR(VLOOKUP(A25, 'Project Reference'!A:A, 1, FALSE)), 0, 1)</f>
        <v>1</v>
      </c>
      <c r="S25" s="2">
        <f>IFERROR(__xludf.DUMMYFUNCTION("IF(AND(REGEXMATCH(D25, B25), REGEXMATCH(D25, C25)), 1, 0)"),1.0)</f>
        <v>1</v>
      </c>
      <c r="T25" s="2">
        <f t="shared" si="4"/>
        <v>1</v>
      </c>
      <c r="U25" s="2">
        <f t="shared" si="5"/>
        <v>1</v>
      </c>
      <c r="V25" s="2">
        <f t="shared" si="6"/>
        <v>1</v>
      </c>
    </row>
    <row r="26" ht="14.25" customHeight="1">
      <c r="A26" s="2" t="s">
        <v>228</v>
      </c>
      <c r="B26" s="2" t="s">
        <v>60</v>
      </c>
      <c r="C26" s="2" t="s">
        <v>31</v>
      </c>
      <c r="D26" s="8" t="s">
        <v>599</v>
      </c>
      <c r="E26" s="6">
        <v>45048.0</v>
      </c>
      <c r="F26" s="6">
        <v>45358.0</v>
      </c>
      <c r="G26" s="7">
        <v>2.665194797E9</v>
      </c>
      <c r="H26" s="2"/>
      <c r="I26" s="2">
        <f t="shared" ref="I26:P26" si="29">IF(ISBLANK(A26)=TRUE,0,1)</f>
        <v>1</v>
      </c>
      <c r="J26" s="2">
        <f t="shared" si="29"/>
        <v>1</v>
      </c>
      <c r="K26" s="2">
        <f t="shared" si="29"/>
        <v>1</v>
      </c>
      <c r="L26" s="2">
        <f t="shared" si="29"/>
        <v>1</v>
      </c>
      <c r="M26" s="2">
        <f t="shared" si="29"/>
        <v>1</v>
      </c>
      <c r="N26" s="2">
        <f t="shared" si="29"/>
        <v>1</v>
      </c>
      <c r="O26" s="2">
        <f t="shared" si="29"/>
        <v>1</v>
      </c>
      <c r="P26" s="2">
        <f t="shared" si="29"/>
        <v>0</v>
      </c>
      <c r="Q26" s="2">
        <f t="shared" si="3"/>
        <v>1</v>
      </c>
      <c r="R26" s="2">
        <f>IF(ISERROR(VLOOKUP(A26, 'Project Reference'!A:A, 1, FALSE)), 0, 1)</f>
        <v>1</v>
      </c>
      <c r="S26" s="2">
        <f>IFERROR(__xludf.DUMMYFUNCTION("IF(AND(REGEXMATCH(D26, B26), REGEXMATCH(D26, C26)), 1, 0)"),1.0)</f>
        <v>1</v>
      </c>
      <c r="T26" s="2">
        <f t="shared" si="4"/>
        <v>1</v>
      </c>
      <c r="U26" s="2">
        <f t="shared" si="5"/>
        <v>1</v>
      </c>
      <c r="V26" s="2">
        <f t="shared" si="6"/>
        <v>1</v>
      </c>
    </row>
    <row r="27" ht="14.25" customHeight="1">
      <c r="A27" s="2" t="s">
        <v>229</v>
      </c>
      <c r="B27" s="2" t="s">
        <v>30</v>
      </c>
      <c r="C27" s="2" t="s">
        <v>31</v>
      </c>
      <c r="D27" s="8" t="s">
        <v>585</v>
      </c>
      <c r="E27" s="6">
        <v>45049.0</v>
      </c>
      <c r="F27" s="6">
        <v>45401.0</v>
      </c>
      <c r="G27" s="7">
        <v>2.586947699E9</v>
      </c>
      <c r="H27" s="2"/>
      <c r="I27" s="2">
        <f t="shared" ref="I27:P27" si="30">IF(ISBLANK(A27)=TRUE,0,1)</f>
        <v>1</v>
      </c>
      <c r="J27" s="2">
        <f t="shared" si="30"/>
        <v>1</v>
      </c>
      <c r="K27" s="2">
        <f t="shared" si="30"/>
        <v>1</v>
      </c>
      <c r="L27" s="2">
        <f t="shared" si="30"/>
        <v>1</v>
      </c>
      <c r="M27" s="2">
        <f t="shared" si="30"/>
        <v>1</v>
      </c>
      <c r="N27" s="2">
        <f t="shared" si="30"/>
        <v>1</v>
      </c>
      <c r="O27" s="2">
        <f t="shared" si="30"/>
        <v>1</v>
      </c>
      <c r="P27" s="2">
        <f t="shared" si="30"/>
        <v>0</v>
      </c>
      <c r="Q27" s="2">
        <f t="shared" si="3"/>
        <v>1</v>
      </c>
      <c r="R27" s="2">
        <f>IF(ISERROR(VLOOKUP(A27, 'Project Reference'!A:A, 1, FALSE)), 0, 1)</f>
        <v>1</v>
      </c>
      <c r="S27" s="2">
        <f>IFERROR(__xludf.DUMMYFUNCTION("IF(AND(REGEXMATCH(D27, B27), REGEXMATCH(D27, C27)), 1, 0)"),1.0)</f>
        <v>1</v>
      </c>
      <c r="T27" s="2">
        <f t="shared" si="4"/>
        <v>1</v>
      </c>
      <c r="U27" s="2">
        <f t="shared" si="5"/>
        <v>1</v>
      </c>
      <c r="V27" s="2">
        <f t="shared" si="6"/>
        <v>1</v>
      </c>
    </row>
    <row r="28" ht="14.25" customHeight="1">
      <c r="A28" s="2" t="s">
        <v>230</v>
      </c>
      <c r="B28" s="2" t="s">
        <v>12</v>
      </c>
      <c r="C28" s="2" t="s">
        <v>36</v>
      </c>
      <c r="D28" s="8" t="s">
        <v>578</v>
      </c>
      <c r="E28" s="6">
        <v>45052.0</v>
      </c>
      <c r="F28" s="6">
        <v>45087.0</v>
      </c>
      <c r="G28" s="7">
        <v>1.89032296E8</v>
      </c>
      <c r="H28" s="2"/>
      <c r="I28" s="2">
        <f t="shared" ref="I28:P28" si="31">IF(ISBLANK(A28)=TRUE,0,1)</f>
        <v>1</v>
      </c>
      <c r="J28" s="2">
        <f t="shared" si="31"/>
        <v>1</v>
      </c>
      <c r="K28" s="2">
        <f t="shared" si="31"/>
        <v>1</v>
      </c>
      <c r="L28" s="2">
        <f t="shared" si="31"/>
        <v>1</v>
      </c>
      <c r="M28" s="2">
        <f t="shared" si="31"/>
        <v>1</v>
      </c>
      <c r="N28" s="2">
        <f t="shared" si="31"/>
        <v>1</v>
      </c>
      <c r="O28" s="2">
        <f t="shared" si="31"/>
        <v>1</v>
      </c>
      <c r="P28" s="2">
        <f t="shared" si="31"/>
        <v>0</v>
      </c>
      <c r="Q28" s="2">
        <f t="shared" si="3"/>
        <v>1</v>
      </c>
      <c r="R28" s="2">
        <f>IF(ISERROR(VLOOKUP(A28, 'Project Reference'!A:A, 1, FALSE)), 0, 1)</f>
        <v>1</v>
      </c>
      <c r="S28" s="2">
        <f>IFERROR(__xludf.DUMMYFUNCTION("IF(AND(REGEXMATCH(D28, B28), REGEXMATCH(D28, C28)), 1, 0)"),1.0)</f>
        <v>1</v>
      </c>
      <c r="T28" s="2">
        <f t="shared" si="4"/>
        <v>1</v>
      </c>
      <c r="U28" s="2">
        <f t="shared" si="5"/>
        <v>1</v>
      </c>
      <c r="V28" s="2">
        <f t="shared" si="6"/>
        <v>1</v>
      </c>
    </row>
    <row r="29" ht="14.25" customHeight="1">
      <c r="A29" s="2" t="s">
        <v>266</v>
      </c>
      <c r="B29" s="2" t="s">
        <v>60</v>
      </c>
      <c r="C29" s="2" t="s">
        <v>42</v>
      </c>
      <c r="D29" s="8" t="s">
        <v>587</v>
      </c>
      <c r="E29" s="6">
        <v>45078.0</v>
      </c>
      <c r="F29" s="6">
        <v>45220.0</v>
      </c>
      <c r="G29" s="7">
        <v>2.544644297E9</v>
      </c>
      <c r="H29" s="2"/>
      <c r="I29" s="2">
        <f t="shared" ref="I29:P29" si="32">IF(ISBLANK(A29)=TRUE,0,1)</f>
        <v>1</v>
      </c>
      <c r="J29" s="2">
        <f t="shared" si="32"/>
        <v>1</v>
      </c>
      <c r="K29" s="2">
        <f t="shared" si="32"/>
        <v>1</v>
      </c>
      <c r="L29" s="2">
        <f t="shared" si="32"/>
        <v>1</v>
      </c>
      <c r="M29" s="2">
        <f t="shared" si="32"/>
        <v>1</v>
      </c>
      <c r="N29" s="2">
        <f t="shared" si="32"/>
        <v>1</v>
      </c>
      <c r="O29" s="2">
        <f t="shared" si="32"/>
        <v>1</v>
      </c>
      <c r="P29" s="2">
        <f t="shared" si="32"/>
        <v>0</v>
      </c>
      <c r="Q29" s="2">
        <f t="shared" si="3"/>
        <v>1</v>
      </c>
      <c r="R29" s="2">
        <f>IF(ISERROR(VLOOKUP(A29, 'Project Reference'!A:A, 1, FALSE)), 0, 1)</f>
        <v>1</v>
      </c>
      <c r="S29" s="2">
        <f>IFERROR(__xludf.DUMMYFUNCTION("IF(AND(REGEXMATCH(D29, B29), REGEXMATCH(D29, C29)), 1, 0)"),1.0)</f>
        <v>1</v>
      </c>
      <c r="T29" s="2">
        <f t="shared" si="4"/>
        <v>1</v>
      </c>
      <c r="U29" s="2">
        <f t="shared" si="5"/>
        <v>1</v>
      </c>
      <c r="V29" s="2">
        <f t="shared" si="6"/>
        <v>1</v>
      </c>
    </row>
    <row r="30" ht="14.25" customHeight="1">
      <c r="A30" s="2" t="s">
        <v>283</v>
      </c>
      <c r="B30" s="2" t="s">
        <v>18</v>
      </c>
      <c r="C30" s="2" t="s">
        <v>39</v>
      </c>
      <c r="D30" s="8" t="s">
        <v>577</v>
      </c>
      <c r="E30" s="6">
        <v>45093.0</v>
      </c>
      <c r="F30" s="6">
        <v>45280.0</v>
      </c>
      <c r="G30" s="7">
        <v>6.355661362E9</v>
      </c>
      <c r="H30" s="2"/>
      <c r="I30" s="2">
        <f t="shared" ref="I30:P30" si="33">IF(ISBLANK(A30)=TRUE,0,1)</f>
        <v>1</v>
      </c>
      <c r="J30" s="2">
        <f t="shared" si="33"/>
        <v>1</v>
      </c>
      <c r="K30" s="2">
        <f t="shared" si="33"/>
        <v>1</v>
      </c>
      <c r="L30" s="2">
        <f t="shared" si="33"/>
        <v>1</v>
      </c>
      <c r="M30" s="2">
        <f t="shared" si="33"/>
        <v>1</v>
      </c>
      <c r="N30" s="2">
        <f t="shared" si="33"/>
        <v>1</v>
      </c>
      <c r="O30" s="2">
        <f t="shared" si="33"/>
        <v>1</v>
      </c>
      <c r="P30" s="2">
        <f t="shared" si="33"/>
        <v>0</v>
      </c>
      <c r="Q30" s="2">
        <f t="shared" si="3"/>
        <v>1</v>
      </c>
      <c r="R30" s="2">
        <f>IF(ISERROR(VLOOKUP(A30, 'Project Reference'!A:A, 1, FALSE)), 0, 1)</f>
        <v>1</v>
      </c>
      <c r="S30" s="2">
        <f>IFERROR(__xludf.DUMMYFUNCTION("IF(AND(REGEXMATCH(D30, B30), REGEXMATCH(D30, C30)), 1, 0)"),1.0)</f>
        <v>1</v>
      </c>
      <c r="T30" s="2">
        <f t="shared" si="4"/>
        <v>1</v>
      </c>
      <c r="U30" s="2">
        <f t="shared" si="5"/>
        <v>1</v>
      </c>
      <c r="V30" s="2">
        <f t="shared" si="6"/>
        <v>1</v>
      </c>
    </row>
    <row r="31" ht="14.25" customHeight="1">
      <c r="A31" s="2" t="s">
        <v>285</v>
      </c>
      <c r="B31" s="2" t="s">
        <v>35</v>
      </c>
      <c r="C31" s="2" t="s">
        <v>36</v>
      </c>
      <c r="D31" s="2" t="s">
        <v>37</v>
      </c>
      <c r="E31" s="6">
        <v>45095.0</v>
      </c>
      <c r="F31" s="6">
        <v>45423.0</v>
      </c>
      <c r="G31" s="7">
        <v>2.57229348E8</v>
      </c>
      <c r="H31" s="2"/>
      <c r="I31" s="2">
        <f t="shared" ref="I31:P31" si="34">IF(ISBLANK(A31)=TRUE,0,1)</f>
        <v>1</v>
      </c>
      <c r="J31" s="2">
        <f t="shared" si="34"/>
        <v>1</v>
      </c>
      <c r="K31" s="2">
        <f t="shared" si="34"/>
        <v>1</v>
      </c>
      <c r="L31" s="2">
        <f t="shared" si="34"/>
        <v>1</v>
      </c>
      <c r="M31" s="2">
        <f t="shared" si="34"/>
        <v>1</v>
      </c>
      <c r="N31" s="2">
        <f t="shared" si="34"/>
        <v>1</v>
      </c>
      <c r="O31" s="2">
        <f t="shared" si="34"/>
        <v>1</v>
      </c>
      <c r="P31" s="2">
        <f t="shared" si="34"/>
        <v>0</v>
      </c>
      <c r="Q31" s="2">
        <f t="shared" si="3"/>
        <v>1</v>
      </c>
      <c r="R31" s="2">
        <f>IF(ISERROR(VLOOKUP(A31, 'Project Reference'!A:A, 1, FALSE)), 0, 1)</f>
        <v>1</v>
      </c>
      <c r="S31" s="2">
        <f>IFERROR(__xludf.DUMMYFUNCTION("IF(AND(REGEXMATCH(D31, B31), REGEXMATCH(D31, C31)), 1, 0)"),1.0)</f>
        <v>1</v>
      </c>
      <c r="T31" s="2">
        <f t="shared" si="4"/>
        <v>1</v>
      </c>
      <c r="U31" s="2">
        <f t="shared" si="5"/>
        <v>1</v>
      </c>
      <c r="V31" s="2">
        <f t="shared" si="6"/>
        <v>1</v>
      </c>
    </row>
    <row r="32" ht="14.25" customHeight="1">
      <c r="A32" s="2" t="s">
        <v>301</v>
      </c>
      <c r="B32" s="2" t="s">
        <v>30</v>
      </c>
      <c r="C32" s="2" t="s">
        <v>13</v>
      </c>
      <c r="D32" s="8" t="s">
        <v>630</v>
      </c>
      <c r="E32" s="6">
        <v>45106.0</v>
      </c>
      <c r="F32" s="6">
        <v>45212.0</v>
      </c>
      <c r="G32" s="7">
        <v>2.498238869E9</v>
      </c>
      <c r="H32" s="2"/>
      <c r="I32" s="2">
        <f t="shared" ref="I32:P32" si="35">IF(ISBLANK(A32)=TRUE,0,1)</f>
        <v>1</v>
      </c>
      <c r="J32" s="2">
        <f t="shared" si="35"/>
        <v>1</v>
      </c>
      <c r="K32" s="2">
        <f t="shared" si="35"/>
        <v>1</v>
      </c>
      <c r="L32" s="2">
        <f t="shared" si="35"/>
        <v>1</v>
      </c>
      <c r="M32" s="2">
        <f t="shared" si="35"/>
        <v>1</v>
      </c>
      <c r="N32" s="2">
        <f t="shared" si="35"/>
        <v>1</v>
      </c>
      <c r="O32" s="2">
        <f t="shared" si="35"/>
        <v>1</v>
      </c>
      <c r="P32" s="2">
        <f t="shared" si="35"/>
        <v>0</v>
      </c>
      <c r="Q32" s="2">
        <f t="shared" si="3"/>
        <v>1</v>
      </c>
      <c r="R32" s="2">
        <f>IF(ISERROR(VLOOKUP(A32, 'Project Reference'!A:A, 1, FALSE)), 0, 1)</f>
        <v>1</v>
      </c>
      <c r="S32" s="2">
        <f>IFERROR(__xludf.DUMMYFUNCTION("IF(AND(REGEXMATCH(D32, B32), REGEXMATCH(D32, C32)), 1, 0)"),1.0)</f>
        <v>1</v>
      </c>
      <c r="T32" s="2">
        <f t="shared" si="4"/>
        <v>1</v>
      </c>
      <c r="U32" s="2">
        <f t="shared" si="5"/>
        <v>1</v>
      </c>
      <c r="V32" s="2">
        <f t="shared" si="6"/>
        <v>1</v>
      </c>
    </row>
    <row r="33" ht="14.25" customHeight="1">
      <c r="A33" s="2" t="s">
        <v>316</v>
      </c>
      <c r="B33" s="2" t="s">
        <v>60</v>
      </c>
      <c r="C33" s="2" t="s">
        <v>39</v>
      </c>
      <c r="D33" s="8" t="s">
        <v>642</v>
      </c>
      <c r="E33" s="6">
        <v>45119.0</v>
      </c>
      <c r="F33" s="6">
        <v>45218.0</v>
      </c>
      <c r="G33" s="7">
        <v>4.249269902E9</v>
      </c>
      <c r="H33" s="2"/>
      <c r="I33" s="2">
        <f t="shared" ref="I33:P33" si="36">IF(ISBLANK(A33)=TRUE,0,1)</f>
        <v>1</v>
      </c>
      <c r="J33" s="2">
        <f t="shared" si="36"/>
        <v>1</v>
      </c>
      <c r="K33" s="2">
        <f t="shared" si="36"/>
        <v>1</v>
      </c>
      <c r="L33" s="2">
        <f t="shared" si="36"/>
        <v>1</v>
      </c>
      <c r="M33" s="2">
        <f t="shared" si="36"/>
        <v>1</v>
      </c>
      <c r="N33" s="2">
        <f t="shared" si="36"/>
        <v>1</v>
      </c>
      <c r="O33" s="2">
        <f t="shared" si="36"/>
        <v>1</v>
      </c>
      <c r="P33" s="2">
        <f t="shared" si="36"/>
        <v>0</v>
      </c>
      <c r="Q33" s="2">
        <f t="shared" si="3"/>
        <v>1</v>
      </c>
      <c r="R33" s="2">
        <f>IF(ISERROR(VLOOKUP(A33, 'Project Reference'!A:A, 1, FALSE)), 0, 1)</f>
        <v>1</v>
      </c>
      <c r="S33" s="2">
        <f>IFERROR(__xludf.DUMMYFUNCTION("IF(AND(REGEXMATCH(D33, B33), REGEXMATCH(D33, C33)), 1, 0)"),1.0)</f>
        <v>1</v>
      </c>
      <c r="T33" s="2">
        <f t="shared" si="4"/>
        <v>1</v>
      </c>
      <c r="U33" s="2">
        <f t="shared" si="5"/>
        <v>1</v>
      </c>
      <c r="V33" s="2">
        <f t="shared" si="6"/>
        <v>1</v>
      </c>
    </row>
    <row r="34" ht="14.25" customHeight="1">
      <c r="A34" s="2" t="s">
        <v>321</v>
      </c>
      <c r="B34" s="2" t="s">
        <v>35</v>
      </c>
      <c r="C34" s="2" t="s">
        <v>13</v>
      </c>
      <c r="D34" s="2" t="s">
        <v>78</v>
      </c>
      <c r="E34" s="6">
        <v>45124.0</v>
      </c>
      <c r="F34" s="6">
        <v>45421.0</v>
      </c>
      <c r="G34" s="7">
        <v>6.04130639E8</v>
      </c>
      <c r="H34" s="2"/>
      <c r="I34" s="2">
        <f t="shared" ref="I34:P34" si="37">IF(ISBLANK(A34)=TRUE,0,1)</f>
        <v>1</v>
      </c>
      <c r="J34" s="2">
        <f t="shared" si="37"/>
        <v>1</v>
      </c>
      <c r="K34" s="2">
        <f t="shared" si="37"/>
        <v>1</v>
      </c>
      <c r="L34" s="2">
        <f t="shared" si="37"/>
        <v>1</v>
      </c>
      <c r="M34" s="2">
        <f t="shared" si="37"/>
        <v>1</v>
      </c>
      <c r="N34" s="2">
        <f t="shared" si="37"/>
        <v>1</v>
      </c>
      <c r="O34" s="2">
        <f t="shared" si="37"/>
        <v>1</v>
      </c>
      <c r="P34" s="2">
        <f t="shared" si="37"/>
        <v>0</v>
      </c>
      <c r="Q34" s="2">
        <f t="shared" si="3"/>
        <v>1</v>
      </c>
      <c r="R34" s="2">
        <f>IF(ISERROR(VLOOKUP(A34, 'Project Reference'!A:A, 1, FALSE)), 0, 1)</f>
        <v>1</v>
      </c>
      <c r="S34" s="2">
        <f>IFERROR(__xludf.DUMMYFUNCTION("IF(AND(REGEXMATCH(D34, B34), REGEXMATCH(D34, C34)), 1, 0)"),1.0)</f>
        <v>1</v>
      </c>
      <c r="T34" s="2">
        <f t="shared" si="4"/>
        <v>1</v>
      </c>
      <c r="U34" s="2">
        <f t="shared" si="5"/>
        <v>1</v>
      </c>
      <c r="V34" s="2">
        <f t="shared" si="6"/>
        <v>1</v>
      </c>
    </row>
    <row r="35" ht="14.25" customHeight="1">
      <c r="A35" s="2" t="s">
        <v>339</v>
      </c>
      <c r="B35" s="2" t="s">
        <v>35</v>
      </c>
      <c r="C35" s="2" t="s">
        <v>42</v>
      </c>
      <c r="D35" s="2" t="s">
        <v>69</v>
      </c>
      <c r="E35" s="6">
        <v>45130.0</v>
      </c>
      <c r="F35" s="6">
        <v>45277.0</v>
      </c>
      <c r="G35" s="7">
        <v>2.25164187E8</v>
      </c>
      <c r="H35" s="2"/>
      <c r="I35" s="2">
        <f t="shared" ref="I35:P35" si="38">IF(ISBLANK(A35)=TRUE,0,1)</f>
        <v>1</v>
      </c>
      <c r="J35" s="2">
        <f t="shared" si="38"/>
        <v>1</v>
      </c>
      <c r="K35" s="2">
        <f t="shared" si="38"/>
        <v>1</v>
      </c>
      <c r="L35" s="2">
        <f t="shared" si="38"/>
        <v>1</v>
      </c>
      <c r="M35" s="2">
        <f t="shared" si="38"/>
        <v>1</v>
      </c>
      <c r="N35" s="2">
        <f t="shared" si="38"/>
        <v>1</v>
      </c>
      <c r="O35" s="2">
        <f t="shared" si="38"/>
        <v>1</v>
      </c>
      <c r="P35" s="2">
        <f t="shared" si="38"/>
        <v>0</v>
      </c>
      <c r="Q35" s="2">
        <f t="shared" si="3"/>
        <v>1</v>
      </c>
      <c r="R35" s="2">
        <f>IF(ISERROR(VLOOKUP(A35, 'Project Reference'!A:A, 1, FALSE)), 0, 1)</f>
        <v>1</v>
      </c>
      <c r="S35" s="2">
        <f>IFERROR(__xludf.DUMMYFUNCTION("IF(AND(REGEXMATCH(D35, B35), REGEXMATCH(D35, C35)), 1, 0)"),1.0)</f>
        <v>1</v>
      </c>
      <c r="T35" s="2">
        <f t="shared" si="4"/>
        <v>1</v>
      </c>
      <c r="U35" s="2">
        <f t="shared" si="5"/>
        <v>1</v>
      </c>
      <c r="V35" s="2">
        <f t="shared" si="6"/>
        <v>1</v>
      </c>
    </row>
    <row r="36" ht="14.25" customHeight="1">
      <c r="A36" s="2" t="s">
        <v>354</v>
      </c>
      <c r="B36" s="2" t="s">
        <v>60</v>
      </c>
      <c r="C36" s="2" t="s">
        <v>19</v>
      </c>
      <c r="D36" s="8" t="s">
        <v>616</v>
      </c>
      <c r="E36" s="6">
        <v>45138.0</v>
      </c>
      <c r="F36" s="6">
        <v>45260.0</v>
      </c>
      <c r="G36" s="7">
        <v>3.76787596E9</v>
      </c>
      <c r="H36" s="2"/>
      <c r="I36" s="2">
        <f t="shared" ref="I36:P36" si="39">IF(ISBLANK(A36)=TRUE,0,1)</f>
        <v>1</v>
      </c>
      <c r="J36" s="2">
        <f t="shared" si="39"/>
        <v>1</v>
      </c>
      <c r="K36" s="2">
        <f t="shared" si="39"/>
        <v>1</v>
      </c>
      <c r="L36" s="2">
        <f t="shared" si="39"/>
        <v>1</v>
      </c>
      <c r="M36" s="2">
        <f t="shared" si="39"/>
        <v>1</v>
      </c>
      <c r="N36" s="2">
        <f t="shared" si="39"/>
        <v>1</v>
      </c>
      <c r="O36" s="2">
        <f t="shared" si="39"/>
        <v>1</v>
      </c>
      <c r="P36" s="2">
        <f t="shared" si="39"/>
        <v>0</v>
      </c>
      <c r="Q36" s="2">
        <f t="shared" si="3"/>
        <v>1</v>
      </c>
      <c r="R36" s="2">
        <f>IF(ISERROR(VLOOKUP(A36, 'Project Reference'!A:A, 1, FALSE)), 0, 1)</f>
        <v>1</v>
      </c>
      <c r="S36" s="2">
        <f>IFERROR(__xludf.DUMMYFUNCTION("IF(AND(REGEXMATCH(D36, B36), REGEXMATCH(D36, C36)), 1, 0)"),1.0)</f>
        <v>1</v>
      </c>
      <c r="T36" s="2">
        <f t="shared" si="4"/>
        <v>1</v>
      </c>
      <c r="U36" s="2">
        <f t="shared" si="5"/>
        <v>1</v>
      </c>
      <c r="V36" s="2">
        <f t="shared" si="6"/>
        <v>1</v>
      </c>
    </row>
    <row r="37" ht="14.25" customHeight="1">
      <c r="A37" s="2" t="s">
        <v>361</v>
      </c>
      <c r="B37" s="2" t="s">
        <v>60</v>
      </c>
      <c r="C37" s="2" t="s">
        <v>39</v>
      </c>
      <c r="D37" s="8" t="s">
        <v>626</v>
      </c>
      <c r="E37" s="6">
        <v>45144.0</v>
      </c>
      <c r="F37" s="6">
        <v>45187.0</v>
      </c>
      <c r="G37" s="7">
        <v>4.486128429E9</v>
      </c>
      <c r="H37" s="2"/>
      <c r="I37" s="2">
        <f t="shared" ref="I37:P37" si="40">IF(ISBLANK(A37)=TRUE,0,1)</f>
        <v>1</v>
      </c>
      <c r="J37" s="2">
        <f t="shared" si="40"/>
        <v>1</v>
      </c>
      <c r="K37" s="2">
        <f t="shared" si="40"/>
        <v>1</v>
      </c>
      <c r="L37" s="2">
        <f t="shared" si="40"/>
        <v>1</v>
      </c>
      <c r="M37" s="2">
        <f t="shared" si="40"/>
        <v>1</v>
      </c>
      <c r="N37" s="2">
        <f t="shared" si="40"/>
        <v>1</v>
      </c>
      <c r="O37" s="2">
        <f t="shared" si="40"/>
        <v>1</v>
      </c>
      <c r="P37" s="2">
        <f t="shared" si="40"/>
        <v>0</v>
      </c>
      <c r="Q37" s="2">
        <f t="shared" si="3"/>
        <v>1</v>
      </c>
      <c r="R37" s="2">
        <f>IF(ISERROR(VLOOKUP(A37, 'Project Reference'!A:A, 1, FALSE)), 0, 1)</f>
        <v>1</v>
      </c>
      <c r="S37" s="2">
        <f>IFERROR(__xludf.DUMMYFUNCTION("IF(AND(REGEXMATCH(D37, B37), REGEXMATCH(D37, C37)), 1, 0)"),1.0)</f>
        <v>1</v>
      </c>
      <c r="T37" s="2">
        <f t="shared" si="4"/>
        <v>1</v>
      </c>
      <c r="U37" s="2">
        <f t="shared" si="5"/>
        <v>1</v>
      </c>
      <c r="V37" s="2">
        <f t="shared" si="6"/>
        <v>1</v>
      </c>
    </row>
    <row r="38" ht="14.25" customHeight="1">
      <c r="A38" s="2" t="s">
        <v>369</v>
      </c>
      <c r="B38" s="2" t="s">
        <v>35</v>
      </c>
      <c r="C38" s="2" t="s">
        <v>13</v>
      </c>
      <c r="D38" s="2" t="s">
        <v>78</v>
      </c>
      <c r="E38" s="6">
        <v>45154.0</v>
      </c>
      <c r="F38" s="6">
        <v>45341.0</v>
      </c>
      <c r="G38" s="7">
        <v>4.42886883E8</v>
      </c>
      <c r="H38" s="2"/>
      <c r="I38" s="2">
        <f t="shared" ref="I38:P38" si="41">IF(ISBLANK(A38)=TRUE,0,1)</f>
        <v>1</v>
      </c>
      <c r="J38" s="2">
        <f t="shared" si="41"/>
        <v>1</v>
      </c>
      <c r="K38" s="2">
        <f t="shared" si="41"/>
        <v>1</v>
      </c>
      <c r="L38" s="2">
        <f t="shared" si="41"/>
        <v>1</v>
      </c>
      <c r="M38" s="2">
        <f t="shared" si="41"/>
        <v>1</v>
      </c>
      <c r="N38" s="2">
        <f t="shared" si="41"/>
        <v>1</v>
      </c>
      <c r="O38" s="2">
        <f t="shared" si="41"/>
        <v>1</v>
      </c>
      <c r="P38" s="2">
        <f t="shared" si="41"/>
        <v>0</v>
      </c>
      <c r="Q38" s="2">
        <f t="shared" si="3"/>
        <v>1</v>
      </c>
      <c r="R38" s="2">
        <f>IF(ISERROR(VLOOKUP(A38, 'Project Reference'!A:A, 1, FALSE)), 0, 1)</f>
        <v>1</v>
      </c>
      <c r="S38" s="2">
        <f>IFERROR(__xludf.DUMMYFUNCTION("IF(AND(REGEXMATCH(D38, B38), REGEXMATCH(D38, C38)), 1, 0)"),1.0)</f>
        <v>1</v>
      </c>
      <c r="T38" s="2">
        <f t="shared" si="4"/>
        <v>1</v>
      </c>
      <c r="U38" s="2">
        <f t="shared" si="5"/>
        <v>1</v>
      </c>
      <c r="V38" s="2">
        <f t="shared" si="6"/>
        <v>1</v>
      </c>
    </row>
    <row r="39" ht="14.25" customHeight="1">
      <c r="A39" s="2" t="s">
        <v>372</v>
      </c>
      <c r="B39" s="2" t="s">
        <v>12</v>
      </c>
      <c r="C39" s="2" t="s">
        <v>42</v>
      </c>
      <c r="D39" s="8" t="s">
        <v>603</v>
      </c>
      <c r="E39" s="6">
        <v>45157.0</v>
      </c>
      <c r="F39" s="6">
        <v>45305.0</v>
      </c>
      <c r="G39" s="7">
        <v>6.16245876E8</v>
      </c>
      <c r="H39" s="2"/>
      <c r="I39" s="2">
        <f t="shared" ref="I39:P39" si="42">IF(ISBLANK(A39)=TRUE,0,1)</f>
        <v>1</v>
      </c>
      <c r="J39" s="2">
        <f t="shared" si="42"/>
        <v>1</v>
      </c>
      <c r="K39" s="2">
        <f t="shared" si="42"/>
        <v>1</v>
      </c>
      <c r="L39" s="2">
        <f t="shared" si="42"/>
        <v>1</v>
      </c>
      <c r="M39" s="2">
        <f t="shared" si="42"/>
        <v>1</v>
      </c>
      <c r="N39" s="2">
        <f t="shared" si="42"/>
        <v>1</v>
      </c>
      <c r="O39" s="2">
        <f t="shared" si="42"/>
        <v>1</v>
      </c>
      <c r="P39" s="2">
        <f t="shared" si="42"/>
        <v>0</v>
      </c>
      <c r="Q39" s="2">
        <f t="shared" si="3"/>
        <v>1</v>
      </c>
      <c r="R39" s="2">
        <f>IF(ISERROR(VLOOKUP(A39, 'Project Reference'!A:A, 1, FALSE)), 0, 1)</f>
        <v>1</v>
      </c>
      <c r="S39" s="2">
        <f>IFERROR(__xludf.DUMMYFUNCTION("IF(AND(REGEXMATCH(D39, B39), REGEXMATCH(D39, C39)), 1, 0)"),1.0)</f>
        <v>1</v>
      </c>
      <c r="T39" s="2">
        <f t="shared" si="4"/>
        <v>1</v>
      </c>
      <c r="U39" s="2">
        <f t="shared" si="5"/>
        <v>1</v>
      </c>
      <c r="V39" s="2">
        <f t="shared" si="6"/>
        <v>1</v>
      </c>
    </row>
    <row r="40" ht="14.25" customHeight="1">
      <c r="A40" s="2" t="s">
        <v>376</v>
      </c>
      <c r="B40" s="2" t="s">
        <v>60</v>
      </c>
      <c r="C40" s="2" t="s">
        <v>24</v>
      </c>
      <c r="D40" s="8" t="s">
        <v>640</v>
      </c>
      <c r="E40" s="6">
        <v>45160.0</v>
      </c>
      <c r="F40" s="6">
        <v>45415.0</v>
      </c>
      <c r="G40" s="7">
        <v>2.178901994E9</v>
      </c>
      <c r="H40" s="2"/>
      <c r="I40" s="2">
        <f t="shared" ref="I40:P40" si="43">IF(ISBLANK(A40)=TRUE,0,1)</f>
        <v>1</v>
      </c>
      <c r="J40" s="2">
        <f t="shared" si="43"/>
        <v>1</v>
      </c>
      <c r="K40" s="2">
        <f t="shared" si="43"/>
        <v>1</v>
      </c>
      <c r="L40" s="2">
        <f t="shared" si="43"/>
        <v>1</v>
      </c>
      <c r="M40" s="2">
        <f t="shared" si="43"/>
        <v>1</v>
      </c>
      <c r="N40" s="2">
        <f t="shared" si="43"/>
        <v>1</v>
      </c>
      <c r="O40" s="2">
        <f t="shared" si="43"/>
        <v>1</v>
      </c>
      <c r="P40" s="2">
        <f t="shared" si="43"/>
        <v>0</v>
      </c>
      <c r="Q40" s="2">
        <f t="shared" si="3"/>
        <v>1</v>
      </c>
      <c r="R40" s="2">
        <f>IF(ISERROR(VLOOKUP(A40, 'Project Reference'!A:A, 1, FALSE)), 0, 1)</f>
        <v>1</v>
      </c>
      <c r="S40" s="2">
        <f>IFERROR(__xludf.DUMMYFUNCTION("IF(AND(REGEXMATCH(D40, B40), REGEXMATCH(D40, C40)), 1, 0)"),1.0)</f>
        <v>1</v>
      </c>
      <c r="T40" s="2">
        <f t="shared" si="4"/>
        <v>1</v>
      </c>
      <c r="U40" s="2">
        <f t="shared" si="5"/>
        <v>1</v>
      </c>
      <c r="V40" s="2">
        <f t="shared" si="6"/>
        <v>1</v>
      </c>
    </row>
    <row r="41" ht="14.25" customHeight="1">
      <c r="A41" s="2" t="s">
        <v>377</v>
      </c>
      <c r="B41" s="2" t="s">
        <v>18</v>
      </c>
      <c r="C41" s="2" t="s">
        <v>31</v>
      </c>
      <c r="D41" s="8" t="s">
        <v>636</v>
      </c>
      <c r="E41" s="6">
        <v>45160.0</v>
      </c>
      <c r="F41" s="6">
        <v>45496.0</v>
      </c>
      <c r="G41" s="7">
        <v>4.033563886E9</v>
      </c>
      <c r="H41" s="2"/>
      <c r="I41" s="2">
        <f t="shared" ref="I41:P41" si="44">IF(ISBLANK(A41)=TRUE,0,1)</f>
        <v>1</v>
      </c>
      <c r="J41" s="2">
        <f t="shared" si="44"/>
        <v>1</v>
      </c>
      <c r="K41" s="2">
        <f t="shared" si="44"/>
        <v>1</v>
      </c>
      <c r="L41" s="2">
        <f t="shared" si="44"/>
        <v>1</v>
      </c>
      <c r="M41" s="2">
        <f t="shared" si="44"/>
        <v>1</v>
      </c>
      <c r="N41" s="2">
        <f t="shared" si="44"/>
        <v>1</v>
      </c>
      <c r="O41" s="2">
        <f t="shared" si="44"/>
        <v>1</v>
      </c>
      <c r="P41" s="2">
        <f t="shared" si="44"/>
        <v>0</v>
      </c>
      <c r="Q41" s="2">
        <f t="shared" si="3"/>
        <v>1</v>
      </c>
      <c r="R41" s="2">
        <f>IF(ISERROR(VLOOKUP(A41, 'Project Reference'!A:A, 1, FALSE)), 0, 1)</f>
        <v>1</v>
      </c>
      <c r="S41" s="2">
        <f>IFERROR(__xludf.DUMMYFUNCTION("IF(AND(REGEXMATCH(D41, B41), REGEXMATCH(D41, C41)), 1, 0)"),1.0)</f>
        <v>1</v>
      </c>
      <c r="T41" s="2">
        <f t="shared" si="4"/>
        <v>1</v>
      </c>
      <c r="U41" s="2">
        <f t="shared" si="5"/>
        <v>1</v>
      </c>
      <c r="V41" s="2">
        <f t="shared" si="6"/>
        <v>1</v>
      </c>
    </row>
    <row r="42" ht="14.25" customHeight="1">
      <c r="A42" s="2" t="s">
        <v>378</v>
      </c>
      <c r="B42" s="2" t="s">
        <v>30</v>
      </c>
      <c r="C42" s="2" t="s">
        <v>24</v>
      </c>
      <c r="D42" s="8" t="s">
        <v>637</v>
      </c>
      <c r="E42" s="6">
        <v>45160.0</v>
      </c>
      <c r="F42" s="6">
        <v>45197.0</v>
      </c>
      <c r="G42" s="7">
        <v>9.65725164E8</v>
      </c>
      <c r="H42" s="2"/>
      <c r="I42" s="2">
        <f t="shared" ref="I42:P42" si="45">IF(ISBLANK(A42)=TRUE,0,1)</f>
        <v>1</v>
      </c>
      <c r="J42" s="2">
        <f t="shared" si="45"/>
        <v>1</v>
      </c>
      <c r="K42" s="2">
        <f t="shared" si="45"/>
        <v>1</v>
      </c>
      <c r="L42" s="2">
        <f t="shared" si="45"/>
        <v>1</v>
      </c>
      <c r="M42" s="2">
        <f t="shared" si="45"/>
        <v>1</v>
      </c>
      <c r="N42" s="2">
        <f t="shared" si="45"/>
        <v>1</v>
      </c>
      <c r="O42" s="2">
        <f t="shared" si="45"/>
        <v>1</v>
      </c>
      <c r="P42" s="2">
        <f t="shared" si="45"/>
        <v>0</v>
      </c>
      <c r="Q42" s="2">
        <f t="shared" si="3"/>
        <v>1</v>
      </c>
      <c r="R42" s="2">
        <f>IF(ISERROR(VLOOKUP(A42, 'Project Reference'!A:A, 1, FALSE)), 0, 1)</f>
        <v>1</v>
      </c>
      <c r="S42" s="2">
        <f>IFERROR(__xludf.DUMMYFUNCTION("IF(AND(REGEXMATCH(D42, B42), REGEXMATCH(D42, C42)), 1, 0)"),1.0)</f>
        <v>1</v>
      </c>
      <c r="T42" s="2">
        <f t="shared" si="4"/>
        <v>1</v>
      </c>
      <c r="U42" s="2">
        <f t="shared" si="5"/>
        <v>1</v>
      </c>
      <c r="V42" s="2">
        <f t="shared" si="6"/>
        <v>1</v>
      </c>
    </row>
    <row r="43" ht="14.25" customHeight="1">
      <c r="A43" s="2" t="s">
        <v>382</v>
      </c>
      <c r="B43" s="2" t="s">
        <v>35</v>
      </c>
      <c r="C43" s="2" t="s">
        <v>48</v>
      </c>
      <c r="D43" s="2" t="s">
        <v>49</v>
      </c>
      <c r="E43" s="6">
        <v>45162.0</v>
      </c>
      <c r="F43" s="6">
        <v>45254.0</v>
      </c>
      <c r="G43" s="7">
        <v>5.57418865E8</v>
      </c>
      <c r="H43" s="2"/>
      <c r="I43" s="2">
        <f t="shared" ref="I43:P43" si="46">IF(ISBLANK(A43)=TRUE,0,1)</f>
        <v>1</v>
      </c>
      <c r="J43" s="2">
        <f t="shared" si="46"/>
        <v>1</v>
      </c>
      <c r="K43" s="2">
        <f t="shared" si="46"/>
        <v>1</v>
      </c>
      <c r="L43" s="2">
        <f t="shared" si="46"/>
        <v>1</v>
      </c>
      <c r="M43" s="2">
        <f t="shared" si="46"/>
        <v>1</v>
      </c>
      <c r="N43" s="2">
        <f t="shared" si="46"/>
        <v>1</v>
      </c>
      <c r="O43" s="2">
        <f t="shared" si="46"/>
        <v>1</v>
      </c>
      <c r="P43" s="2">
        <f t="shared" si="46"/>
        <v>0</v>
      </c>
      <c r="Q43" s="2">
        <f t="shared" si="3"/>
        <v>1</v>
      </c>
      <c r="R43" s="2">
        <f>IF(ISERROR(VLOOKUP(A43, 'Project Reference'!A:A, 1, FALSE)), 0, 1)</f>
        <v>1</v>
      </c>
      <c r="S43" s="2">
        <f>IFERROR(__xludf.DUMMYFUNCTION("IF(AND(REGEXMATCH(D43, B43), REGEXMATCH(D43, C43)), 1, 0)"),1.0)</f>
        <v>1</v>
      </c>
      <c r="T43" s="2">
        <f t="shared" si="4"/>
        <v>1</v>
      </c>
      <c r="U43" s="2">
        <f t="shared" si="5"/>
        <v>1</v>
      </c>
      <c r="V43" s="2">
        <f t="shared" si="6"/>
        <v>1</v>
      </c>
    </row>
    <row r="44" ht="14.25" customHeight="1">
      <c r="A44" s="2" t="s">
        <v>388</v>
      </c>
      <c r="B44" s="2" t="s">
        <v>18</v>
      </c>
      <c r="C44" s="2" t="s">
        <v>13</v>
      </c>
      <c r="D44" s="8" t="s">
        <v>580</v>
      </c>
      <c r="E44" s="6">
        <v>45168.0</v>
      </c>
      <c r="F44" s="6">
        <v>45530.0</v>
      </c>
      <c r="G44" s="7">
        <v>9.891638971E9</v>
      </c>
      <c r="H44" s="2"/>
      <c r="I44" s="2">
        <f t="shared" ref="I44:P44" si="47">IF(ISBLANK(A44)=TRUE,0,1)</f>
        <v>1</v>
      </c>
      <c r="J44" s="2">
        <f t="shared" si="47"/>
        <v>1</v>
      </c>
      <c r="K44" s="2">
        <f t="shared" si="47"/>
        <v>1</v>
      </c>
      <c r="L44" s="2">
        <f t="shared" si="47"/>
        <v>1</v>
      </c>
      <c r="M44" s="2">
        <f t="shared" si="47"/>
        <v>1</v>
      </c>
      <c r="N44" s="2">
        <f t="shared" si="47"/>
        <v>1</v>
      </c>
      <c r="O44" s="2">
        <f t="shared" si="47"/>
        <v>1</v>
      </c>
      <c r="P44" s="2">
        <f t="shared" si="47"/>
        <v>0</v>
      </c>
      <c r="Q44" s="2">
        <f t="shared" si="3"/>
        <v>1</v>
      </c>
      <c r="R44" s="2">
        <f>IF(ISERROR(VLOOKUP(A44, 'Project Reference'!A:A, 1, FALSE)), 0, 1)</f>
        <v>1</v>
      </c>
      <c r="S44" s="2">
        <f>IFERROR(__xludf.DUMMYFUNCTION("IF(AND(REGEXMATCH(D44, B44), REGEXMATCH(D44, C44)), 1, 0)"),1.0)</f>
        <v>1</v>
      </c>
      <c r="T44" s="2">
        <f t="shared" si="4"/>
        <v>1</v>
      </c>
      <c r="U44" s="2">
        <f t="shared" si="5"/>
        <v>1</v>
      </c>
      <c r="V44" s="2">
        <f t="shared" si="6"/>
        <v>1</v>
      </c>
    </row>
    <row r="45" ht="14.25" customHeight="1">
      <c r="A45" s="2" t="s">
        <v>396</v>
      </c>
      <c r="B45" s="2" t="s">
        <v>60</v>
      </c>
      <c r="C45" s="2" t="s">
        <v>36</v>
      </c>
      <c r="D45" s="8" t="s">
        <v>628</v>
      </c>
      <c r="E45" s="6">
        <v>45175.0</v>
      </c>
      <c r="F45" s="6">
        <v>45316.0</v>
      </c>
      <c r="G45" s="7">
        <v>2.081376801E9</v>
      </c>
      <c r="H45" s="2"/>
      <c r="I45" s="2">
        <f t="shared" ref="I45:P45" si="48">IF(ISBLANK(A45)=TRUE,0,1)</f>
        <v>1</v>
      </c>
      <c r="J45" s="2">
        <f t="shared" si="48"/>
        <v>1</v>
      </c>
      <c r="K45" s="2">
        <f t="shared" si="48"/>
        <v>1</v>
      </c>
      <c r="L45" s="2">
        <f t="shared" si="48"/>
        <v>1</v>
      </c>
      <c r="M45" s="2">
        <f t="shared" si="48"/>
        <v>1</v>
      </c>
      <c r="N45" s="2">
        <f t="shared" si="48"/>
        <v>1</v>
      </c>
      <c r="O45" s="2">
        <f t="shared" si="48"/>
        <v>1</v>
      </c>
      <c r="P45" s="2">
        <f t="shared" si="48"/>
        <v>0</v>
      </c>
      <c r="Q45" s="2">
        <f t="shared" si="3"/>
        <v>1</v>
      </c>
      <c r="R45" s="2">
        <f>IF(ISERROR(VLOOKUP(A45, 'Project Reference'!A:A, 1, FALSE)), 0, 1)</f>
        <v>1</v>
      </c>
      <c r="S45" s="2">
        <f>IFERROR(__xludf.DUMMYFUNCTION("IF(AND(REGEXMATCH(D45, B45), REGEXMATCH(D45, C45)), 1, 0)"),1.0)</f>
        <v>1</v>
      </c>
      <c r="T45" s="2">
        <f t="shared" si="4"/>
        <v>1</v>
      </c>
      <c r="U45" s="2">
        <f t="shared" si="5"/>
        <v>1</v>
      </c>
      <c r="V45" s="2">
        <f t="shared" si="6"/>
        <v>1</v>
      </c>
    </row>
    <row r="46" ht="14.25" customHeight="1">
      <c r="A46" s="2" t="s">
        <v>403</v>
      </c>
      <c r="B46" s="2" t="s">
        <v>18</v>
      </c>
      <c r="C46" s="2" t="s">
        <v>31</v>
      </c>
      <c r="D46" s="8" t="s">
        <v>636</v>
      </c>
      <c r="E46" s="6">
        <v>45180.0</v>
      </c>
      <c r="F46" s="6">
        <v>45270.0</v>
      </c>
      <c r="G46" s="7">
        <v>6.721798052E9</v>
      </c>
      <c r="H46" s="2"/>
      <c r="I46" s="2">
        <f t="shared" ref="I46:P46" si="49">IF(ISBLANK(A46)=TRUE,0,1)</f>
        <v>1</v>
      </c>
      <c r="J46" s="2">
        <f t="shared" si="49"/>
        <v>1</v>
      </c>
      <c r="K46" s="2">
        <f t="shared" si="49"/>
        <v>1</v>
      </c>
      <c r="L46" s="2">
        <f t="shared" si="49"/>
        <v>1</v>
      </c>
      <c r="M46" s="2">
        <f t="shared" si="49"/>
        <v>1</v>
      </c>
      <c r="N46" s="2">
        <f t="shared" si="49"/>
        <v>1</v>
      </c>
      <c r="O46" s="2">
        <f t="shared" si="49"/>
        <v>1</v>
      </c>
      <c r="P46" s="2">
        <f t="shared" si="49"/>
        <v>0</v>
      </c>
      <c r="Q46" s="2">
        <f t="shared" si="3"/>
        <v>1</v>
      </c>
      <c r="R46" s="2">
        <f>IF(ISERROR(VLOOKUP(A46, 'Project Reference'!A:A, 1, FALSE)), 0, 1)</f>
        <v>1</v>
      </c>
      <c r="S46" s="2">
        <f>IFERROR(__xludf.DUMMYFUNCTION("IF(AND(REGEXMATCH(D46, B46), REGEXMATCH(D46, C46)), 1, 0)"),1.0)</f>
        <v>1</v>
      </c>
      <c r="T46" s="2">
        <f t="shared" si="4"/>
        <v>1</v>
      </c>
      <c r="U46" s="2">
        <f t="shared" si="5"/>
        <v>1</v>
      </c>
      <c r="V46" s="2">
        <f t="shared" si="6"/>
        <v>1</v>
      </c>
    </row>
    <row r="47" ht="14.25" customHeight="1">
      <c r="A47" s="2" t="s">
        <v>430</v>
      </c>
      <c r="B47" s="2" t="s">
        <v>18</v>
      </c>
      <c r="C47" s="2" t="s">
        <v>13</v>
      </c>
      <c r="D47" s="8" t="s">
        <v>580</v>
      </c>
      <c r="E47" s="6">
        <v>45202.0</v>
      </c>
      <c r="F47" s="6">
        <v>45474.0</v>
      </c>
      <c r="G47" s="7">
        <v>1.125747425E9</v>
      </c>
      <c r="H47" s="2"/>
      <c r="I47" s="2">
        <f t="shared" ref="I47:P47" si="50">IF(ISBLANK(A47)=TRUE,0,1)</f>
        <v>1</v>
      </c>
      <c r="J47" s="2">
        <f t="shared" si="50"/>
        <v>1</v>
      </c>
      <c r="K47" s="2">
        <f t="shared" si="50"/>
        <v>1</v>
      </c>
      <c r="L47" s="2">
        <f t="shared" si="50"/>
        <v>1</v>
      </c>
      <c r="M47" s="2">
        <f t="shared" si="50"/>
        <v>1</v>
      </c>
      <c r="N47" s="2">
        <f t="shared" si="50"/>
        <v>1</v>
      </c>
      <c r="O47" s="2">
        <f t="shared" si="50"/>
        <v>1</v>
      </c>
      <c r="P47" s="2">
        <f t="shared" si="50"/>
        <v>0</v>
      </c>
      <c r="Q47" s="2">
        <f t="shared" si="3"/>
        <v>1</v>
      </c>
      <c r="R47" s="2">
        <f>IF(ISERROR(VLOOKUP(A47, 'Project Reference'!A:A, 1, FALSE)), 0, 1)</f>
        <v>1</v>
      </c>
      <c r="S47" s="2">
        <f>IFERROR(__xludf.DUMMYFUNCTION("IF(AND(REGEXMATCH(D47, B47), REGEXMATCH(D47, C47)), 1, 0)"),1.0)</f>
        <v>1</v>
      </c>
      <c r="T47" s="2">
        <f t="shared" si="4"/>
        <v>1</v>
      </c>
      <c r="U47" s="2">
        <f t="shared" si="5"/>
        <v>1</v>
      </c>
      <c r="V47" s="2">
        <f t="shared" si="6"/>
        <v>1</v>
      </c>
    </row>
    <row r="48" ht="14.25" customHeight="1">
      <c r="A48" s="2" t="s">
        <v>436</v>
      </c>
      <c r="B48" s="2" t="s">
        <v>18</v>
      </c>
      <c r="C48" s="2" t="s">
        <v>48</v>
      </c>
      <c r="D48" s="8" t="s">
        <v>629</v>
      </c>
      <c r="E48" s="6">
        <v>45205.0</v>
      </c>
      <c r="F48" s="6">
        <v>45463.0</v>
      </c>
      <c r="G48" s="7">
        <v>2.556364237E9</v>
      </c>
      <c r="H48" s="2"/>
      <c r="I48" s="2">
        <f t="shared" ref="I48:P48" si="51">IF(ISBLANK(A48)=TRUE,0,1)</f>
        <v>1</v>
      </c>
      <c r="J48" s="2">
        <f t="shared" si="51"/>
        <v>1</v>
      </c>
      <c r="K48" s="2">
        <f t="shared" si="51"/>
        <v>1</v>
      </c>
      <c r="L48" s="2">
        <f t="shared" si="51"/>
        <v>1</v>
      </c>
      <c r="M48" s="2">
        <f t="shared" si="51"/>
        <v>1</v>
      </c>
      <c r="N48" s="2">
        <f t="shared" si="51"/>
        <v>1</v>
      </c>
      <c r="O48" s="2">
        <f t="shared" si="51"/>
        <v>1</v>
      </c>
      <c r="P48" s="2">
        <f t="shared" si="51"/>
        <v>0</v>
      </c>
      <c r="Q48" s="2">
        <f t="shared" si="3"/>
        <v>1</v>
      </c>
      <c r="R48" s="2">
        <f>IF(ISERROR(VLOOKUP(A48, 'Project Reference'!A:A, 1, FALSE)), 0, 1)</f>
        <v>1</v>
      </c>
      <c r="S48" s="2">
        <f>IFERROR(__xludf.DUMMYFUNCTION("IF(AND(REGEXMATCH(D48, B48), REGEXMATCH(D48, C48)), 1, 0)"),1.0)</f>
        <v>1</v>
      </c>
      <c r="T48" s="2">
        <f t="shared" si="4"/>
        <v>1</v>
      </c>
      <c r="U48" s="2">
        <f t="shared" si="5"/>
        <v>1</v>
      </c>
      <c r="V48" s="2">
        <f t="shared" si="6"/>
        <v>1</v>
      </c>
    </row>
    <row r="49" ht="14.25" customHeight="1">
      <c r="A49" s="2" t="s">
        <v>438</v>
      </c>
      <c r="B49" s="2" t="s">
        <v>30</v>
      </c>
      <c r="C49" s="2" t="s">
        <v>39</v>
      </c>
      <c r="D49" s="8" t="s">
        <v>638</v>
      </c>
      <c r="E49" s="6">
        <v>45205.0</v>
      </c>
      <c r="F49" s="6">
        <v>45503.0</v>
      </c>
      <c r="G49" s="7">
        <v>3.882607118E9</v>
      </c>
      <c r="H49" s="2"/>
      <c r="I49" s="2">
        <f t="shared" ref="I49:P49" si="52">IF(ISBLANK(A49)=TRUE,0,1)</f>
        <v>1</v>
      </c>
      <c r="J49" s="2">
        <f t="shared" si="52"/>
        <v>1</v>
      </c>
      <c r="K49" s="2">
        <f t="shared" si="52"/>
        <v>1</v>
      </c>
      <c r="L49" s="2">
        <f t="shared" si="52"/>
        <v>1</v>
      </c>
      <c r="M49" s="2">
        <f t="shared" si="52"/>
        <v>1</v>
      </c>
      <c r="N49" s="2">
        <f t="shared" si="52"/>
        <v>1</v>
      </c>
      <c r="O49" s="2">
        <f t="shared" si="52"/>
        <v>1</v>
      </c>
      <c r="P49" s="2">
        <f t="shared" si="52"/>
        <v>0</v>
      </c>
      <c r="Q49" s="2">
        <f t="shared" si="3"/>
        <v>1</v>
      </c>
      <c r="R49" s="2">
        <f>IF(ISERROR(VLOOKUP(A49, 'Project Reference'!A:A, 1, FALSE)), 0, 1)</f>
        <v>1</v>
      </c>
      <c r="S49" s="2">
        <f>IFERROR(__xludf.DUMMYFUNCTION("IF(AND(REGEXMATCH(D49, B49), REGEXMATCH(D49, C49)), 1, 0)"),1.0)</f>
        <v>1</v>
      </c>
      <c r="T49" s="2">
        <f t="shared" si="4"/>
        <v>1</v>
      </c>
      <c r="U49" s="2">
        <f t="shared" si="5"/>
        <v>1</v>
      </c>
      <c r="V49" s="2">
        <f t="shared" si="6"/>
        <v>1</v>
      </c>
    </row>
    <row r="50" ht="14.25" customHeight="1">
      <c r="A50" s="2" t="s">
        <v>448</v>
      </c>
      <c r="B50" s="2" t="s">
        <v>30</v>
      </c>
      <c r="C50" s="2" t="s">
        <v>13</v>
      </c>
      <c r="D50" s="8" t="s">
        <v>630</v>
      </c>
      <c r="E50" s="6">
        <v>45211.0</v>
      </c>
      <c r="F50" s="6">
        <v>45297.0</v>
      </c>
      <c r="G50" s="7">
        <v>1.204572808E9</v>
      </c>
      <c r="H50" s="2"/>
      <c r="I50" s="2">
        <f t="shared" ref="I50:P50" si="53">IF(ISBLANK(A50)=TRUE,0,1)</f>
        <v>1</v>
      </c>
      <c r="J50" s="2">
        <f t="shared" si="53"/>
        <v>1</v>
      </c>
      <c r="K50" s="2">
        <f t="shared" si="53"/>
        <v>1</v>
      </c>
      <c r="L50" s="2">
        <f t="shared" si="53"/>
        <v>1</v>
      </c>
      <c r="M50" s="2">
        <f t="shared" si="53"/>
        <v>1</v>
      </c>
      <c r="N50" s="2">
        <f t="shared" si="53"/>
        <v>1</v>
      </c>
      <c r="O50" s="2">
        <f t="shared" si="53"/>
        <v>1</v>
      </c>
      <c r="P50" s="2">
        <f t="shared" si="53"/>
        <v>0</v>
      </c>
      <c r="Q50" s="2">
        <f t="shared" si="3"/>
        <v>1</v>
      </c>
      <c r="R50" s="2">
        <f>IF(ISERROR(VLOOKUP(A50, 'Project Reference'!A:A, 1, FALSE)), 0, 1)</f>
        <v>1</v>
      </c>
      <c r="S50" s="2">
        <f>IFERROR(__xludf.DUMMYFUNCTION("IF(AND(REGEXMATCH(D50, B50), REGEXMATCH(D50, C50)), 1, 0)"),1.0)</f>
        <v>1</v>
      </c>
      <c r="T50" s="2">
        <f t="shared" si="4"/>
        <v>1</v>
      </c>
      <c r="U50" s="2">
        <f t="shared" si="5"/>
        <v>1</v>
      </c>
      <c r="V50" s="2">
        <f t="shared" si="6"/>
        <v>1</v>
      </c>
    </row>
    <row r="51" ht="14.25" customHeight="1">
      <c r="A51" s="2" t="s">
        <v>450</v>
      </c>
      <c r="B51" s="2" t="s">
        <v>18</v>
      </c>
      <c r="C51" s="2" t="s">
        <v>39</v>
      </c>
      <c r="D51" s="8" t="s">
        <v>577</v>
      </c>
      <c r="E51" s="6">
        <v>45214.0</v>
      </c>
      <c r="F51" s="6">
        <v>45410.0</v>
      </c>
      <c r="G51" s="7">
        <v>5.167811974E9</v>
      </c>
      <c r="H51" s="2"/>
      <c r="I51" s="2">
        <f t="shared" ref="I51:P51" si="54">IF(ISBLANK(A51)=TRUE,0,1)</f>
        <v>1</v>
      </c>
      <c r="J51" s="2">
        <f t="shared" si="54"/>
        <v>1</v>
      </c>
      <c r="K51" s="2">
        <f t="shared" si="54"/>
        <v>1</v>
      </c>
      <c r="L51" s="2">
        <f t="shared" si="54"/>
        <v>1</v>
      </c>
      <c r="M51" s="2">
        <f t="shared" si="54"/>
        <v>1</v>
      </c>
      <c r="N51" s="2">
        <f t="shared" si="54"/>
        <v>1</v>
      </c>
      <c r="O51" s="2">
        <f t="shared" si="54"/>
        <v>1</v>
      </c>
      <c r="P51" s="2">
        <f t="shared" si="54"/>
        <v>0</v>
      </c>
      <c r="Q51" s="2">
        <f t="shared" si="3"/>
        <v>1</v>
      </c>
      <c r="R51" s="2">
        <f>IF(ISERROR(VLOOKUP(A51, 'Project Reference'!A:A, 1, FALSE)), 0, 1)</f>
        <v>1</v>
      </c>
      <c r="S51" s="2">
        <f>IFERROR(__xludf.DUMMYFUNCTION("IF(AND(REGEXMATCH(D51, B51), REGEXMATCH(D51, C51)), 1, 0)"),1.0)</f>
        <v>1</v>
      </c>
      <c r="T51" s="2">
        <f t="shared" si="4"/>
        <v>1</v>
      </c>
      <c r="U51" s="2">
        <f t="shared" si="5"/>
        <v>1</v>
      </c>
      <c r="V51" s="2">
        <f t="shared" si="6"/>
        <v>1</v>
      </c>
    </row>
    <row r="52" ht="14.25" customHeight="1">
      <c r="A52" s="2" t="s">
        <v>457</v>
      </c>
      <c r="B52" s="2" t="s">
        <v>35</v>
      </c>
      <c r="C52" s="2" t="s">
        <v>19</v>
      </c>
      <c r="D52" s="2" t="s">
        <v>97</v>
      </c>
      <c r="E52" s="6">
        <v>45223.0</v>
      </c>
      <c r="F52" s="6">
        <v>45586.0</v>
      </c>
      <c r="G52" s="7">
        <v>5.82067969E8</v>
      </c>
      <c r="H52" s="2"/>
      <c r="I52" s="2">
        <f t="shared" ref="I52:P52" si="55">IF(ISBLANK(A52)=TRUE,0,1)</f>
        <v>1</v>
      </c>
      <c r="J52" s="2">
        <f t="shared" si="55"/>
        <v>1</v>
      </c>
      <c r="K52" s="2">
        <f t="shared" si="55"/>
        <v>1</v>
      </c>
      <c r="L52" s="2">
        <f t="shared" si="55"/>
        <v>1</v>
      </c>
      <c r="M52" s="2">
        <f t="shared" si="55"/>
        <v>1</v>
      </c>
      <c r="N52" s="2">
        <f t="shared" si="55"/>
        <v>1</v>
      </c>
      <c r="O52" s="2">
        <f t="shared" si="55"/>
        <v>1</v>
      </c>
      <c r="P52" s="2">
        <f t="shared" si="55"/>
        <v>0</v>
      </c>
      <c r="Q52" s="2">
        <f t="shared" si="3"/>
        <v>1</v>
      </c>
      <c r="R52" s="2">
        <f>IF(ISERROR(VLOOKUP(A52, 'Project Reference'!A:A, 1, FALSE)), 0, 1)</f>
        <v>1</v>
      </c>
      <c r="S52" s="2">
        <f>IFERROR(__xludf.DUMMYFUNCTION("IF(AND(REGEXMATCH(D52, B52), REGEXMATCH(D52, C52)), 1, 0)"),1.0)</f>
        <v>1</v>
      </c>
      <c r="T52" s="2">
        <f t="shared" si="4"/>
        <v>1</v>
      </c>
      <c r="U52" s="2">
        <f t="shared" si="5"/>
        <v>1</v>
      </c>
      <c r="V52" s="2">
        <f t="shared" si="6"/>
        <v>1</v>
      </c>
    </row>
    <row r="53" ht="14.25" customHeight="1">
      <c r="A53" s="2" t="s">
        <v>464</v>
      </c>
      <c r="B53" s="2" t="s">
        <v>12</v>
      </c>
      <c r="C53" s="2" t="s">
        <v>42</v>
      </c>
      <c r="D53" s="8" t="s">
        <v>603</v>
      </c>
      <c r="E53" s="6">
        <v>45228.0</v>
      </c>
      <c r="F53" s="6">
        <v>45583.0</v>
      </c>
      <c r="G53" s="7">
        <v>2.42272002E8</v>
      </c>
      <c r="H53" s="2"/>
      <c r="I53" s="2">
        <f t="shared" ref="I53:P53" si="56">IF(ISBLANK(A53)=TRUE,0,1)</f>
        <v>1</v>
      </c>
      <c r="J53" s="2">
        <f t="shared" si="56"/>
        <v>1</v>
      </c>
      <c r="K53" s="2">
        <f t="shared" si="56"/>
        <v>1</v>
      </c>
      <c r="L53" s="2">
        <f t="shared" si="56"/>
        <v>1</v>
      </c>
      <c r="M53" s="2">
        <f t="shared" si="56"/>
        <v>1</v>
      </c>
      <c r="N53" s="2">
        <f t="shared" si="56"/>
        <v>1</v>
      </c>
      <c r="O53" s="2">
        <f t="shared" si="56"/>
        <v>1</v>
      </c>
      <c r="P53" s="2">
        <f t="shared" si="56"/>
        <v>0</v>
      </c>
      <c r="Q53" s="2">
        <f t="shared" si="3"/>
        <v>1</v>
      </c>
      <c r="R53" s="2">
        <f>IF(ISERROR(VLOOKUP(A53, 'Project Reference'!A:A, 1, FALSE)), 0, 1)</f>
        <v>1</v>
      </c>
      <c r="S53" s="2">
        <f>IFERROR(__xludf.DUMMYFUNCTION("IF(AND(REGEXMATCH(D53, B53), REGEXMATCH(D53, C53)), 1, 0)"),1.0)</f>
        <v>1</v>
      </c>
      <c r="T53" s="2">
        <f t="shared" si="4"/>
        <v>1</v>
      </c>
      <c r="U53" s="2">
        <f t="shared" si="5"/>
        <v>1</v>
      </c>
      <c r="V53" s="2">
        <f t="shared" si="6"/>
        <v>1</v>
      </c>
    </row>
    <row r="54" ht="14.25" customHeight="1">
      <c r="A54" s="2" t="s">
        <v>466</v>
      </c>
      <c r="B54" s="2" t="s">
        <v>35</v>
      </c>
      <c r="C54" s="2" t="s">
        <v>24</v>
      </c>
      <c r="D54" s="2" t="s">
        <v>133</v>
      </c>
      <c r="E54" s="6">
        <v>45229.0</v>
      </c>
      <c r="F54" s="6">
        <v>45334.0</v>
      </c>
      <c r="G54" s="7">
        <v>3.25400177E8</v>
      </c>
      <c r="H54" s="2"/>
      <c r="I54" s="2">
        <f t="shared" ref="I54:P54" si="57">IF(ISBLANK(A54)=TRUE,0,1)</f>
        <v>1</v>
      </c>
      <c r="J54" s="2">
        <f t="shared" si="57"/>
        <v>1</v>
      </c>
      <c r="K54" s="2">
        <f t="shared" si="57"/>
        <v>1</v>
      </c>
      <c r="L54" s="2">
        <f t="shared" si="57"/>
        <v>1</v>
      </c>
      <c r="M54" s="2">
        <f t="shared" si="57"/>
        <v>1</v>
      </c>
      <c r="N54" s="2">
        <f t="shared" si="57"/>
        <v>1</v>
      </c>
      <c r="O54" s="2">
        <f t="shared" si="57"/>
        <v>1</v>
      </c>
      <c r="P54" s="2">
        <f t="shared" si="57"/>
        <v>0</v>
      </c>
      <c r="Q54" s="2">
        <f t="shared" si="3"/>
        <v>1</v>
      </c>
      <c r="R54" s="2">
        <f>IF(ISERROR(VLOOKUP(A54, 'Project Reference'!A:A, 1, FALSE)), 0, 1)</f>
        <v>1</v>
      </c>
      <c r="S54" s="2">
        <f>IFERROR(__xludf.DUMMYFUNCTION("IF(AND(REGEXMATCH(D54, B54), REGEXMATCH(D54, C54)), 1, 0)"),1.0)</f>
        <v>1</v>
      </c>
      <c r="T54" s="2">
        <f t="shared" si="4"/>
        <v>1</v>
      </c>
      <c r="U54" s="2">
        <f t="shared" si="5"/>
        <v>1</v>
      </c>
      <c r="V54" s="2">
        <f t="shared" si="6"/>
        <v>1</v>
      </c>
    </row>
    <row r="55" ht="14.25" customHeight="1">
      <c r="A55" s="2" t="s">
        <v>470</v>
      </c>
      <c r="B55" s="2" t="s">
        <v>30</v>
      </c>
      <c r="C55" s="2" t="s">
        <v>19</v>
      </c>
      <c r="D55" s="8" t="s">
        <v>624</v>
      </c>
      <c r="E55" s="6">
        <v>45231.0</v>
      </c>
      <c r="F55" s="6">
        <v>45434.0</v>
      </c>
      <c r="G55" s="7">
        <v>4.91363432E9</v>
      </c>
      <c r="H55" s="2"/>
      <c r="I55" s="2">
        <f t="shared" ref="I55:P55" si="58">IF(ISBLANK(A55)=TRUE,0,1)</f>
        <v>1</v>
      </c>
      <c r="J55" s="2">
        <f t="shared" si="58"/>
        <v>1</v>
      </c>
      <c r="K55" s="2">
        <f t="shared" si="58"/>
        <v>1</v>
      </c>
      <c r="L55" s="2">
        <f t="shared" si="58"/>
        <v>1</v>
      </c>
      <c r="M55" s="2">
        <f t="shared" si="58"/>
        <v>1</v>
      </c>
      <c r="N55" s="2">
        <f t="shared" si="58"/>
        <v>1</v>
      </c>
      <c r="O55" s="2">
        <f t="shared" si="58"/>
        <v>1</v>
      </c>
      <c r="P55" s="2">
        <f t="shared" si="58"/>
        <v>0</v>
      </c>
      <c r="Q55" s="2">
        <f t="shared" si="3"/>
        <v>1</v>
      </c>
      <c r="R55" s="2">
        <f>IF(ISERROR(VLOOKUP(A55, 'Project Reference'!A:A, 1, FALSE)), 0, 1)</f>
        <v>1</v>
      </c>
      <c r="S55" s="2">
        <f>IFERROR(__xludf.DUMMYFUNCTION("IF(AND(REGEXMATCH(D55, B55), REGEXMATCH(D55, C55)), 1, 0)"),1.0)</f>
        <v>1</v>
      </c>
      <c r="T55" s="2">
        <f t="shared" si="4"/>
        <v>1</v>
      </c>
      <c r="U55" s="2">
        <f t="shared" si="5"/>
        <v>1</v>
      </c>
      <c r="V55" s="2">
        <f t="shared" si="6"/>
        <v>1</v>
      </c>
    </row>
    <row r="56" ht="14.25" customHeight="1">
      <c r="A56" s="2" t="s">
        <v>480</v>
      </c>
      <c r="B56" s="2" t="s">
        <v>12</v>
      </c>
      <c r="C56" s="2" t="s">
        <v>24</v>
      </c>
      <c r="D56" s="8" t="s">
        <v>610</v>
      </c>
      <c r="E56" s="6">
        <v>45240.0</v>
      </c>
      <c r="F56" s="6">
        <v>45434.0</v>
      </c>
      <c r="G56" s="7">
        <v>5.45725479E8</v>
      </c>
      <c r="H56" s="2"/>
      <c r="I56" s="2">
        <f t="shared" ref="I56:P56" si="59">IF(ISBLANK(A56)=TRUE,0,1)</f>
        <v>1</v>
      </c>
      <c r="J56" s="2">
        <f t="shared" si="59"/>
        <v>1</v>
      </c>
      <c r="K56" s="2">
        <f t="shared" si="59"/>
        <v>1</v>
      </c>
      <c r="L56" s="2">
        <f t="shared" si="59"/>
        <v>1</v>
      </c>
      <c r="M56" s="2">
        <f t="shared" si="59"/>
        <v>1</v>
      </c>
      <c r="N56" s="2">
        <f t="shared" si="59"/>
        <v>1</v>
      </c>
      <c r="O56" s="2">
        <f t="shared" si="59"/>
        <v>1</v>
      </c>
      <c r="P56" s="2">
        <f t="shared" si="59"/>
        <v>0</v>
      </c>
      <c r="Q56" s="2">
        <f t="shared" si="3"/>
        <v>1</v>
      </c>
      <c r="R56" s="2">
        <f>IF(ISERROR(VLOOKUP(A56, 'Project Reference'!A:A, 1, FALSE)), 0, 1)</f>
        <v>1</v>
      </c>
      <c r="S56" s="2">
        <f>IFERROR(__xludf.DUMMYFUNCTION("IF(AND(REGEXMATCH(D56, B56), REGEXMATCH(D56, C56)), 1, 0)"),1.0)</f>
        <v>1</v>
      </c>
      <c r="T56" s="2">
        <f t="shared" si="4"/>
        <v>1</v>
      </c>
      <c r="U56" s="2">
        <f t="shared" si="5"/>
        <v>1</v>
      </c>
      <c r="V56" s="2">
        <f t="shared" si="6"/>
        <v>1</v>
      </c>
    </row>
    <row r="57" ht="14.25" customHeight="1">
      <c r="A57" s="2" t="s">
        <v>481</v>
      </c>
      <c r="B57" s="2" t="s">
        <v>60</v>
      </c>
      <c r="C57" s="2" t="s">
        <v>39</v>
      </c>
      <c r="D57" s="8" t="s">
        <v>626</v>
      </c>
      <c r="E57" s="6">
        <v>45240.0</v>
      </c>
      <c r="F57" s="6">
        <v>45074.0</v>
      </c>
      <c r="G57" s="7">
        <v>4.659030076E9</v>
      </c>
      <c r="H57" s="2"/>
      <c r="I57" s="2">
        <f t="shared" ref="I57:P57" si="60">IF(ISBLANK(A57)=TRUE,0,1)</f>
        <v>1</v>
      </c>
      <c r="J57" s="2">
        <f t="shared" si="60"/>
        <v>1</v>
      </c>
      <c r="K57" s="2">
        <f t="shared" si="60"/>
        <v>1</v>
      </c>
      <c r="L57" s="2">
        <f t="shared" si="60"/>
        <v>1</v>
      </c>
      <c r="M57" s="2">
        <f t="shared" si="60"/>
        <v>1</v>
      </c>
      <c r="N57" s="2">
        <f t="shared" si="60"/>
        <v>1</v>
      </c>
      <c r="O57" s="2">
        <f t="shared" si="60"/>
        <v>1</v>
      </c>
      <c r="P57" s="2">
        <f t="shared" si="60"/>
        <v>0</v>
      </c>
      <c r="Q57" s="2">
        <f t="shared" si="3"/>
        <v>1</v>
      </c>
      <c r="R57" s="2">
        <f>IF(ISERROR(VLOOKUP(A57, 'Project Reference'!A:A, 1, FALSE)), 0, 1)</f>
        <v>1</v>
      </c>
      <c r="S57" s="2">
        <f>IFERROR(__xludf.DUMMYFUNCTION("IF(AND(REGEXMATCH(D57, B57), REGEXMATCH(D57, C57)), 1, 0)"),1.0)</f>
        <v>1</v>
      </c>
      <c r="T57" s="2">
        <f t="shared" si="4"/>
        <v>1</v>
      </c>
      <c r="U57" s="2">
        <f t="shared" si="5"/>
        <v>0</v>
      </c>
      <c r="V57" s="2">
        <f t="shared" si="6"/>
        <v>1</v>
      </c>
    </row>
    <row r="58" ht="14.25" customHeight="1">
      <c r="A58" s="2" t="s">
        <v>482</v>
      </c>
      <c r="B58" s="2" t="s">
        <v>30</v>
      </c>
      <c r="C58" s="2" t="s">
        <v>24</v>
      </c>
      <c r="D58" s="8" t="s">
        <v>637</v>
      </c>
      <c r="E58" s="6">
        <v>45240.0</v>
      </c>
      <c r="F58" s="6">
        <v>45466.0</v>
      </c>
      <c r="G58" s="7">
        <v>2.661560994E9</v>
      </c>
      <c r="H58" s="2"/>
      <c r="I58" s="2">
        <f t="shared" ref="I58:P58" si="61">IF(ISBLANK(A58)=TRUE,0,1)</f>
        <v>1</v>
      </c>
      <c r="J58" s="2">
        <f t="shared" si="61"/>
        <v>1</v>
      </c>
      <c r="K58" s="2">
        <f t="shared" si="61"/>
        <v>1</v>
      </c>
      <c r="L58" s="2">
        <f t="shared" si="61"/>
        <v>1</v>
      </c>
      <c r="M58" s="2">
        <f t="shared" si="61"/>
        <v>1</v>
      </c>
      <c r="N58" s="2">
        <f t="shared" si="61"/>
        <v>1</v>
      </c>
      <c r="O58" s="2">
        <f t="shared" si="61"/>
        <v>1</v>
      </c>
      <c r="P58" s="2">
        <f t="shared" si="61"/>
        <v>0</v>
      </c>
      <c r="Q58" s="2">
        <f t="shared" si="3"/>
        <v>1</v>
      </c>
      <c r="R58" s="2">
        <f>IF(ISERROR(VLOOKUP(A58, 'Project Reference'!A:A, 1, FALSE)), 0, 1)</f>
        <v>1</v>
      </c>
      <c r="S58" s="2">
        <f>IFERROR(__xludf.DUMMYFUNCTION("IF(AND(REGEXMATCH(D58, B58), REGEXMATCH(D58, C58)), 1, 0)"),1.0)</f>
        <v>1</v>
      </c>
      <c r="T58" s="2">
        <f t="shared" si="4"/>
        <v>1</v>
      </c>
      <c r="U58" s="2">
        <f t="shared" si="5"/>
        <v>1</v>
      </c>
      <c r="V58" s="2">
        <f t="shared" si="6"/>
        <v>1</v>
      </c>
    </row>
    <row r="59" ht="14.25" customHeight="1">
      <c r="A59" s="2" t="s">
        <v>492</v>
      </c>
      <c r="B59" s="2" t="s">
        <v>30</v>
      </c>
      <c r="C59" s="2" t="s">
        <v>31</v>
      </c>
      <c r="D59" s="8" t="s">
        <v>585</v>
      </c>
      <c r="E59" s="6">
        <v>45245.0</v>
      </c>
      <c r="F59" s="6">
        <v>45532.0</v>
      </c>
      <c r="G59" s="7">
        <v>1.941923313E9</v>
      </c>
      <c r="H59" s="2"/>
      <c r="I59" s="2">
        <f t="shared" ref="I59:P59" si="62">IF(ISBLANK(A59)=TRUE,0,1)</f>
        <v>1</v>
      </c>
      <c r="J59" s="2">
        <f t="shared" si="62"/>
        <v>1</v>
      </c>
      <c r="K59" s="2">
        <f t="shared" si="62"/>
        <v>1</v>
      </c>
      <c r="L59" s="2">
        <f t="shared" si="62"/>
        <v>1</v>
      </c>
      <c r="M59" s="2">
        <f t="shared" si="62"/>
        <v>1</v>
      </c>
      <c r="N59" s="2">
        <f t="shared" si="62"/>
        <v>1</v>
      </c>
      <c r="O59" s="2">
        <f t="shared" si="62"/>
        <v>1</v>
      </c>
      <c r="P59" s="2">
        <f t="shared" si="62"/>
        <v>0</v>
      </c>
      <c r="Q59" s="2">
        <f t="shared" si="3"/>
        <v>1</v>
      </c>
      <c r="R59" s="2">
        <f>IF(ISERROR(VLOOKUP(A59, 'Project Reference'!A:A, 1, FALSE)), 0, 1)</f>
        <v>1</v>
      </c>
      <c r="S59" s="2">
        <f>IFERROR(__xludf.DUMMYFUNCTION("IF(AND(REGEXMATCH(D59, B59), REGEXMATCH(D59, C59)), 1, 0)"),1.0)</f>
        <v>1</v>
      </c>
      <c r="T59" s="2">
        <f t="shared" si="4"/>
        <v>1</v>
      </c>
      <c r="U59" s="2">
        <f t="shared" si="5"/>
        <v>1</v>
      </c>
      <c r="V59" s="2">
        <f t="shared" si="6"/>
        <v>1</v>
      </c>
    </row>
    <row r="60" ht="14.25" customHeight="1">
      <c r="A60" s="2" t="s">
        <v>493</v>
      </c>
      <c r="B60" s="2" t="s">
        <v>30</v>
      </c>
      <c r="C60" s="2" t="s">
        <v>48</v>
      </c>
      <c r="D60" s="8" t="s">
        <v>615</v>
      </c>
      <c r="E60" s="6">
        <v>45245.0</v>
      </c>
      <c r="F60" s="6">
        <v>45333.0</v>
      </c>
      <c r="G60" s="7">
        <v>1.897092669E9</v>
      </c>
      <c r="H60" s="2"/>
      <c r="I60" s="2">
        <f t="shared" ref="I60:P60" si="63">IF(ISBLANK(A60)=TRUE,0,1)</f>
        <v>1</v>
      </c>
      <c r="J60" s="2">
        <f t="shared" si="63"/>
        <v>1</v>
      </c>
      <c r="K60" s="2">
        <f t="shared" si="63"/>
        <v>1</v>
      </c>
      <c r="L60" s="2">
        <f t="shared" si="63"/>
        <v>1</v>
      </c>
      <c r="M60" s="2">
        <f t="shared" si="63"/>
        <v>1</v>
      </c>
      <c r="N60" s="2">
        <f t="shared" si="63"/>
        <v>1</v>
      </c>
      <c r="O60" s="2">
        <f t="shared" si="63"/>
        <v>1</v>
      </c>
      <c r="P60" s="2">
        <f t="shared" si="63"/>
        <v>0</v>
      </c>
      <c r="Q60" s="2">
        <f t="shared" si="3"/>
        <v>1</v>
      </c>
      <c r="R60" s="2">
        <f>IF(ISERROR(VLOOKUP(A60, 'Project Reference'!A:A, 1, FALSE)), 0, 1)</f>
        <v>1</v>
      </c>
      <c r="S60" s="2">
        <f>IFERROR(__xludf.DUMMYFUNCTION("IF(AND(REGEXMATCH(D60, B60), REGEXMATCH(D60, C60)), 1, 0)"),1.0)</f>
        <v>1</v>
      </c>
      <c r="T60" s="2">
        <f t="shared" si="4"/>
        <v>1</v>
      </c>
      <c r="U60" s="2">
        <f t="shared" si="5"/>
        <v>1</v>
      </c>
      <c r="V60" s="2">
        <f t="shared" si="6"/>
        <v>1</v>
      </c>
    </row>
    <row r="61" ht="14.25" customHeight="1">
      <c r="A61" s="2" t="s">
        <v>494</v>
      </c>
      <c r="B61" s="2" t="s">
        <v>60</v>
      </c>
      <c r="C61" s="2" t="s">
        <v>39</v>
      </c>
      <c r="D61" s="8" t="s">
        <v>626</v>
      </c>
      <c r="E61" s="6">
        <v>45245.0</v>
      </c>
      <c r="F61" s="6">
        <v>45348.0</v>
      </c>
      <c r="G61" s="7">
        <v>2.304818789E9</v>
      </c>
      <c r="H61" s="2"/>
      <c r="I61" s="2">
        <f t="shared" ref="I61:P61" si="64">IF(ISBLANK(A61)=TRUE,0,1)</f>
        <v>1</v>
      </c>
      <c r="J61" s="2">
        <f t="shared" si="64"/>
        <v>1</v>
      </c>
      <c r="K61" s="2">
        <f t="shared" si="64"/>
        <v>1</v>
      </c>
      <c r="L61" s="2">
        <f t="shared" si="64"/>
        <v>1</v>
      </c>
      <c r="M61" s="2">
        <f t="shared" si="64"/>
        <v>1</v>
      </c>
      <c r="N61" s="2">
        <f t="shared" si="64"/>
        <v>1</v>
      </c>
      <c r="O61" s="2">
        <f t="shared" si="64"/>
        <v>1</v>
      </c>
      <c r="P61" s="2">
        <f t="shared" si="64"/>
        <v>0</v>
      </c>
      <c r="Q61" s="2">
        <f t="shared" si="3"/>
        <v>1</v>
      </c>
      <c r="R61" s="2">
        <f>IF(ISERROR(VLOOKUP(A61, 'Project Reference'!A:A, 1, FALSE)), 0, 1)</f>
        <v>1</v>
      </c>
      <c r="S61" s="2">
        <f>IFERROR(__xludf.DUMMYFUNCTION("IF(AND(REGEXMATCH(D61, B61), REGEXMATCH(D61, C61)), 1, 0)"),1.0)</f>
        <v>1</v>
      </c>
      <c r="T61" s="2">
        <f t="shared" si="4"/>
        <v>1</v>
      </c>
      <c r="U61" s="2">
        <f t="shared" si="5"/>
        <v>1</v>
      </c>
      <c r="V61" s="2">
        <f t="shared" si="6"/>
        <v>1</v>
      </c>
    </row>
    <row r="62" ht="14.25" customHeight="1">
      <c r="A62" s="2" t="s">
        <v>506</v>
      </c>
      <c r="B62" s="2" t="s">
        <v>18</v>
      </c>
      <c r="C62" s="2" t="s">
        <v>48</v>
      </c>
      <c r="D62" s="8" t="s">
        <v>629</v>
      </c>
      <c r="E62" s="6">
        <v>45253.0</v>
      </c>
      <c r="F62" s="6">
        <v>45512.0</v>
      </c>
      <c r="G62" s="7">
        <v>4.458001292E9</v>
      </c>
      <c r="H62" s="2"/>
      <c r="I62" s="2">
        <f t="shared" ref="I62:P62" si="65">IF(ISBLANK(A62)=TRUE,0,1)</f>
        <v>1</v>
      </c>
      <c r="J62" s="2">
        <f t="shared" si="65"/>
        <v>1</v>
      </c>
      <c r="K62" s="2">
        <f t="shared" si="65"/>
        <v>1</v>
      </c>
      <c r="L62" s="2">
        <f t="shared" si="65"/>
        <v>1</v>
      </c>
      <c r="M62" s="2">
        <f t="shared" si="65"/>
        <v>1</v>
      </c>
      <c r="N62" s="2">
        <f t="shared" si="65"/>
        <v>1</v>
      </c>
      <c r="O62" s="2">
        <f t="shared" si="65"/>
        <v>1</v>
      </c>
      <c r="P62" s="2">
        <f t="shared" si="65"/>
        <v>0</v>
      </c>
      <c r="Q62" s="2">
        <f t="shared" si="3"/>
        <v>1</v>
      </c>
      <c r="R62" s="2">
        <f>IF(ISERROR(VLOOKUP(A62, 'Project Reference'!A:A, 1, FALSE)), 0, 1)</f>
        <v>1</v>
      </c>
      <c r="S62" s="2">
        <f>IFERROR(__xludf.DUMMYFUNCTION("IF(AND(REGEXMATCH(D62, B62), REGEXMATCH(D62, C62)), 1, 0)"),1.0)</f>
        <v>1</v>
      </c>
      <c r="T62" s="2">
        <f t="shared" si="4"/>
        <v>1</v>
      </c>
      <c r="U62" s="2">
        <f t="shared" si="5"/>
        <v>1</v>
      </c>
      <c r="V62" s="2">
        <f t="shared" si="6"/>
        <v>1</v>
      </c>
    </row>
    <row r="63" ht="14.25" customHeight="1">
      <c r="A63" s="2" t="s">
        <v>507</v>
      </c>
      <c r="B63" s="2" t="s">
        <v>30</v>
      </c>
      <c r="C63" s="2" t="s">
        <v>19</v>
      </c>
      <c r="D63" s="8" t="s">
        <v>624</v>
      </c>
      <c r="E63" s="6">
        <v>45254.0</v>
      </c>
      <c r="F63" s="6">
        <v>45331.0</v>
      </c>
      <c r="G63" s="7">
        <v>6.553637483E9</v>
      </c>
      <c r="H63" s="2"/>
      <c r="I63" s="2">
        <f t="shared" ref="I63:P63" si="66">IF(ISBLANK(A63)=TRUE,0,1)</f>
        <v>1</v>
      </c>
      <c r="J63" s="2">
        <f t="shared" si="66"/>
        <v>1</v>
      </c>
      <c r="K63" s="2">
        <f t="shared" si="66"/>
        <v>1</v>
      </c>
      <c r="L63" s="2">
        <f t="shared" si="66"/>
        <v>1</v>
      </c>
      <c r="M63" s="2">
        <f t="shared" si="66"/>
        <v>1</v>
      </c>
      <c r="N63" s="2">
        <f t="shared" si="66"/>
        <v>1</v>
      </c>
      <c r="O63" s="2">
        <f t="shared" si="66"/>
        <v>1</v>
      </c>
      <c r="P63" s="2">
        <f t="shared" si="66"/>
        <v>0</v>
      </c>
      <c r="Q63" s="2">
        <f t="shared" si="3"/>
        <v>1</v>
      </c>
      <c r="R63" s="2">
        <f>IF(ISERROR(VLOOKUP(A63, 'Project Reference'!A:A, 1, FALSE)), 0, 1)</f>
        <v>1</v>
      </c>
      <c r="S63" s="2">
        <f>IFERROR(__xludf.DUMMYFUNCTION("IF(AND(REGEXMATCH(D63, B63), REGEXMATCH(D63, C63)), 1, 0)"),1.0)</f>
        <v>1</v>
      </c>
      <c r="T63" s="2">
        <f t="shared" si="4"/>
        <v>1</v>
      </c>
      <c r="U63" s="2">
        <f t="shared" si="5"/>
        <v>1</v>
      </c>
      <c r="V63" s="2">
        <f t="shared" si="6"/>
        <v>1</v>
      </c>
    </row>
    <row r="64" ht="14.25" customHeight="1">
      <c r="A64" s="2" t="s">
        <v>509</v>
      </c>
      <c r="B64" s="2" t="s">
        <v>30</v>
      </c>
      <c r="C64" s="2" t="s">
        <v>19</v>
      </c>
      <c r="D64" s="8" t="s">
        <v>624</v>
      </c>
      <c r="E64" s="6">
        <v>45255.0</v>
      </c>
      <c r="F64" s="6">
        <v>45461.0</v>
      </c>
      <c r="G64" s="7">
        <v>2.266697296E9</v>
      </c>
      <c r="H64" s="2"/>
      <c r="I64" s="2">
        <f t="shared" ref="I64:P64" si="67">IF(ISBLANK(A64)=TRUE,0,1)</f>
        <v>1</v>
      </c>
      <c r="J64" s="2">
        <f t="shared" si="67"/>
        <v>1</v>
      </c>
      <c r="K64" s="2">
        <f t="shared" si="67"/>
        <v>1</v>
      </c>
      <c r="L64" s="2">
        <f t="shared" si="67"/>
        <v>1</v>
      </c>
      <c r="M64" s="2">
        <f t="shared" si="67"/>
        <v>1</v>
      </c>
      <c r="N64" s="2">
        <f t="shared" si="67"/>
        <v>1</v>
      </c>
      <c r="O64" s="2">
        <f t="shared" si="67"/>
        <v>1</v>
      </c>
      <c r="P64" s="2">
        <f t="shared" si="67"/>
        <v>0</v>
      </c>
      <c r="Q64" s="2">
        <f t="shared" si="3"/>
        <v>1</v>
      </c>
      <c r="R64" s="2">
        <f>IF(ISERROR(VLOOKUP(A64, 'Project Reference'!A:A, 1, FALSE)), 0, 1)</f>
        <v>1</v>
      </c>
      <c r="S64" s="2">
        <f>IFERROR(__xludf.DUMMYFUNCTION("IF(AND(REGEXMATCH(D64, B64), REGEXMATCH(D64, C64)), 1, 0)"),1.0)</f>
        <v>1</v>
      </c>
      <c r="T64" s="2">
        <f t="shared" si="4"/>
        <v>1</v>
      </c>
      <c r="U64" s="2">
        <f t="shared" si="5"/>
        <v>1</v>
      </c>
      <c r="V64" s="2">
        <f t="shared" si="6"/>
        <v>1</v>
      </c>
    </row>
    <row r="65" ht="14.25" customHeight="1">
      <c r="A65" s="2" t="s">
        <v>515</v>
      </c>
      <c r="B65" s="2" t="s">
        <v>18</v>
      </c>
      <c r="C65" s="2" t="s">
        <v>48</v>
      </c>
      <c r="D65" s="8" t="s">
        <v>629</v>
      </c>
      <c r="E65" s="6">
        <v>45260.0</v>
      </c>
      <c r="F65" s="6">
        <v>45384.0</v>
      </c>
      <c r="G65" s="7">
        <v>3.580995628E9</v>
      </c>
      <c r="H65" s="2"/>
      <c r="I65" s="2">
        <f t="shared" ref="I65:P65" si="68">IF(ISBLANK(A65)=TRUE,0,1)</f>
        <v>1</v>
      </c>
      <c r="J65" s="2">
        <f t="shared" si="68"/>
        <v>1</v>
      </c>
      <c r="K65" s="2">
        <f t="shared" si="68"/>
        <v>1</v>
      </c>
      <c r="L65" s="2">
        <f t="shared" si="68"/>
        <v>1</v>
      </c>
      <c r="M65" s="2">
        <f t="shared" si="68"/>
        <v>1</v>
      </c>
      <c r="N65" s="2">
        <f t="shared" si="68"/>
        <v>1</v>
      </c>
      <c r="O65" s="2">
        <f t="shared" si="68"/>
        <v>1</v>
      </c>
      <c r="P65" s="2">
        <f t="shared" si="68"/>
        <v>0</v>
      </c>
      <c r="Q65" s="2">
        <f t="shared" si="3"/>
        <v>1</v>
      </c>
      <c r="R65" s="2">
        <f>IF(ISERROR(VLOOKUP(A65, 'Project Reference'!A:A, 1, FALSE)), 0, 1)</f>
        <v>1</v>
      </c>
      <c r="S65" s="2">
        <f>IFERROR(__xludf.DUMMYFUNCTION("IF(AND(REGEXMATCH(D65, B65), REGEXMATCH(D65, C65)), 1, 0)"),1.0)</f>
        <v>1</v>
      </c>
      <c r="T65" s="2">
        <f t="shared" si="4"/>
        <v>1</v>
      </c>
      <c r="U65" s="2">
        <f t="shared" si="5"/>
        <v>1</v>
      </c>
      <c r="V65" s="2">
        <f t="shared" si="6"/>
        <v>1</v>
      </c>
    </row>
    <row r="66" ht="14.25" customHeight="1">
      <c r="A66" s="2" t="s">
        <v>533</v>
      </c>
      <c r="B66" s="2" t="s">
        <v>35</v>
      </c>
      <c r="C66" s="2" t="s">
        <v>39</v>
      </c>
      <c r="D66" s="2" t="s">
        <v>145</v>
      </c>
      <c r="E66" s="6">
        <v>45273.0</v>
      </c>
      <c r="F66" s="6">
        <v>45524.0</v>
      </c>
      <c r="G66" s="7">
        <v>7.40887892E8</v>
      </c>
      <c r="H66" s="2"/>
      <c r="I66" s="2">
        <f t="shared" ref="I66:P66" si="69">IF(ISBLANK(A66)=TRUE,0,1)</f>
        <v>1</v>
      </c>
      <c r="J66" s="2">
        <f t="shared" si="69"/>
        <v>1</v>
      </c>
      <c r="K66" s="2">
        <f t="shared" si="69"/>
        <v>1</v>
      </c>
      <c r="L66" s="2">
        <f t="shared" si="69"/>
        <v>1</v>
      </c>
      <c r="M66" s="2">
        <f t="shared" si="69"/>
        <v>1</v>
      </c>
      <c r="N66" s="2">
        <f t="shared" si="69"/>
        <v>1</v>
      </c>
      <c r="O66" s="2">
        <f t="shared" si="69"/>
        <v>1</v>
      </c>
      <c r="P66" s="2">
        <f t="shared" si="69"/>
        <v>0</v>
      </c>
      <c r="Q66" s="2">
        <f t="shared" si="3"/>
        <v>1</v>
      </c>
      <c r="R66" s="2">
        <f>IF(ISERROR(VLOOKUP(A66, 'Project Reference'!A:A, 1, FALSE)), 0, 1)</f>
        <v>1</v>
      </c>
      <c r="S66" s="2">
        <f>IFERROR(__xludf.DUMMYFUNCTION("IF(AND(REGEXMATCH(D66, B66), REGEXMATCH(D66, C66)), 1, 0)"),1.0)</f>
        <v>1</v>
      </c>
      <c r="T66" s="2">
        <f t="shared" si="4"/>
        <v>1</v>
      </c>
      <c r="U66" s="2">
        <f t="shared" si="5"/>
        <v>1</v>
      </c>
      <c r="V66" s="2">
        <f t="shared" si="6"/>
        <v>1</v>
      </c>
    </row>
    <row r="67" ht="14.25" customHeight="1">
      <c r="A67" s="2" t="s">
        <v>534</v>
      </c>
      <c r="B67" s="2" t="s">
        <v>60</v>
      </c>
      <c r="C67" s="2" t="s">
        <v>24</v>
      </c>
      <c r="D67" s="8" t="s">
        <v>575</v>
      </c>
      <c r="E67" s="6">
        <v>45278.0</v>
      </c>
      <c r="F67" s="6">
        <v>45634.0</v>
      </c>
      <c r="G67" s="7">
        <v>3.502390822E9</v>
      </c>
      <c r="H67" s="2"/>
      <c r="I67" s="2">
        <f t="shared" ref="I67:P67" si="70">IF(ISBLANK(A67)=TRUE,0,1)</f>
        <v>1</v>
      </c>
      <c r="J67" s="2">
        <f t="shared" si="70"/>
        <v>1</v>
      </c>
      <c r="K67" s="2">
        <f t="shared" si="70"/>
        <v>1</v>
      </c>
      <c r="L67" s="2">
        <f t="shared" si="70"/>
        <v>1</v>
      </c>
      <c r="M67" s="2">
        <f t="shared" si="70"/>
        <v>1</v>
      </c>
      <c r="N67" s="2">
        <f t="shared" si="70"/>
        <v>1</v>
      </c>
      <c r="O67" s="2">
        <f t="shared" si="70"/>
        <v>1</v>
      </c>
      <c r="P67" s="2">
        <f t="shared" si="70"/>
        <v>0</v>
      </c>
      <c r="Q67" s="2">
        <f t="shared" si="3"/>
        <v>1</v>
      </c>
      <c r="R67" s="2">
        <f>IF(ISERROR(VLOOKUP(A67, 'Project Reference'!A:A, 1, FALSE)), 0, 1)</f>
        <v>1</v>
      </c>
      <c r="S67" s="2">
        <f>IFERROR(__xludf.DUMMYFUNCTION("IF(AND(REGEXMATCH(D67, B67), REGEXMATCH(D67, C67)), 1, 0)"),1.0)</f>
        <v>1</v>
      </c>
      <c r="T67" s="2">
        <f t="shared" si="4"/>
        <v>1</v>
      </c>
      <c r="U67" s="2">
        <f t="shared" si="5"/>
        <v>1</v>
      </c>
      <c r="V67" s="2">
        <f t="shared" si="6"/>
        <v>1</v>
      </c>
    </row>
    <row r="68" ht="14.25" customHeight="1">
      <c r="A68" s="2" t="s">
        <v>541</v>
      </c>
      <c r="B68" s="2" t="s">
        <v>12</v>
      </c>
      <c r="C68" s="2" t="s">
        <v>48</v>
      </c>
      <c r="D68" s="8" t="s">
        <v>602</v>
      </c>
      <c r="E68" s="6">
        <v>45285.0</v>
      </c>
      <c r="F68" s="6">
        <v>45318.0</v>
      </c>
      <c r="G68" s="7">
        <v>4.07605972E8</v>
      </c>
      <c r="H68" s="2"/>
      <c r="I68" s="2">
        <f t="shared" ref="I68:P68" si="71">IF(ISBLANK(A68)=TRUE,0,1)</f>
        <v>1</v>
      </c>
      <c r="J68" s="2">
        <f t="shared" si="71"/>
        <v>1</v>
      </c>
      <c r="K68" s="2">
        <f t="shared" si="71"/>
        <v>1</v>
      </c>
      <c r="L68" s="2">
        <f t="shared" si="71"/>
        <v>1</v>
      </c>
      <c r="M68" s="2">
        <f t="shared" si="71"/>
        <v>1</v>
      </c>
      <c r="N68" s="2">
        <f t="shared" si="71"/>
        <v>1</v>
      </c>
      <c r="O68" s="2">
        <f t="shared" si="71"/>
        <v>1</v>
      </c>
      <c r="P68" s="2">
        <f t="shared" si="71"/>
        <v>0</v>
      </c>
      <c r="Q68" s="2">
        <f t="shared" si="3"/>
        <v>1</v>
      </c>
      <c r="R68" s="2">
        <f>IF(ISERROR(VLOOKUP(A68, 'Project Reference'!A:A, 1, FALSE)), 0, 1)</f>
        <v>1</v>
      </c>
      <c r="S68" s="2">
        <f>IFERROR(__xludf.DUMMYFUNCTION("IF(AND(REGEXMATCH(D68, B68), REGEXMATCH(D68, C68)), 1, 0)"),1.0)</f>
        <v>1</v>
      </c>
      <c r="T68" s="2">
        <f t="shared" si="4"/>
        <v>1</v>
      </c>
      <c r="U68" s="2">
        <f t="shared" si="5"/>
        <v>1</v>
      </c>
      <c r="V68" s="2">
        <f t="shared" si="6"/>
        <v>1</v>
      </c>
    </row>
    <row r="69" ht="14.25" customHeight="1">
      <c r="A69" s="2" t="s">
        <v>547</v>
      </c>
      <c r="B69" s="2" t="s">
        <v>18</v>
      </c>
      <c r="C69" s="2" t="s">
        <v>24</v>
      </c>
      <c r="D69" s="8" t="s">
        <v>618</v>
      </c>
      <c r="E69" s="6">
        <v>45287.0</v>
      </c>
      <c r="F69" s="6">
        <v>45343.0</v>
      </c>
      <c r="G69" s="7">
        <v>4.101514487E9</v>
      </c>
      <c r="H69" s="2"/>
      <c r="I69" s="2">
        <f t="shared" ref="I69:P69" si="72">IF(ISBLANK(A69)=TRUE,0,1)</f>
        <v>1</v>
      </c>
      <c r="J69" s="2">
        <f t="shared" si="72"/>
        <v>1</v>
      </c>
      <c r="K69" s="2">
        <f t="shared" si="72"/>
        <v>1</v>
      </c>
      <c r="L69" s="2">
        <f t="shared" si="72"/>
        <v>1</v>
      </c>
      <c r="M69" s="2">
        <f t="shared" si="72"/>
        <v>1</v>
      </c>
      <c r="N69" s="2">
        <f t="shared" si="72"/>
        <v>1</v>
      </c>
      <c r="O69" s="2">
        <f t="shared" si="72"/>
        <v>1</v>
      </c>
      <c r="P69" s="2">
        <f t="shared" si="72"/>
        <v>0</v>
      </c>
      <c r="Q69" s="2">
        <f t="shared" si="3"/>
        <v>1</v>
      </c>
      <c r="R69" s="2">
        <f>IF(ISERROR(VLOOKUP(A69, 'Project Reference'!A:A, 1, FALSE)), 0, 1)</f>
        <v>1</v>
      </c>
      <c r="S69" s="2">
        <f>IFERROR(__xludf.DUMMYFUNCTION("IF(AND(REGEXMATCH(D69, B69), REGEXMATCH(D69, C69)), 1, 0)"),1.0)</f>
        <v>1</v>
      </c>
      <c r="T69" s="2">
        <f t="shared" si="4"/>
        <v>1</v>
      </c>
      <c r="U69" s="2">
        <f t="shared" si="5"/>
        <v>1</v>
      </c>
      <c r="V69" s="2">
        <f t="shared" si="6"/>
        <v>1</v>
      </c>
    </row>
    <row r="70" ht="14.25" customHeight="1">
      <c r="A70" s="2" t="s">
        <v>11</v>
      </c>
      <c r="B70" s="2" t="s">
        <v>35</v>
      </c>
      <c r="C70" s="2" t="s">
        <v>36</v>
      </c>
      <c r="D70" s="2" t="s">
        <v>37</v>
      </c>
      <c r="E70" s="6">
        <v>44927.0</v>
      </c>
      <c r="F70" s="6">
        <v>44994.0</v>
      </c>
      <c r="G70" s="7">
        <v>6.49208256E8</v>
      </c>
      <c r="H70" s="8" t="s">
        <v>573</v>
      </c>
      <c r="I70" s="2">
        <f t="shared" ref="I70:P70" si="73">IF(ISBLANK(A70)=TRUE,0,1)</f>
        <v>1</v>
      </c>
      <c r="J70" s="2">
        <f t="shared" si="73"/>
        <v>1</v>
      </c>
      <c r="K70" s="2">
        <f t="shared" si="73"/>
        <v>1</v>
      </c>
      <c r="L70" s="2">
        <f t="shared" si="73"/>
        <v>1</v>
      </c>
      <c r="M70" s="2">
        <f t="shared" si="73"/>
        <v>1</v>
      </c>
      <c r="N70" s="2">
        <f t="shared" si="73"/>
        <v>1</v>
      </c>
      <c r="O70" s="2">
        <f t="shared" si="73"/>
        <v>1</v>
      </c>
      <c r="P70" s="2">
        <f t="shared" si="73"/>
        <v>1</v>
      </c>
      <c r="Q70" s="2">
        <f t="shared" si="3"/>
        <v>1</v>
      </c>
      <c r="R70" s="2">
        <f>IF(ISERROR(VLOOKUP(A70, 'Project Reference'!A:A, 1, FALSE)), 0, 1)</f>
        <v>1</v>
      </c>
      <c r="S70" s="2">
        <f>IFERROR(__xludf.DUMMYFUNCTION("IF(AND(REGEXMATCH(D70, B70), REGEXMATCH(D70, C70)), 1, 0)"),1.0)</f>
        <v>1</v>
      </c>
      <c r="T70" s="2">
        <f t="shared" si="4"/>
        <v>1</v>
      </c>
      <c r="U70" s="2">
        <f t="shared" si="5"/>
        <v>1</v>
      </c>
      <c r="V70" s="2">
        <f t="shared" si="6"/>
        <v>1</v>
      </c>
    </row>
    <row r="71" ht="14.25" customHeight="1">
      <c r="A71" s="8" t="s">
        <v>574</v>
      </c>
      <c r="B71" s="2" t="s">
        <v>35</v>
      </c>
      <c r="C71" s="2" t="s">
        <v>48</v>
      </c>
      <c r="D71" s="2" t="s">
        <v>49</v>
      </c>
      <c r="E71" s="6">
        <v>45319.0</v>
      </c>
      <c r="F71" s="9">
        <v>45323.0</v>
      </c>
      <c r="G71" s="7">
        <v>3.26999652E8</v>
      </c>
      <c r="H71" s="2" t="s">
        <v>44</v>
      </c>
      <c r="I71" s="2">
        <f t="shared" ref="I71:P71" si="74">IF(ISBLANK(A71)=TRUE,0,1)</f>
        <v>1</v>
      </c>
      <c r="J71" s="2">
        <f t="shared" si="74"/>
        <v>1</v>
      </c>
      <c r="K71" s="2">
        <f t="shared" si="74"/>
        <v>1</v>
      </c>
      <c r="L71" s="2">
        <f t="shared" si="74"/>
        <v>1</v>
      </c>
      <c r="M71" s="2">
        <f t="shared" si="74"/>
        <v>1</v>
      </c>
      <c r="N71" s="2">
        <f t="shared" si="74"/>
        <v>1</v>
      </c>
      <c r="O71" s="2">
        <f t="shared" si="74"/>
        <v>1</v>
      </c>
      <c r="P71" s="2">
        <f t="shared" si="74"/>
        <v>1</v>
      </c>
      <c r="Q71" s="2">
        <f t="shared" si="3"/>
        <v>1</v>
      </c>
      <c r="R71" s="2">
        <f>IF(ISERROR(VLOOKUP(A71, 'Project Reference'!A:A, 1, FALSE)), 0, 1)</f>
        <v>1</v>
      </c>
      <c r="S71" s="2">
        <f>IFERROR(__xludf.DUMMYFUNCTION("IF(AND(REGEXMATCH(D71, B71), REGEXMATCH(D71, C71)), 1, 0)"),1.0)</f>
        <v>1</v>
      </c>
      <c r="T71" s="2">
        <f t="shared" si="4"/>
        <v>1</v>
      </c>
      <c r="U71" s="2">
        <f t="shared" si="5"/>
        <v>1</v>
      </c>
      <c r="V71" s="2">
        <f t="shared" si="6"/>
        <v>1</v>
      </c>
    </row>
    <row r="72" ht="14.25" customHeight="1">
      <c r="A72" s="2" t="s">
        <v>17</v>
      </c>
      <c r="B72" s="2" t="s">
        <v>60</v>
      </c>
      <c r="C72" s="2" t="s">
        <v>24</v>
      </c>
      <c r="D72" s="8" t="s">
        <v>575</v>
      </c>
      <c r="E72" s="6">
        <v>44927.0</v>
      </c>
      <c r="F72" s="6">
        <v>45062.0</v>
      </c>
      <c r="G72" s="7">
        <v>3.474309188E9</v>
      </c>
      <c r="H72" s="2" t="s">
        <v>44</v>
      </c>
      <c r="I72" s="2">
        <f t="shared" ref="I72:P72" si="75">IF(ISBLANK(A72)=TRUE,0,1)</f>
        <v>1</v>
      </c>
      <c r="J72" s="2">
        <f t="shared" si="75"/>
        <v>1</v>
      </c>
      <c r="K72" s="2">
        <f t="shared" si="75"/>
        <v>1</v>
      </c>
      <c r="L72" s="2">
        <f t="shared" si="75"/>
        <v>1</v>
      </c>
      <c r="M72" s="2">
        <f t="shared" si="75"/>
        <v>1</v>
      </c>
      <c r="N72" s="2">
        <f t="shared" si="75"/>
        <v>1</v>
      </c>
      <c r="O72" s="2">
        <f t="shared" si="75"/>
        <v>1</v>
      </c>
      <c r="P72" s="2">
        <f t="shared" si="75"/>
        <v>1</v>
      </c>
      <c r="Q72" s="2">
        <f t="shared" si="3"/>
        <v>1</v>
      </c>
      <c r="R72" s="2">
        <f>IF(ISERROR(VLOOKUP(A72, 'Project Reference'!A:A, 1, FALSE)), 0, 1)</f>
        <v>1</v>
      </c>
      <c r="S72" s="2">
        <f>IFERROR(__xludf.DUMMYFUNCTION("IF(AND(REGEXMATCH(D72, B72), REGEXMATCH(D72, C72)), 1, 0)"),1.0)</f>
        <v>1</v>
      </c>
      <c r="T72" s="2">
        <f t="shared" si="4"/>
        <v>1</v>
      </c>
      <c r="U72" s="2">
        <f t="shared" si="5"/>
        <v>1</v>
      </c>
      <c r="V72" s="2">
        <f t="shared" si="6"/>
        <v>1</v>
      </c>
    </row>
    <row r="73" ht="14.25" customHeight="1">
      <c r="A73" s="8" t="s">
        <v>576</v>
      </c>
      <c r="B73" s="2" t="s">
        <v>18</v>
      </c>
      <c r="C73" s="2" t="s">
        <v>39</v>
      </c>
      <c r="D73" s="8" t="s">
        <v>577</v>
      </c>
      <c r="E73" s="6">
        <v>45320.0</v>
      </c>
      <c r="F73" s="9">
        <v>45336.0</v>
      </c>
      <c r="G73" s="7">
        <v>8.58795151E9</v>
      </c>
      <c r="H73" s="2" t="s">
        <v>44</v>
      </c>
      <c r="I73" s="2">
        <f t="shared" ref="I73:P73" si="76">IF(ISBLANK(A73)=TRUE,0,1)</f>
        <v>1</v>
      </c>
      <c r="J73" s="2">
        <f t="shared" si="76"/>
        <v>1</v>
      </c>
      <c r="K73" s="2">
        <f t="shared" si="76"/>
        <v>1</v>
      </c>
      <c r="L73" s="2">
        <f t="shared" si="76"/>
        <v>1</v>
      </c>
      <c r="M73" s="2">
        <f t="shared" si="76"/>
        <v>1</v>
      </c>
      <c r="N73" s="2">
        <f t="shared" si="76"/>
        <v>1</v>
      </c>
      <c r="O73" s="2">
        <f t="shared" si="76"/>
        <v>1</v>
      </c>
      <c r="P73" s="2">
        <f t="shared" si="76"/>
        <v>1</v>
      </c>
      <c r="Q73" s="2">
        <f t="shared" si="3"/>
        <v>1</v>
      </c>
      <c r="R73" s="2">
        <f>IF(ISERROR(VLOOKUP(A73, 'Project Reference'!A:A, 1, FALSE)), 0, 1)</f>
        <v>1</v>
      </c>
      <c r="S73" s="2">
        <f>IFERROR(__xludf.DUMMYFUNCTION("IF(AND(REGEXMATCH(D73, B73), REGEXMATCH(D73, C73)), 1, 0)"),1.0)</f>
        <v>1</v>
      </c>
      <c r="T73" s="2">
        <f t="shared" si="4"/>
        <v>1</v>
      </c>
      <c r="U73" s="2">
        <f t="shared" si="5"/>
        <v>1</v>
      </c>
      <c r="V73" s="2">
        <f t="shared" si="6"/>
        <v>1</v>
      </c>
    </row>
    <row r="74" ht="14.25" customHeight="1">
      <c r="A74" s="8" t="s">
        <v>579</v>
      </c>
      <c r="B74" s="2" t="s">
        <v>18</v>
      </c>
      <c r="C74" s="2" t="s">
        <v>13</v>
      </c>
      <c r="D74" s="8" t="s">
        <v>580</v>
      </c>
      <c r="E74" s="9">
        <v>45323.0</v>
      </c>
      <c r="F74" s="9">
        <v>45343.0</v>
      </c>
      <c r="G74" s="7">
        <v>8.016851785E9</v>
      </c>
      <c r="H74" s="8" t="s">
        <v>581</v>
      </c>
      <c r="I74" s="2">
        <f t="shared" ref="I74:P74" si="77">IF(ISBLANK(A74)=TRUE,0,1)</f>
        <v>1</v>
      </c>
      <c r="J74" s="2">
        <f t="shared" si="77"/>
        <v>1</v>
      </c>
      <c r="K74" s="2">
        <f t="shared" si="77"/>
        <v>1</v>
      </c>
      <c r="L74" s="2">
        <f t="shared" si="77"/>
        <v>1</v>
      </c>
      <c r="M74" s="2">
        <f t="shared" si="77"/>
        <v>1</v>
      </c>
      <c r="N74" s="2">
        <f t="shared" si="77"/>
        <v>1</v>
      </c>
      <c r="O74" s="2">
        <f t="shared" si="77"/>
        <v>1</v>
      </c>
      <c r="P74" s="2">
        <f t="shared" si="77"/>
        <v>1</v>
      </c>
      <c r="Q74" s="2">
        <f t="shared" si="3"/>
        <v>1</v>
      </c>
      <c r="R74" s="2">
        <f>IF(ISERROR(VLOOKUP(A74, 'Project Reference'!A:A, 1, FALSE)), 0, 1)</f>
        <v>1</v>
      </c>
      <c r="S74" s="2">
        <f>IFERROR(__xludf.DUMMYFUNCTION("IF(AND(REGEXMATCH(D74, B74), REGEXMATCH(D74, C74)), 1, 0)"),1.0)</f>
        <v>1</v>
      </c>
      <c r="T74" s="2">
        <f t="shared" si="4"/>
        <v>1</v>
      </c>
      <c r="U74" s="2">
        <f t="shared" si="5"/>
        <v>1</v>
      </c>
      <c r="V74" s="2">
        <f t="shared" si="6"/>
        <v>1</v>
      </c>
    </row>
    <row r="75" ht="14.25" customHeight="1">
      <c r="A75" s="2" t="s">
        <v>27</v>
      </c>
      <c r="B75" s="2" t="s">
        <v>60</v>
      </c>
      <c r="C75" s="2" t="s">
        <v>13</v>
      </c>
      <c r="D75" s="8" t="s">
        <v>582</v>
      </c>
      <c r="E75" s="6">
        <v>44928.0</v>
      </c>
      <c r="F75" s="6">
        <v>45006.0</v>
      </c>
      <c r="G75" s="7">
        <v>3.979021821E9</v>
      </c>
      <c r="H75" s="2" t="s">
        <v>50</v>
      </c>
      <c r="I75" s="2">
        <f t="shared" ref="I75:P75" si="78">IF(ISBLANK(A75)=TRUE,0,1)</f>
        <v>1</v>
      </c>
      <c r="J75" s="2">
        <f t="shared" si="78"/>
        <v>1</v>
      </c>
      <c r="K75" s="2">
        <f t="shared" si="78"/>
        <v>1</v>
      </c>
      <c r="L75" s="2">
        <f t="shared" si="78"/>
        <v>1</v>
      </c>
      <c r="M75" s="2">
        <f t="shared" si="78"/>
        <v>1</v>
      </c>
      <c r="N75" s="2">
        <f t="shared" si="78"/>
        <v>1</v>
      </c>
      <c r="O75" s="2">
        <f t="shared" si="78"/>
        <v>1</v>
      </c>
      <c r="P75" s="2">
        <f t="shared" si="78"/>
        <v>1</v>
      </c>
      <c r="Q75" s="2">
        <f t="shared" si="3"/>
        <v>1</v>
      </c>
      <c r="R75" s="2">
        <f>IF(ISERROR(VLOOKUP(A75, 'Project Reference'!A:A, 1, FALSE)), 0, 1)</f>
        <v>1</v>
      </c>
      <c r="S75" s="2">
        <f>IFERROR(__xludf.DUMMYFUNCTION("IF(AND(REGEXMATCH(D75, B75), REGEXMATCH(D75, C75)), 1, 0)"),1.0)</f>
        <v>1</v>
      </c>
      <c r="T75" s="2">
        <f t="shared" si="4"/>
        <v>1</v>
      </c>
      <c r="U75" s="2">
        <f t="shared" si="5"/>
        <v>1</v>
      </c>
      <c r="V75" s="2">
        <f t="shared" si="6"/>
        <v>1</v>
      </c>
    </row>
    <row r="76" ht="14.25" customHeight="1">
      <c r="A76" s="8" t="s">
        <v>583</v>
      </c>
      <c r="B76" s="2" t="s">
        <v>18</v>
      </c>
      <c r="C76" s="2" t="s">
        <v>39</v>
      </c>
      <c r="D76" s="8" t="s">
        <v>577</v>
      </c>
      <c r="E76" s="9">
        <v>45325.0</v>
      </c>
      <c r="F76" s="9">
        <v>45342.0</v>
      </c>
      <c r="G76" s="7">
        <v>2.153093275E9</v>
      </c>
      <c r="H76" s="8" t="s">
        <v>581</v>
      </c>
      <c r="I76" s="2">
        <f t="shared" ref="I76:P76" si="79">IF(ISBLANK(A76)=TRUE,0,1)</f>
        <v>1</v>
      </c>
      <c r="J76" s="2">
        <f t="shared" si="79"/>
        <v>1</v>
      </c>
      <c r="K76" s="2">
        <f t="shared" si="79"/>
        <v>1</v>
      </c>
      <c r="L76" s="2">
        <f t="shared" si="79"/>
        <v>1</v>
      </c>
      <c r="M76" s="2">
        <f t="shared" si="79"/>
        <v>1</v>
      </c>
      <c r="N76" s="2">
        <f t="shared" si="79"/>
        <v>1</v>
      </c>
      <c r="O76" s="2">
        <f t="shared" si="79"/>
        <v>1</v>
      </c>
      <c r="P76" s="2">
        <f t="shared" si="79"/>
        <v>1</v>
      </c>
      <c r="Q76" s="2">
        <f t="shared" si="3"/>
        <v>1</v>
      </c>
      <c r="R76" s="2">
        <f>IF(ISERROR(VLOOKUP(A76, 'Project Reference'!A:A, 1, FALSE)), 0, 1)</f>
        <v>1</v>
      </c>
      <c r="S76" s="2">
        <f>IFERROR(__xludf.DUMMYFUNCTION("IF(AND(REGEXMATCH(D76, B76), REGEXMATCH(D76, C76)), 1, 0)"),1.0)</f>
        <v>1</v>
      </c>
      <c r="T76" s="2">
        <f t="shared" si="4"/>
        <v>1</v>
      </c>
      <c r="U76" s="2">
        <f t="shared" si="5"/>
        <v>1</v>
      </c>
      <c r="V76" s="2">
        <f t="shared" si="6"/>
        <v>1</v>
      </c>
    </row>
    <row r="77" ht="14.25" customHeight="1">
      <c r="A77" s="2" t="s">
        <v>29</v>
      </c>
      <c r="B77" s="2" t="s">
        <v>35</v>
      </c>
      <c r="C77" s="2" t="s">
        <v>39</v>
      </c>
      <c r="D77" s="2" t="s">
        <v>145</v>
      </c>
      <c r="E77" s="6">
        <v>44928.0</v>
      </c>
      <c r="F77" s="6">
        <v>45271.0</v>
      </c>
      <c r="G77" s="7">
        <v>6.83556997E8</v>
      </c>
      <c r="H77" s="2" t="s">
        <v>21</v>
      </c>
      <c r="I77" s="2">
        <f t="shared" ref="I77:P77" si="80">IF(ISBLANK(A77)=TRUE,0,1)</f>
        <v>1</v>
      </c>
      <c r="J77" s="2">
        <f t="shared" si="80"/>
        <v>1</v>
      </c>
      <c r="K77" s="2">
        <f t="shared" si="80"/>
        <v>1</v>
      </c>
      <c r="L77" s="2">
        <f t="shared" si="80"/>
        <v>1</v>
      </c>
      <c r="M77" s="2">
        <f t="shared" si="80"/>
        <v>1</v>
      </c>
      <c r="N77" s="2">
        <f t="shared" si="80"/>
        <v>1</v>
      </c>
      <c r="O77" s="2">
        <f t="shared" si="80"/>
        <v>1</v>
      </c>
      <c r="P77" s="2">
        <f t="shared" si="80"/>
        <v>1</v>
      </c>
      <c r="Q77" s="2">
        <f t="shared" si="3"/>
        <v>1</v>
      </c>
      <c r="R77" s="2">
        <f>IF(ISERROR(VLOOKUP(A77, 'Project Reference'!A:A, 1, FALSE)), 0, 1)</f>
        <v>1</v>
      </c>
      <c r="S77" s="2">
        <f>IFERROR(__xludf.DUMMYFUNCTION("IF(AND(REGEXMATCH(D77, B77), REGEXMATCH(D77, C77)), 1, 0)"),1.0)</f>
        <v>1</v>
      </c>
      <c r="T77" s="2">
        <f t="shared" si="4"/>
        <v>1</v>
      </c>
      <c r="U77" s="2">
        <f t="shared" si="5"/>
        <v>1</v>
      </c>
      <c r="V77" s="2">
        <f t="shared" si="6"/>
        <v>1</v>
      </c>
    </row>
    <row r="78" ht="14.25" customHeight="1">
      <c r="A78" s="8" t="s">
        <v>584</v>
      </c>
      <c r="B78" s="2" t="s">
        <v>30</v>
      </c>
      <c r="C78" s="2" t="s">
        <v>31</v>
      </c>
      <c r="D78" s="8" t="s">
        <v>585</v>
      </c>
      <c r="E78" s="9">
        <v>45327.0</v>
      </c>
      <c r="F78" s="9">
        <v>45353.0</v>
      </c>
      <c r="G78" s="7">
        <v>4.63632409E9</v>
      </c>
      <c r="H78" s="8" t="s">
        <v>573</v>
      </c>
      <c r="I78" s="2">
        <f t="shared" ref="I78:P78" si="81">IF(ISBLANK(A78)=TRUE,0,1)</f>
        <v>1</v>
      </c>
      <c r="J78" s="2">
        <f t="shared" si="81"/>
        <v>1</v>
      </c>
      <c r="K78" s="2">
        <f t="shared" si="81"/>
        <v>1</v>
      </c>
      <c r="L78" s="2">
        <f t="shared" si="81"/>
        <v>1</v>
      </c>
      <c r="M78" s="2">
        <f t="shared" si="81"/>
        <v>1</v>
      </c>
      <c r="N78" s="2">
        <f t="shared" si="81"/>
        <v>1</v>
      </c>
      <c r="O78" s="2">
        <f t="shared" si="81"/>
        <v>1</v>
      </c>
      <c r="P78" s="2">
        <f t="shared" si="81"/>
        <v>1</v>
      </c>
      <c r="Q78" s="2">
        <f t="shared" si="3"/>
        <v>1</v>
      </c>
      <c r="R78" s="2">
        <f>IF(ISERROR(VLOOKUP(A78, 'Project Reference'!A:A, 1, FALSE)), 0, 1)</f>
        <v>1</v>
      </c>
      <c r="S78" s="2">
        <f>IFERROR(__xludf.DUMMYFUNCTION("IF(AND(REGEXMATCH(D78, B78), REGEXMATCH(D78, C78)), 1, 0)"),1.0)</f>
        <v>1</v>
      </c>
      <c r="T78" s="2">
        <f t="shared" si="4"/>
        <v>1</v>
      </c>
      <c r="U78" s="2">
        <f t="shared" si="5"/>
        <v>1</v>
      </c>
      <c r="V78" s="2">
        <f t="shared" si="6"/>
        <v>1</v>
      </c>
    </row>
    <row r="79" ht="14.25" customHeight="1">
      <c r="A79" s="2" t="s">
        <v>34</v>
      </c>
      <c r="B79" s="2" t="s">
        <v>35</v>
      </c>
      <c r="C79" s="2" t="s">
        <v>13</v>
      </c>
      <c r="D79" s="2" t="s">
        <v>78</v>
      </c>
      <c r="E79" s="6">
        <v>44929.0</v>
      </c>
      <c r="F79" s="6">
        <v>45230.0</v>
      </c>
      <c r="G79" s="7">
        <v>6.63835414E8</v>
      </c>
      <c r="H79" s="2" t="s">
        <v>67</v>
      </c>
      <c r="I79" s="2">
        <f t="shared" ref="I79:P79" si="82">IF(ISBLANK(A79)=TRUE,0,1)</f>
        <v>1</v>
      </c>
      <c r="J79" s="2">
        <f t="shared" si="82"/>
        <v>1</v>
      </c>
      <c r="K79" s="2">
        <f t="shared" si="82"/>
        <v>1</v>
      </c>
      <c r="L79" s="2">
        <f t="shared" si="82"/>
        <v>1</v>
      </c>
      <c r="M79" s="2">
        <f t="shared" si="82"/>
        <v>1</v>
      </c>
      <c r="N79" s="2">
        <f t="shared" si="82"/>
        <v>1</v>
      </c>
      <c r="O79" s="2">
        <f t="shared" si="82"/>
        <v>1</v>
      </c>
      <c r="P79" s="2">
        <f t="shared" si="82"/>
        <v>1</v>
      </c>
      <c r="Q79" s="2">
        <f t="shared" si="3"/>
        <v>1</v>
      </c>
      <c r="R79" s="2">
        <f>IF(ISERROR(VLOOKUP(A79, 'Project Reference'!A:A, 1, FALSE)), 0, 1)</f>
        <v>1</v>
      </c>
      <c r="S79" s="2">
        <f>IFERROR(__xludf.DUMMYFUNCTION("IF(AND(REGEXMATCH(D79, B79), REGEXMATCH(D79, C79)), 1, 0)"),1.0)</f>
        <v>1</v>
      </c>
      <c r="T79" s="2">
        <f t="shared" si="4"/>
        <v>1</v>
      </c>
      <c r="U79" s="2">
        <f t="shared" si="5"/>
        <v>1</v>
      </c>
      <c r="V79" s="2">
        <f t="shared" si="6"/>
        <v>1</v>
      </c>
    </row>
    <row r="80" ht="14.25" customHeight="1">
      <c r="A80" s="8" t="s">
        <v>586</v>
      </c>
      <c r="B80" s="2" t="s">
        <v>35</v>
      </c>
      <c r="C80" s="2" t="s">
        <v>36</v>
      </c>
      <c r="D80" s="2" t="s">
        <v>37</v>
      </c>
      <c r="E80" s="9">
        <v>45329.0</v>
      </c>
      <c r="F80" s="9">
        <v>45360.0</v>
      </c>
      <c r="G80" s="7">
        <v>6.98540517E8</v>
      </c>
      <c r="H80" s="2" t="s">
        <v>21</v>
      </c>
      <c r="I80" s="2">
        <f t="shared" ref="I80:P80" si="83">IF(ISBLANK(A80)=TRUE,0,1)</f>
        <v>1</v>
      </c>
      <c r="J80" s="2">
        <f t="shared" si="83"/>
        <v>1</v>
      </c>
      <c r="K80" s="2">
        <f t="shared" si="83"/>
        <v>1</v>
      </c>
      <c r="L80" s="2">
        <f t="shared" si="83"/>
        <v>1</v>
      </c>
      <c r="M80" s="2">
        <f t="shared" si="83"/>
        <v>1</v>
      </c>
      <c r="N80" s="2">
        <f t="shared" si="83"/>
        <v>1</v>
      </c>
      <c r="O80" s="2">
        <f t="shared" si="83"/>
        <v>1</v>
      </c>
      <c r="P80" s="2">
        <f t="shared" si="83"/>
        <v>1</v>
      </c>
      <c r="Q80" s="2">
        <f t="shared" si="3"/>
        <v>1</v>
      </c>
      <c r="R80" s="2">
        <f>IF(ISERROR(VLOOKUP(A80, 'Project Reference'!A:A, 1, FALSE)), 0, 1)</f>
        <v>1</v>
      </c>
      <c r="S80" s="2">
        <f>IFERROR(__xludf.DUMMYFUNCTION("IF(AND(REGEXMATCH(D80, B80), REGEXMATCH(D80, C80)), 1, 0)"),1.0)</f>
        <v>1</v>
      </c>
      <c r="T80" s="2">
        <f t="shared" si="4"/>
        <v>1</v>
      </c>
      <c r="U80" s="2">
        <f t="shared" si="5"/>
        <v>1</v>
      </c>
      <c r="V80" s="2">
        <f t="shared" si="6"/>
        <v>1</v>
      </c>
    </row>
    <row r="81" ht="14.25" customHeight="1">
      <c r="A81" s="2" t="s">
        <v>38</v>
      </c>
      <c r="B81" s="2" t="s">
        <v>60</v>
      </c>
      <c r="C81" s="2" t="s">
        <v>42</v>
      </c>
      <c r="D81" s="8" t="s">
        <v>587</v>
      </c>
      <c r="E81" s="6">
        <v>44929.0</v>
      </c>
      <c r="F81" s="6">
        <v>45261.0</v>
      </c>
      <c r="G81" s="7">
        <v>2.423693734E9</v>
      </c>
      <c r="H81" s="2" t="s">
        <v>50</v>
      </c>
      <c r="I81" s="2">
        <f t="shared" ref="I81:P81" si="84">IF(ISBLANK(A81)=TRUE,0,1)</f>
        <v>1</v>
      </c>
      <c r="J81" s="2">
        <f t="shared" si="84"/>
        <v>1</v>
      </c>
      <c r="K81" s="2">
        <f t="shared" si="84"/>
        <v>1</v>
      </c>
      <c r="L81" s="2">
        <f t="shared" si="84"/>
        <v>1</v>
      </c>
      <c r="M81" s="2">
        <f t="shared" si="84"/>
        <v>1</v>
      </c>
      <c r="N81" s="2">
        <f t="shared" si="84"/>
        <v>1</v>
      </c>
      <c r="O81" s="2">
        <f t="shared" si="84"/>
        <v>1</v>
      </c>
      <c r="P81" s="2">
        <f t="shared" si="84"/>
        <v>1</v>
      </c>
      <c r="Q81" s="2">
        <f t="shared" si="3"/>
        <v>1</v>
      </c>
      <c r="R81" s="2">
        <f>IF(ISERROR(VLOOKUP(A81, 'Project Reference'!A:A, 1, FALSE)), 0, 1)</f>
        <v>1</v>
      </c>
      <c r="S81" s="2">
        <f>IFERROR(__xludf.DUMMYFUNCTION("IF(AND(REGEXMATCH(D81, B81), REGEXMATCH(D81, C81)), 1, 0)"),1.0)</f>
        <v>1</v>
      </c>
      <c r="T81" s="2">
        <f t="shared" si="4"/>
        <v>1</v>
      </c>
      <c r="U81" s="2">
        <f t="shared" si="5"/>
        <v>1</v>
      </c>
      <c r="V81" s="2">
        <f t="shared" si="6"/>
        <v>1</v>
      </c>
    </row>
    <row r="82" ht="14.25" customHeight="1">
      <c r="A82" s="8" t="s">
        <v>588</v>
      </c>
      <c r="B82" s="2" t="s">
        <v>35</v>
      </c>
      <c r="C82" s="2" t="s">
        <v>24</v>
      </c>
      <c r="D82" s="2" t="s">
        <v>133</v>
      </c>
      <c r="E82" s="9">
        <v>45330.0</v>
      </c>
      <c r="F82" s="9">
        <v>45337.0</v>
      </c>
      <c r="G82" s="7">
        <v>3.13131839E8</v>
      </c>
      <c r="H82" s="2" t="s">
        <v>50</v>
      </c>
      <c r="I82" s="2">
        <f t="shared" ref="I82:P82" si="85">IF(ISBLANK(A82)=TRUE,0,1)</f>
        <v>1</v>
      </c>
      <c r="J82" s="2">
        <f t="shared" si="85"/>
        <v>1</v>
      </c>
      <c r="K82" s="2">
        <f t="shared" si="85"/>
        <v>1</v>
      </c>
      <c r="L82" s="2">
        <f t="shared" si="85"/>
        <v>1</v>
      </c>
      <c r="M82" s="2">
        <f t="shared" si="85"/>
        <v>1</v>
      </c>
      <c r="N82" s="2">
        <f t="shared" si="85"/>
        <v>1</v>
      </c>
      <c r="O82" s="2">
        <f t="shared" si="85"/>
        <v>1</v>
      </c>
      <c r="P82" s="2">
        <f t="shared" si="85"/>
        <v>1</v>
      </c>
      <c r="Q82" s="2">
        <f t="shared" si="3"/>
        <v>1</v>
      </c>
      <c r="R82" s="2">
        <f>IF(ISERROR(VLOOKUP(A82, 'Project Reference'!A:A, 1, FALSE)), 0, 1)</f>
        <v>1</v>
      </c>
      <c r="S82" s="2">
        <f>IFERROR(__xludf.DUMMYFUNCTION("IF(AND(REGEXMATCH(D82, B82), REGEXMATCH(D82, C82)), 1, 0)"),1.0)</f>
        <v>1</v>
      </c>
      <c r="T82" s="2">
        <f t="shared" si="4"/>
        <v>1</v>
      </c>
      <c r="U82" s="2">
        <f t="shared" si="5"/>
        <v>1</v>
      </c>
      <c r="V82" s="2">
        <f t="shared" si="6"/>
        <v>1</v>
      </c>
    </row>
    <row r="83" ht="14.25" customHeight="1">
      <c r="A83" s="2" t="s">
        <v>41</v>
      </c>
      <c r="B83" s="2" t="s">
        <v>12</v>
      </c>
      <c r="C83" s="2" t="s">
        <v>36</v>
      </c>
      <c r="D83" s="8" t="s">
        <v>578</v>
      </c>
      <c r="E83" s="6">
        <v>44929.0</v>
      </c>
      <c r="F83" s="6">
        <v>45041.0</v>
      </c>
      <c r="G83" s="7">
        <v>2.81077623E8</v>
      </c>
      <c r="H83" s="8" t="s">
        <v>581</v>
      </c>
      <c r="I83" s="2">
        <f t="shared" ref="I83:P83" si="86">IF(ISBLANK(A83)=TRUE,0,1)</f>
        <v>1</v>
      </c>
      <c r="J83" s="2">
        <f t="shared" si="86"/>
        <v>1</v>
      </c>
      <c r="K83" s="2">
        <f t="shared" si="86"/>
        <v>1</v>
      </c>
      <c r="L83" s="2">
        <f t="shared" si="86"/>
        <v>1</v>
      </c>
      <c r="M83" s="2">
        <f t="shared" si="86"/>
        <v>1</v>
      </c>
      <c r="N83" s="2">
        <f t="shared" si="86"/>
        <v>1</v>
      </c>
      <c r="O83" s="2">
        <f t="shared" si="86"/>
        <v>1</v>
      </c>
      <c r="P83" s="2">
        <f t="shared" si="86"/>
        <v>1</v>
      </c>
      <c r="Q83" s="2">
        <f t="shared" si="3"/>
        <v>1</v>
      </c>
      <c r="R83" s="2">
        <f>IF(ISERROR(VLOOKUP(A83, 'Project Reference'!A:A, 1, FALSE)), 0, 1)</f>
        <v>1</v>
      </c>
      <c r="S83" s="2">
        <f>IFERROR(__xludf.DUMMYFUNCTION("IF(AND(REGEXMATCH(D83, B83), REGEXMATCH(D83, C83)), 1, 0)"),1.0)</f>
        <v>1</v>
      </c>
      <c r="T83" s="2">
        <f t="shared" si="4"/>
        <v>1</v>
      </c>
      <c r="U83" s="2">
        <f t="shared" si="5"/>
        <v>1</v>
      </c>
      <c r="V83" s="2">
        <f t="shared" si="6"/>
        <v>1</v>
      </c>
    </row>
    <row r="84" ht="14.25" customHeight="1">
      <c r="A84" s="8" t="s">
        <v>589</v>
      </c>
      <c r="B84" s="2" t="s">
        <v>30</v>
      </c>
      <c r="C84" s="2" t="s">
        <v>39</v>
      </c>
      <c r="D84" s="8" t="s">
        <v>590</v>
      </c>
      <c r="E84" s="9">
        <v>45330.0</v>
      </c>
      <c r="F84" s="9">
        <v>45386.0</v>
      </c>
      <c r="G84" s="7">
        <v>9.21085536E8</v>
      </c>
      <c r="H84" s="2" t="s">
        <v>67</v>
      </c>
      <c r="I84" s="2">
        <f t="shared" ref="I84:P84" si="87">IF(ISBLANK(A84)=TRUE,0,1)</f>
        <v>1</v>
      </c>
      <c r="J84" s="2">
        <f t="shared" si="87"/>
        <v>1</v>
      </c>
      <c r="K84" s="2">
        <f t="shared" si="87"/>
        <v>1</v>
      </c>
      <c r="L84" s="2">
        <f t="shared" si="87"/>
        <v>1</v>
      </c>
      <c r="M84" s="2">
        <f t="shared" si="87"/>
        <v>1</v>
      </c>
      <c r="N84" s="2">
        <f t="shared" si="87"/>
        <v>1</v>
      </c>
      <c r="O84" s="2">
        <f t="shared" si="87"/>
        <v>1</v>
      </c>
      <c r="P84" s="2">
        <f t="shared" si="87"/>
        <v>1</v>
      </c>
      <c r="Q84" s="2">
        <f t="shared" si="3"/>
        <v>1</v>
      </c>
      <c r="R84" s="2">
        <f>IF(ISERROR(VLOOKUP(A84, 'Project Reference'!A:A, 1, FALSE)), 0, 1)</f>
        <v>1</v>
      </c>
      <c r="S84" s="2">
        <f>IFERROR(__xludf.DUMMYFUNCTION("IF(AND(REGEXMATCH(D84, B84), REGEXMATCH(D84, C84)), 1, 0)"),1.0)</f>
        <v>1</v>
      </c>
      <c r="T84" s="2">
        <f t="shared" si="4"/>
        <v>1</v>
      </c>
      <c r="U84" s="2">
        <f t="shared" si="5"/>
        <v>1</v>
      </c>
      <c r="V84" s="2">
        <f t="shared" si="6"/>
        <v>1</v>
      </c>
    </row>
    <row r="85" ht="14.25" customHeight="1">
      <c r="A85" s="2" t="s">
        <v>45</v>
      </c>
      <c r="B85" s="2" t="s">
        <v>12</v>
      </c>
      <c r="C85" s="2" t="s">
        <v>39</v>
      </c>
      <c r="D85" s="8" t="s">
        <v>591</v>
      </c>
      <c r="E85" s="6">
        <v>44930.0</v>
      </c>
      <c r="F85" s="6">
        <v>45182.0</v>
      </c>
      <c r="G85" s="7">
        <v>2.41214887E8</v>
      </c>
      <c r="H85" s="2" t="s">
        <v>67</v>
      </c>
      <c r="I85" s="2">
        <f t="shared" ref="I85:P85" si="88">IF(ISBLANK(A85)=TRUE,0,1)</f>
        <v>1</v>
      </c>
      <c r="J85" s="2">
        <f t="shared" si="88"/>
        <v>1</v>
      </c>
      <c r="K85" s="2">
        <f t="shared" si="88"/>
        <v>1</v>
      </c>
      <c r="L85" s="2">
        <f t="shared" si="88"/>
        <v>1</v>
      </c>
      <c r="M85" s="2">
        <f t="shared" si="88"/>
        <v>1</v>
      </c>
      <c r="N85" s="2">
        <f t="shared" si="88"/>
        <v>1</v>
      </c>
      <c r="O85" s="2">
        <f t="shared" si="88"/>
        <v>1</v>
      </c>
      <c r="P85" s="2">
        <f t="shared" si="88"/>
        <v>1</v>
      </c>
      <c r="Q85" s="2">
        <f t="shared" si="3"/>
        <v>1</v>
      </c>
      <c r="R85" s="2">
        <f>IF(ISERROR(VLOOKUP(A85, 'Project Reference'!A:A, 1, FALSE)), 0, 1)</f>
        <v>1</v>
      </c>
      <c r="S85" s="2">
        <f>IFERROR(__xludf.DUMMYFUNCTION("IF(AND(REGEXMATCH(D85, B85), REGEXMATCH(D85, C85)), 1, 0)"),1.0)</f>
        <v>1</v>
      </c>
      <c r="T85" s="2">
        <f t="shared" si="4"/>
        <v>1</v>
      </c>
      <c r="U85" s="2">
        <f t="shared" si="5"/>
        <v>1</v>
      </c>
      <c r="V85" s="2">
        <f t="shared" si="6"/>
        <v>1</v>
      </c>
    </row>
    <row r="86" ht="14.25" customHeight="1">
      <c r="A86" s="8" t="s">
        <v>592</v>
      </c>
      <c r="B86" s="2" t="s">
        <v>35</v>
      </c>
      <c r="C86" s="2" t="s">
        <v>36</v>
      </c>
      <c r="D86" s="2" t="s">
        <v>37</v>
      </c>
      <c r="E86" s="9">
        <v>45334.0</v>
      </c>
      <c r="F86" s="9">
        <v>45351.0</v>
      </c>
      <c r="G86" s="7">
        <v>4.25861681E8</v>
      </c>
      <c r="H86" s="2" t="s">
        <v>50</v>
      </c>
      <c r="I86" s="2">
        <f t="shared" ref="I86:P86" si="89">IF(ISBLANK(A86)=TRUE,0,1)</f>
        <v>1</v>
      </c>
      <c r="J86" s="2">
        <f t="shared" si="89"/>
        <v>1</v>
      </c>
      <c r="K86" s="2">
        <f t="shared" si="89"/>
        <v>1</v>
      </c>
      <c r="L86" s="2">
        <f t="shared" si="89"/>
        <v>1</v>
      </c>
      <c r="M86" s="2">
        <f t="shared" si="89"/>
        <v>1</v>
      </c>
      <c r="N86" s="2">
        <f t="shared" si="89"/>
        <v>1</v>
      </c>
      <c r="O86" s="2">
        <f t="shared" si="89"/>
        <v>1</v>
      </c>
      <c r="P86" s="2">
        <f t="shared" si="89"/>
        <v>1</v>
      </c>
      <c r="Q86" s="2">
        <f t="shared" si="3"/>
        <v>1</v>
      </c>
      <c r="R86" s="2">
        <f>IF(ISERROR(VLOOKUP(A86, 'Project Reference'!A:A, 1, FALSE)), 0, 1)</f>
        <v>1</v>
      </c>
      <c r="S86" s="2">
        <f>IFERROR(__xludf.DUMMYFUNCTION("IF(AND(REGEXMATCH(D86, B86), REGEXMATCH(D86, C86)), 1, 0)"),1.0)</f>
        <v>1</v>
      </c>
      <c r="T86" s="2">
        <f t="shared" si="4"/>
        <v>1</v>
      </c>
      <c r="U86" s="2">
        <f t="shared" si="5"/>
        <v>1</v>
      </c>
      <c r="V86" s="2">
        <f t="shared" si="6"/>
        <v>1</v>
      </c>
    </row>
    <row r="87" ht="14.25" customHeight="1">
      <c r="A87" s="2" t="s">
        <v>47</v>
      </c>
      <c r="B87" s="2" t="s">
        <v>12</v>
      </c>
      <c r="C87" s="2" t="s">
        <v>31</v>
      </c>
      <c r="D87" s="8" t="s">
        <v>593</v>
      </c>
      <c r="E87" s="6">
        <v>44930.0</v>
      </c>
      <c r="F87" s="6">
        <v>45244.0</v>
      </c>
      <c r="G87" s="7">
        <v>7.49126801E8</v>
      </c>
      <c r="H87" s="8" t="s">
        <v>573</v>
      </c>
      <c r="I87" s="2">
        <f t="shared" ref="I87:P87" si="90">IF(ISBLANK(A87)=TRUE,0,1)</f>
        <v>1</v>
      </c>
      <c r="J87" s="2">
        <f t="shared" si="90"/>
        <v>1</v>
      </c>
      <c r="K87" s="2">
        <f t="shared" si="90"/>
        <v>1</v>
      </c>
      <c r="L87" s="2">
        <f t="shared" si="90"/>
        <v>1</v>
      </c>
      <c r="M87" s="2">
        <f t="shared" si="90"/>
        <v>1</v>
      </c>
      <c r="N87" s="2">
        <f t="shared" si="90"/>
        <v>1</v>
      </c>
      <c r="O87" s="2">
        <f t="shared" si="90"/>
        <v>1</v>
      </c>
      <c r="P87" s="2">
        <f t="shared" si="90"/>
        <v>1</v>
      </c>
      <c r="Q87" s="2">
        <f t="shared" si="3"/>
        <v>1</v>
      </c>
      <c r="R87" s="2">
        <f>IF(ISERROR(VLOOKUP(A87, 'Project Reference'!A:A, 1, FALSE)), 0, 1)</f>
        <v>1</v>
      </c>
      <c r="S87" s="2">
        <f>IFERROR(__xludf.DUMMYFUNCTION("IF(AND(REGEXMATCH(D87, B87), REGEXMATCH(D87, C87)), 1, 0)"),1.0)</f>
        <v>1</v>
      </c>
      <c r="T87" s="2">
        <f t="shared" si="4"/>
        <v>1</v>
      </c>
      <c r="U87" s="2">
        <f t="shared" si="5"/>
        <v>1</v>
      </c>
      <c r="V87" s="2">
        <f t="shared" si="6"/>
        <v>1</v>
      </c>
    </row>
    <row r="88" ht="14.25" customHeight="1">
      <c r="A88" s="8" t="s">
        <v>594</v>
      </c>
      <c r="B88" s="2" t="s">
        <v>30</v>
      </c>
      <c r="C88" s="2" t="s">
        <v>31</v>
      </c>
      <c r="D88" s="8" t="s">
        <v>595</v>
      </c>
      <c r="E88" s="9">
        <v>45335.0</v>
      </c>
      <c r="F88" s="9">
        <v>45386.0</v>
      </c>
      <c r="G88" s="7">
        <v>6.584342537E9</v>
      </c>
      <c r="H88" s="8" t="s">
        <v>581</v>
      </c>
      <c r="I88" s="2">
        <f t="shared" ref="I88:P88" si="91">IF(ISBLANK(A88)=TRUE,0,1)</f>
        <v>1</v>
      </c>
      <c r="J88" s="2">
        <f t="shared" si="91"/>
        <v>1</v>
      </c>
      <c r="K88" s="2">
        <f t="shared" si="91"/>
        <v>1</v>
      </c>
      <c r="L88" s="2">
        <f t="shared" si="91"/>
        <v>1</v>
      </c>
      <c r="M88" s="2">
        <f t="shared" si="91"/>
        <v>1</v>
      </c>
      <c r="N88" s="2">
        <f t="shared" si="91"/>
        <v>1</v>
      </c>
      <c r="O88" s="2">
        <f t="shared" si="91"/>
        <v>1</v>
      </c>
      <c r="P88" s="2">
        <f t="shared" si="91"/>
        <v>1</v>
      </c>
      <c r="Q88" s="2">
        <f t="shared" si="3"/>
        <v>1</v>
      </c>
      <c r="R88" s="2">
        <f>IF(ISERROR(VLOOKUP(A88, 'Project Reference'!A:A, 1, FALSE)), 0, 1)</f>
        <v>1</v>
      </c>
      <c r="S88" s="2">
        <f>IFERROR(__xludf.DUMMYFUNCTION("IF(AND(REGEXMATCH(D88, B88), REGEXMATCH(D88, C88)), 1, 0)"),1.0)</f>
        <v>1</v>
      </c>
      <c r="T88" s="2">
        <f t="shared" si="4"/>
        <v>1</v>
      </c>
      <c r="U88" s="2">
        <f t="shared" si="5"/>
        <v>1</v>
      </c>
      <c r="V88" s="2">
        <f t="shared" si="6"/>
        <v>1</v>
      </c>
    </row>
    <row r="89" ht="14.25" customHeight="1">
      <c r="A89" s="2" t="s">
        <v>51</v>
      </c>
      <c r="B89" s="2" t="s">
        <v>35</v>
      </c>
      <c r="C89" s="2" t="s">
        <v>24</v>
      </c>
      <c r="D89" s="2" t="s">
        <v>133</v>
      </c>
      <c r="E89" s="6">
        <v>44931.0</v>
      </c>
      <c r="F89" s="6">
        <v>44968.0</v>
      </c>
      <c r="G89" s="7">
        <v>5.36495065E8</v>
      </c>
      <c r="H89" s="2" t="s">
        <v>44</v>
      </c>
      <c r="I89" s="2">
        <f t="shared" ref="I89:P89" si="92">IF(ISBLANK(A89)=TRUE,0,1)</f>
        <v>1</v>
      </c>
      <c r="J89" s="2">
        <f t="shared" si="92"/>
        <v>1</v>
      </c>
      <c r="K89" s="2">
        <f t="shared" si="92"/>
        <v>1</v>
      </c>
      <c r="L89" s="2">
        <f t="shared" si="92"/>
        <v>1</v>
      </c>
      <c r="M89" s="2">
        <f t="shared" si="92"/>
        <v>1</v>
      </c>
      <c r="N89" s="2">
        <f t="shared" si="92"/>
        <v>1</v>
      </c>
      <c r="O89" s="2">
        <f t="shared" si="92"/>
        <v>1</v>
      </c>
      <c r="P89" s="2">
        <f t="shared" si="92"/>
        <v>1</v>
      </c>
      <c r="Q89" s="2">
        <f t="shared" si="3"/>
        <v>1</v>
      </c>
      <c r="R89" s="2">
        <f>IF(ISERROR(VLOOKUP(A89, 'Project Reference'!A:A, 1, FALSE)), 0, 1)</f>
        <v>1</v>
      </c>
      <c r="S89" s="2">
        <f>IFERROR(__xludf.DUMMYFUNCTION("IF(AND(REGEXMATCH(D89, B89), REGEXMATCH(D89, C89)), 1, 0)"),1.0)</f>
        <v>1</v>
      </c>
      <c r="T89" s="2">
        <f t="shared" si="4"/>
        <v>1</v>
      </c>
      <c r="U89" s="2">
        <f t="shared" si="5"/>
        <v>1</v>
      </c>
      <c r="V89" s="2">
        <f t="shared" si="6"/>
        <v>1</v>
      </c>
    </row>
    <row r="90" ht="14.25" customHeight="1">
      <c r="A90" s="8" t="s">
        <v>596</v>
      </c>
      <c r="B90" s="2" t="s">
        <v>60</v>
      </c>
      <c r="C90" s="2" t="s">
        <v>36</v>
      </c>
      <c r="D90" s="8" t="s">
        <v>597</v>
      </c>
      <c r="E90" s="9">
        <v>45336.0</v>
      </c>
      <c r="F90" s="9">
        <v>45336.0</v>
      </c>
      <c r="G90" s="7">
        <v>3.981092285E9</v>
      </c>
      <c r="H90" s="2" t="s">
        <v>50</v>
      </c>
      <c r="I90" s="2">
        <f t="shared" ref="I90:P90" si="93">IF(ISBLANK(A90)=TRUE,0,1)</f>
        <v>1</v>
      </c>
      <c r="J90" s="2">
        <f t="shared" si="93"/>
        <v>1</v>
      </c>
      <c r="K90" s="2">
        <f t="shared" si="93"/>
        <v>1</v>
      </c>
      <c r="L90" s="2">
        <f t="shared" si="93"/>
        <v>1</v>
      </c>
      <c r="M90" s="2">
        <f t="shared" si="93"/>
        <v>1</v>
      </c>
      <c r="N90" s="2">
        <f t="shared" si="93"/>
        <v>1</v>
      </c>
      <c r="O90" s="2">
        <f t="shared" si="93"/>
        <v>1</v>
      </c>
      <c r="P90" s="2">
        <f t="shared" si="93"/>
        <v>1</v>
      </c>
      <c r="Q90" s="2">
        <f t="shared" si="3"/>
        <v>1</v>
      </c>
      <c r="R90" s="2">
        <f>IF(ISERROR(VLOOKUP(A90, 'Project Reference'!A:A, 1, FALSE)), 0, 1)</f>
        <v>1</v>
      </c>
      <c r="S90" s="2">
        <f>IFERROR(__xludf.DUMMYFUNCTION("IF(AND(REGEXMATCH(D90, B90), REGEXMATCH(D90, C90)), 1, 0)"),1.0)</f>
        <v>1</v>
      </c>
      <c r="T90" s="2">
        <f t="shared" si="4"/>
        <v>1</v>
      </c>
      <c r="U90" s="2">
        <f t="shared" si="5"/>
        <v>0</v>
      </c>
      <c r="V90" s="2">
        <f t="shared" si="6"/>
        <v>1</v>
      </c>
    </row>
    <row r="91" ht="14.25" customHeight="1">
      <c r="A91" s="2" t="s">
        <v>52</v>
      </c>
      <c r="B91" s="2" t="s">
        <v>35</v>
      </c>
      <c r="C91" s="2" t="s">
        <v>42</v>
      </c>
      <c r="D91" s="2" t="s">
        <v>69</v>
      </c>
      <c r="E91" s="6">
        <v>44932.0</v>
      </c>
      <c r="F91" s="6">
        <v>45108.0</v>
      </c>
      <c r="G91" s="7">
        <v>3.41629572E8</v>
      </c>
      <c r="H91" s="2" t="s">
        <v>44</v>
      </c>
      <c r="I91" s="2">
        <f t="shared" ref="I91:P91" si="94">IF(ISBLANK(A91)=TRUE,0,1)</f>
        <v>1</v>
      </c>
      <c r="J91" s="2">
        <f t="shared" si="94"/>
        <v>1</v>
      </c>
      <c r="K91" s="2">
        <f t="shared" si="94"/>
        <v>1</v>
      </c>
      <c r="L91" s="2">
        <f t="shared" si="94"/>
        <v>1</v>
      </c>
      <c r="M91" s="2">
        <f t="shared" si="94"/>
        <v>1</v>
      </c>
      <c r="N91" s="2">
        <f t="shared" si="94"/>
        <v>1</v>
      </c>
      <c r="O91" s="2">
        <f t="shared" si="94"/>
        <v>1</v>
      </c>
      <c r="P91" s="2">
        <f t="shared" si="94"/>
        <v>1</v>
      </c>
      <c r="Q91" s="2">
        <f t="shared" si="3"/>
        <v>1</v>
      </c>
      <c r="R91" s="2">
        <f>IF(ISERROR(VLOOKUP(A91, 'Project Reference'!A:A, 1, FALSE)), 0, 1)</f>
        <v>1</v>
      </c>
      <c r="S91" s="2">
        <f>IFERROR(__xludf.DUMMYFUNCTION("IF(AND(REGEXMATCH(D91, B91), REGEXMATCH(D91, C91)), 1, 0)"),1.0)</f>
        <v>1</v>
      </c>
      <c r="T91" s="2">
        <f t="shared" si="4"/>
        <v>1</v>
      </c>
      <c r="U91" s="2">
        <f t="shared" si="5"/>
        <v>1</v>
      </c>
      <c r="V91" s="2">
        <f t="shared" si="6"/>
        <v>1</v>
      </c>
    </row>
    <row r="92" ht="14.25" customHeight="1">
      <c r="A92" s="8" t="s">
        <v>598</v>
      </c>
      <c r="B92" s="2" t="s">
        <v>35</v>
      </c>
      <c r="C92" s="2" t="s">
        <v>13</v>
      </c>
      <c r="D92" s="2" t="s">
        <v>78</v>
      </c>
      <c r="E92" s="9">
        <v>45337.0</v>
      </c>
      <c r="F92" s="9">
        <v>45342.0</v>
      </c>
      <c r="G92" s="7">
        <v>6.03837273E8</v>
      </c>
      <c r="H92" s="2" t="s">
        <v>67</v>
      </c>
      <c r="I92" s="2">
        <f t="shared" ref="I92:P92" si="95">IF(ISBLANK(A92)=TRUE,0,1)</f>
        <v>1</v>
      </c>
      <c r="J92" s="2">
        <f t="shared" si="95"/>
        <v>1</v>
      </c>
      <c r="K92" s="2">
        <f t="shared" si="95"/>
        <v>1</v>
      </c>
      <c r="L92" s="2">
        <f t="shared" si="95"/>
        <v>1</v>
      </c>
      <c r="M92" s="2">
        <f t="shared" si="95"/>
        <v>1</v>
      </c>
      <c r="N92" s="2">
        <f t="shared" si="95"/>
        <v>1</v>
      </c>
      <c r="O92" s="2">
        <f t="shared" si="95"/>
        <v>1</v>
      </c>
      <c r="P92" s="2">
        <f t="shared" si="95"/>
        <v>1</v>
      </c>
      <c r="Q92" s="2">
        <f t="shared" si="3"/>
        <v>1</v>
      </c>
      <c r="R92" s="2">
        <f>IF(ISERROR(VLOOKUP(A92, 'Project Reference'!A:A, 1, FALSE)), 0, 1)</f>
        <v>1</v>
      </c>
      <c r="S92" s="2">
        <f>IFERROR(__xludf.DUMMYFUNCTION("IF(AND(REGEXMATCH(D92, B92), REGEXMATCH(D92, C92)), 1, 0)"),1.0)</f>
        <v>1</v>
      </c>
      <c r="T92" s="2">
        <f t="shared" si="4"/>
        <v>1</v>
      </c>
      <c r="U92" s="2">
        <f t="shared" si="5"/>
        <v>1</v>
      </c>
      <c r="V92" s="2">
        <f t="shared" si="6"/>
        <v>1</v>
      </c>
    </row>
    <row r="93" ht="14.25" customHeight="1">
      <c r="A93" s="2" t="s">
        <v>54</v>
      </c>
      <c r="B93" s="2" t="s">
        <v>60</v>
      </c>
      <c r="C93" s="2" t="s">
        <v>31</v>
      </c>
      <c r="D93" s="8" t="s">
        <v>599</v>
      </c>
      <c r="E93" s="6">
        <v>44935.0</v>
      </c>
      <c r="F93" s="6">
        <v>44971.0</v>
      </c>
      <c r="G93" s="7">
        <v>4.534202846E9</v>
      </c>
      <c r="H93" s="2" t="s">
        <v>44</v>
      </c>
      <c r="I93" s="2">
        <f t="shared" ref="I93:P93" si="96">IF(ISBLANK(A93)=TRUE,0,1)</f>
        <v>1</v>
      </c>
      <c r="J93" s="2">
        <f t="shared" si="96"/>
        <v>1</v>
      </c>
      <c r="K93" s="2">
        <f t="shared" si="96"/>
        <v>1</v>
      </c>
      <c r="L93" s="2">
        <f t="shared" si="96"/>
        <v>1</v>
      </c>
      <c r="M93" s="2">
        <f t="shared" si="96"/>
        <v>1</v>
      </c>
      <c r="N93" s="2">
        <f t="shared" si="96"/>
        <v>1</v>
      </c>
      <c r="O93" s="2">
        <f t="shared" si="96"/>
        <v>1</v>
      </c>
      <c r="P93" s="2">
        <f t="shared" si="96"/>
        <v>1</v>
      </c>
      <c r="Q93" s="2">
        <f t="shared" si="3"/>
        <v>1</v>
      </c>
      <c r="R93" s="2">
        <f>IF(ISERROR(VLOOKUP(A93, 'Project Reference'!A:A, 1, FALSE)), 0, 1)</f>
        <v>1</v>
      </c>
      <c r="S93" s="2">
        <f>IFERROR(__xludf.DUMMYFUNCTION("IF(AND(REGEXMATCH(D93, B93), REGEXMATCH(D93, C93)), 1, 0)"),1.0)</f>
        <v>1</v>
      </c>
      <c r="T93" s="2">
        <f t="shared" si="4"/>
        <v>1</v>
      </c>
      <c r="U93" s="2">
        <f t="shared" si="5"/>
        <v>1</v>
      </c>
      <c r="V93" s="2">
        <f t="shared" si="6"/>
        <v>1</v>
      </c>
    </row>
    <row r="94" ht="14.25" customHeight="1">
      <c r="A94" s="8" t="s">
        <v>600</v>
      </c>
      <c r="B94" s="2" t="s">
        <v>35</v>
      </c>
      <c r="C94" s="2" t="s">
        <v>42</v>
      </c>
      <c r="D94" s="2" t="s">
        <v>69</v>
      </c>
      <c r="E94" s="9">
        <v>45338.0</v>
      </c>
      <c r="F94" s="9">
        <v>45346.0</v>
      </c>
      <c r="G94" s="7">
        <v>2.57898943E8</v>
      </c>
      <c r="H94" s="8" t="s">
        <v>581</v>
      </c>
      <c r="I94" s="2">
        <f t="shared" ref="I94:P94" si="97">IF(ISBLANK(A94)=TRUE,0,1)</f>
        <v>1</v>
      </c>
      <c r="J94" s="2">
        <f t="shared" si="97"/>
        <v>1</v>
      </c>
      <c r="K94" s="2">
        <f t="shared" si="97"/>
        <v>1</v>
      </c>
      <c r="L94" s="2">
        <f t="shared" si="97"/>
        <v>1</v>
      </c>
      <c r="M94" s="2">
        <f t="shared" si="97"/>
        <v>1</v>
      </c>
      <c r="N94" s="2">
        <f t="shared" si="97"/>
        <v>1</v>
      </c>
      <c r="O94" s="2">
        <f t="shared" si="97"/>
        <v>1</v>
      </c>
      <c r="P94" s="2">
        <f t="shared" si="97"/>
        <v>1</v>
      </c>
      <c r="Q94" s="2">
        <f t="shared" si="3"/>
        <v>1</v>
      </c>
      <c r="R94" s="2">
        <f>IF(ISERROR(VLOOKUP(A94, 'Project Reference'!A:A, 1, FALSE)), 0, 1)</f>
        <v>1</v>
      </c>
      <c r="S94" s="2">
        <f>IFERROR(__xludf.DUMMYFUNCTION("IF(AND(REGEXMATCH(D94, B94), REGEXMATCH(D94, C94)), 1, 0)"),1.0)</f>
        <v>1</v>
      </c>
      <c r="T94" s="2">
        <f t="shared" si="4"/>
        <v>1</v>
      </c>
      <c r="U94" s="2">
        <f t="shared" si="5"/>
        <v>1</v>
      </c>
      <c r="V94" s="2">
        <f t="shared" si="6"/>
        <v>1</v>
      </c>
    </row>
    <row r="95" ht="14.25" customHeight="1">
      <c r="A95" s="2" t="s">
        <v>55</v>
      </c>
      <c r="B95" s="2" t="s">
        <v>35</v>
      </c>
      <c r="C95" s="2" t="s">
        <v>42</v>
      </c>
      <c r="D95" s="2" t="s">
        <v>69</v>
      </c>
      <c r="E95" s="6">
        <v>44936.0</v>
      </c>
      <c r="F95" s="6">
        <v>45295.0</v>
      </c>
      <c r="G95" s="7">
        <v>4.89065831E8</v>
      </c>
      <c r="H95" s="2" t="s">
        <v>21</v>
      </c>
      <c r="I95" s="2">
        <f t="shared" ref="I95:P95" si="98">IF(ISBLANK(A95)=TRUE,0,1)</f>
        <v>1</v>
      </c>
      <c r="J95" s="2">
        <f t="shared" si="98"/>
        <v>1</v>
      </c>
      <c r="K95" s="2">
        <f t="shared" si="98"/>
        <v>1</v>
      </c>
      <c r="L95" s="2">
        <f t="shared" si="98"/>
        <v>1</v>
      </c>
      <c r="M95" s="2">
        <f t="shared" si="98"/>
        <v>1</v>
      </c>
      <c r="N95" s="2">
        <f t="shared" si="98"/>
        <v>1</v>
      </c>
      <c r="O95" s="2">
        <f t="shared" si="98"/>
        <v>1</v>
      </c>
      <c r="P95" s="2">
        <f t="shared" si="98"/>
        <v>1</v>
      </c>
      <c r="Q95" s="2">
        <f t="shared" si="3"/>
        <v>1</v>
      </c>
      <c r="R95" s="2">
        <f>IF(ISERROR(VLOOKUP(A95, 'Project Reference'!A:A, 1, FALSE)), 0, 1)</f>
        <v>1</v>
      </c>
      <c r="S95" s="2">
        <f>IFERROR(__xludf.DUMMYFUNCTION("IF(AND(REGEXMATCH(D95, B95), REGEXMATCH(D95, C95)), 1, 0)"),1.0)</f>
        <v>1</v>
      </c>
      <c r="T95" s="2">
        <f t="shared" si="4"/>
        <v>1</v>
      </c>
      <c r="U95" s="2">
        <f t="shared" si="5"/>
        <v>1</v>
      </c>
      <c r="V95" s="2">
        <f t="shared" si="6"/>
        <v>1</v>
      </c>
    </row>
    <row r="96" ht="14.25" customHeight="1">
      <c r="A96" s="8" t="s">
        <v>601</v>
      </c>
      <c r="B96" s="2" t="s">
        <v>12</v>
      </c>
      <c r="C96" s="2" t="s">
        <v>48</v>
      </c>
      <c r="D96" s="8" t="s">
        <v>602</v>
      </c>
      <c r="E96" s="9">
        <v>45339.0</v>
      </c>
      <c r="F96" s="9">
        <v>45379.0</v>
      </c>
      <c r="G96" s="7">
        <v>5.45662746E8</v>
      </c>
      <c r="H96" s="2" t="s">
        <v>21</v>
      </c>
      <c r="I96" s="2">
        <f t="shared" ref="I96:P96" si="99">IF(ISBLANK(A96)=TRUE,0,1)</f>
        <v>1</v>
      </c>
      <c r="J96" s="2">
        <f t="shared" si="99"/>
        <v>1</v>
      </c>
      <c r="K96" s="2">
        <f t="shared" si="99"/>
        <v>1</v>
      </c>
      <c r="L96" s="2">
        <f t="shared" si="99"/>
        <v>1</v>
      </c>
      <c r="M96" s="2">
        <f t="shared" si="99"/>
        <v>1</v>
      </c>
      <c r="N96" s="2">
        <f t="shared" si="99"/>
        <v>1</v>
      </c>
      <c r="O96" s="2">
        <f t="shared" si="99"/>
        <v>1</v>
      </c>
      <c r="P96" s="2">
        <f t="shared" si="99"/>
        <v>1</v>
      </c>
      <c r="Q96" s="2">
        <f t="shared" si="3"/>
        <v>1</v>
      </c>
      <c r="R96" s="2">
        <f>IF(ISERROR(VLOOKUP(A96, 'Project Reference'!A:A, 1, FALSE)), 0, 1)</f>
        <v>1</v>
      </c>
      <c r="S96" s="2">
        <f>IFERROR(__xludf.DUMMYFUNCTION("IF(AND(REGEXMATCH(D96, B96), REGEXMATCH(D96, C96)), 1, 0)"),1.0)</f>
        <v>1</v>
      </c>
      <c r="T96" s="2">
        <f t="shared" si="4"/>
        <v>1</v>
      </c>
      <c r="U96" s="2">
        <f t="shared" si="5"/>
        <v>1</v>
      </c>
      <c r="V96" s="2">
        <f t="shared" si="6"/>
        <v>1</v>
      </c>
    </row>
    <row r="97" ht="14.25" customHeight="1">
      <c r="A97" s="8" t="s">
        <v>604</v>
      </c>
      <c r="B97" s="2" t="s">
        <v>12</v>
      </c>
      <c r="C97" s="2" t="s">
        <v>48</v>
      </c>
      <c r="D97" s="8" t="s">
        <v>602</v>
      </c>
      <c r="E97" s="9">
        <v>45340.0</v>
      </c>
      <c r="F97" s="9">
        <v>45371.0</v>
      </c>
      <c r="G97" s="7">
        <v>8.10414368E8</v>
      </c>
      <c r="H97" s="2" t="s">
        <v>33</v>
      </c>
      <c r="I97" s="2">
        <f t="shared" ref="I97:P97" si="100">IF(ISBLANK(A97)=TRUE,0,1)</f>
        <v>1</v>
      </c>
      <c r="J97" s="2">
        <f t="shared" si="100"/>
        <v>1</v>
      </c>
      <c r="K97" s="2">
        <f t="shared" si="100"/>
        <v>1</v>
      </c>
      <c r="L97" s="2">
        <f t="shared" si="100"/>
        <v>1</v>
      </c>
      <c r="M97" s="2">
        <f t="shared" si="100"/>
        <v>1</v>
      </c>
      <c r="N97" s="2">
        <f t="shared" si="100"/>
        <v>1</v>
      </c>
      <c r="O97" s="2">
        <f t="shared" si="100"/>
        <v>1</v>
      </c>
      <c r="P97" s="2">
        <f t="shared" si="100"/>
        <v>1</v>
      </c>
      <c r="Q97" s="2">
        <f t="shared" si="3"/>
        <v>1</v>
      </c>
      <c r="R97" s="2">
        <f>IF(ISERROR(VLOOKUP(A97, 'Project Reference'!A:A, 1, FALSE)), 0, 1)</f>
        <v>1</v>
      </c>
      <c r="S97" s="2">
        <f>IFERROR(__xludf.DUMMYFUNCTION("IF(AND(REGEXMATCH(D97, B97), REGEXMATCH(D97, C97)), 1, 0)"),1.0)</f>
        <v>1</v>
      </c>
      <c r="T97" s="2">
        <f t="shared" si="4"/>
        <v>1</v>
      </c>
      <c r="U97" s="2">
        <f t="shared" si="5"/>
        <v>1</v>
      </c>
      <c r="V97" s="2">
        <f t="shared" si="6"/>
        <v>1</v>
      </c>
    </row>
    <row r="98" ht="14.25" customHeight="1">
      <c r="A98" s="2" t="s">
        <v>59</v>
      </c>
      <c r="B98" s="2" t="s">
        <v>12</v>
      </c>
      <c r="C98" s="2" t="s">
        <v>13</v>
      </c>
      <c r="D98" s="8" t="s">
        <v>605</v>
      </c>
      <c r="E98" s="6">
        <v>44938.0</v>
      </c>
      <c r="F98" s="6">
        <v>45262.0</v>
      </c>
      <c r="G98" s="7">
        <v>3.41929482E8</v>
      </c>
      <c r="H98" s="8" t="s">
        <v>581</v>
      </c>
      <c r="I98" s="2">
        <f t="shared" ref="I98:P98" si="101">IF(ISBLANK(A98)=TRUE,0,1)</f>
        <v>1</v>
      </c>
      <c r="J98" s="2">
        <f t="shared" si="101"/>
        <v>1</v>
      </c>
      <c r="K98" s="2">
        <f t="shared" si="101"/>
        <v>1</v>
      </c>
      <c r="L98" s="2">
        <f t="shared" si="101"/>
        <v>1</v>
      </c>
      <c r="M98" s="2">
        <f t="shared" si="101"/>
        <v>1</v>
      </c>
      <c r="N98" s="2">
        <f t="shared" si="101"/>
        <v>1</v>
      </c>
      <c r="O98" s="2">
        <f t="shared" si="101"/>
        <v>1</v>
      </c>
      <c r="P98" s="2">
        <f t="shared" si="101"/>
        <v>1</v>
      </c>
      <c r="Q98" s="2">
        <f t="shared" si="3"/>
        <v>1</v>
      </c>
      <c r="R98" s="2">
        <f>IF(ISERROR(VLOOKUP(A98, 'Project Reference'!A:A, 1, FALSE)), 0, 1)</f>
        <v>1</v>
      </c>
      <c r="S98" s="2">
        <f>IFERROR(__xludf.DUMMYFUNCTION("IF(AND(REGEXMATCH(D98, B98), REGEXMATCH(D98, C98)), 1, 0)"),1.0)</f>
        <v>1</v>
      </c>
      <c r="T98" s="2">
        <f t="shared" si="4"/>
        <v>1</v>
      </c>
      <c r="U98" s="2">
        <f t="shared" si="5"/>
        <v>1</v>
      </c>
      <c r="V98" s="2">
        <f t="shared" si="6"/>
        <v>1</v>
      </c>
    </row>
    <row r="99" ht="14.25" customHeight="1">
      <c r="A99" s="8" t="s">
        <v>606</v>
      </c>
      <c r="B99" s="2" t="s">
        <v>12</v>
      </c>
      <c r="C99" s="2" t="s">
        <v>31</v>
      </c>
      <c r="D99" s="8" t="s">
        <v>593</v>
      </c>
      <c r="E99" s="9">
        <v>45341.0</v>
      </c>
      <c r="F99" s="9">
        <v>45388.0</v>
      </c>
      <c r="G99" s="7">
        <v>5.99466235E8</v>
      </c>
      <c r="H99" s="8" t="s">
        <v>581</v>
      </c>
      <c r="I99" s="2">
        <f t="shared" ref="I99:P99" si="102">IF(ISBLANK(A99)=TRUE,0,1)</f>
        <v>1</v>
      </c>
      <c r="J99" s="2">
        <f t="shared" si="102"/>
        <v>1</v>
      </c>
      <c r="K99" s="2">
        <f t="shared" si="102"/>
        <v>1</v>
      </c>
      <c r="L99" s="2">
        <f t="shared" si="102"/>
        <v>1</v>
      </c>
      <c r="M99" s="2">
        <f t="shared" si="102"/>
        <v>1</v>
      </c>
      <c r="N99" s="2">
        <f t="shared" si="102"/>
        <v>1</v>
      </c>
      <c r="O99" s="2">
        <f t="shared" si="102"/>
        <v>1</v>
      </c>
      <c r="P99" s="2">
        <f t="shared" si="102"/>
        <v>1</v>
      </c>
      <c r="Q99" s="2">
        <f t="shared" si="3"/>
        <v>1</v>
      </c>
      <c r="R99" s="2">
        <f>IF(ISERROR(VLOOKUP(A99, 'Project Reference'!A:A, 1, FALSE)), 0, 1)</f>
        <v>1</v>
      </c>
      <c r="S99" s="2">
        <f>IFERROR(__xludf.DUMMYFUNCTION("IF(AND(REGEXMATCH(D99, B99), REGEXMATCH(D99, C99)), 1, 0)"),1.0)</f>
        <v>1</v>
      </c>
      <c r="T99" s="2">
        <f t="shared" si="4"/>
        <v>1</v>
      </c>
      <c r="U99" s="2">
        <f t="shared" si="5"/>
        <v>1</v>
      </c>
      <c r="V99" s="2">
        <f t="shared" si="6"/>
        <v>1</v>
      </c>
    </row>
    <row r="100" ht="14.25" customHeight="1">
      <c r="A100" s="2" t="s">
        <v>62</v>
      </c>
      <c r="B100" s="2" t="s">
        <v>18</v>
      </c>
      <c r="C100" s="2" t="s">
        <v>13</v>
      </c>
      <c r="D100" s="8" t="s">
        <v>580</v>
      </c>
      <c r="E100" s="6">
        <v>44939.0</v>
      </c>
      <c r="F100" s="6">
        <v>45185.0</v>
      </c>
      <c r="G100" s="7">
        <v>4.929333305E9</v>
      </c>
      <c r="H100" s="8" t="s">
        <v>581</v>
      </c>
      <c r="I100" s="2">
        <f t="shared" ref="I100:P100" si="103">IF(ISBLANK(A100)=TRUE,0,1)</f>
        <v>1</v>
      </c>
      <c r="J100" s="2">
        <f t="shared" si="103"/>
        <v>1</v>
      </c>
      <c r="K100" s="2">
        <f t="shared" si="103"/>
        <v>1</v>
      </c>
      <c r="L100" s="2">
        <f t="shared" si="103"/>
        <v>1</v>
      </c>
      <c r="M100" s="2">
        <f t="shared" si="103"/>
        <v>1</v>
      </c>
      <c r="N100" s="2">
        <f t="shared" si="103"/>
        <v>1</v>
      </c>
      <c r="O100" s="2">
        <f t="shared" si="103"/>
        <v>1</v>
      </c>
      <c r="P100" s="2">
        <f t="shared" si="103"/>
        <v>1</v>
      </c>
      <c r="Q100" s="2">
        <f t="shared" si="3"/>
        <v>1</v>
      </c>
      <c r="R100" s="2">
        <f>IF(ISERROR(VLOOKUP(A100, 'Project Reference'!A:A, 1, FALSE)), 0, 1)</f>
        <v>1</v>
      </c>
      <c r="S100" s="2">
        <f>IFERROR(__xludf.DUMMYFUNCTION("IF(AND(REGEXMATCH(D100, B100), REGEXMATCH(D100, C100)), 1, 0)"),1.0)</f>
        <v>1</v>
      </c>
      <c r="T100" s="2">
        <f t="shared" si="4"/>
        <v>1</v>
      </c>
      <c r="U100" s="2">
        <f t="shared" si="5"/>
        <v>1</v>
      </c>
      <c r="V100" s="2">
        <f t="shared" si="6"/>
        <v>1</v>
      </c>
    </row>
    <row r="101" ht="14.25" customHeight="1">
      <c r="A101" s="8" t="s">
        <v>607</v>
      </c>
      <c r="B101" s="2" t="s">
        <v>35</v>
      </c>
      <c r="C101" s="2" t="s">
        <v>36</v>
      </c>
      <c r="D101" s="2" t="s">
        <v>37</v>
      </c>
      <c r="E101" s="9">
        <v>45341.0</v>
      </c>
      <c r="F101" s="9">
        <v>45350.0</v>
      </c>
      <c r="G101" s="7">
        <v>3.33089653E8</v>
      </c>
      <c r="H101" s="2" t="s">
        <v>67</v>
      </c>
      <c r="I101" s="2">
        <f t="shared" ref="I101:P101" si="104">IF(ISBLANK(A101)=TRUE,0,1)</f>
        <v>1</v>
      </c>
      <c r="J101" s="2">
        <f t="shared" si="104"/>
        <v>1</v>
      </c>
      <c r="K101" s="2">
        <f t="shared" si="104"/>
        <v>1</v>
      </c>
      <c r="L101" s="2">
        <f t="shared" si="104"/>
        <v>1</v>
      </c>
      <c r="M101" s="2">
        <f t="shared" si="104"/>
        <v>1</v>
      </c>
      <c r="N101" s="2">
        <f t="shared" si="104"/>
        <v>1</v>
      </c>
      <c r="O101" s="2">
        <f t="shared" si="104"/>
        <v>1</v>
      </c>
      <c r="P101" s="2">
        <f t="shared" si="104"/>
        <v>1</v>
      </c>
      <c r="Q101" s="2">
        <f t="shared" si="3"/>
        <v>1</v>
      </c>
      <c r="R101" s="2">
        <f>IF(ISERROR(VLOOKUP(A101, 'Project Reference'!A:A, 1, FALSE)), 0, 1)</f>
        <v>1</v>
      </c>
      <c r="S101" s="2">
        <f>IFERROR(__xludf.DUMMYFUNCTION("IF(AND(REGEXMATCH(D101, B101), REGEXMATCH(D101, C101)), 1, 0)"),1.0)</f>
        <v>1</v>
      </c>
      <c r="T101" s="2">
        <f t="shared" si="4"/>
        <v>1</v>
      </c>
      <c r="U101" s="2">
        <f t="shared" si="5"/>
        <v>1</v>
      </c>
      <c r="V101" s="2">
        <f t="shared" si="6"/>
        <v>1</v>
      </c>
    </row>
    <row r="102" ht="14.25" customHeight="1">
      <c r="A102" s="2" t="s">
        <v>64</v>
      </c>
      <c r="B102" s="2" t="s">
        <v>35</v>
      </c>
      <c r="C102" s="2" t="s">
        <v>13</v>
      </c>
      <c r="D102" s="2" t="s">
        <v>78</v>
      </c>
      <c r="E102" s="6">
        <v>44940.0</v>
      </c>
      <c r="F102" s="6">
        <v>45043.0</v>
      </c>
      <c r="G102" s="7">
        <v>5.23689841E8</v>
      </c>
      <c r="H102" s="2" t="s">
        <v>50</v>
      </c>
      <c r="I102" s="2">
        <f t="shared" ref="I102:P102" si="105">IF(ISBLANK(A102)=TRUE,0,1)</f>
        <v>1</v>
      </c>
      <c r="J102" s="2">
        <f t="shared" si="105"/>
        <v>1</v>
      </c>
      <c r="K102" s="2">
        <f t="shared" si="105"/>
        <v>1</v>
      </c>
      <c r="L102" s="2">
        <f t="shared" si="105"/>
        <v>1</v>
      </c>
      <c r="M102" s="2">
        <f t="shared" si="105"/>
        <v>1</v>
      </c>
      <c r="N102" s="2">
        <f t="shared" si="105"/>
        <v>1</v>
      </c>
      <c r="O102" s="2">
        <f t="shared" si="105"/>
        <v>1</v>
      </c>
      <c r="P102" s="2">
        <f t="shared" si="105"/>
        <v>1</v>
      </c>
      <c r="Q102" s="2">
        <f t="shared" si="3"/>
        <v>1</v>
      </c>
      <c r="R102" s="2">
        <f>IF(ISERROR(VLOOKUP(A102, 'Project Reference'!A:A, 1, FALSE)), 0, 1)</f>
        <v>1</v>
      </c>
      <c r="S102" s="2">
        <f>IFERROR(__xludf.DUMMYFUNCTION("IF(AND(REGEXMATCH(D102, B102), REGEXMATCH(D102, C102)), 1, 0)"),1.0)</f>
        <v>1</v>
      </c>
      <c r="T102" s="2">
        <f t="shared" si="4"/>
        <v>1</v>
      </c>
      <c r="U102" s="2">
        <f t="shared" si="5"/>
        <v>1</v>
      </c>
      <c r="V102" s="2">
        <f t="shared" si="6"/>
        <v>1</v>
      </c>
    </row>
    <row r="103" ht="14.25" customHeight="1">
      <c r="A103" s="8" t="s">
        <v>608</v>
      </c>
      <c r="B103" s="2" t="s">
        <v>60</v>
      </c>
      <c r="C103" s="2" t="s">
        <v>36</v>
      </c>
      <c r="D103" s="8" t="s">
        <v>597</v>
      </c>
      <c r="E103" s="9">
        <v>45341.0</v>
      </c>
      <c r="F103" s="9">
        <v>45406.0</v>
      </c>
      <c r="G103" s="7">
        <v>3.757312666E9</v>
      </c>
      <c r="H103" s="2" t="s">
        <v>67</v>
      </c>
      <c r="I103" s="2">
        <f t="shared" ref="I103:P103" si="106">IF(ISBLANK(A103)=TRUE,0,1)</f>
        <v>1</v>
      </c>
      <c r="J103" s="2">
        <f t="shared" si="106"/>
        <v>1</v>
      </c>
      <c r="K103" s="2">
        <f t="shared" si="106"/>
        <v>1</v>
      </c>
      <c r="L103" s="2">
        <f t="shared" si="106"/>
        <v>1</v>
      </c>
      <c r="M103" s="2">
        <f t="shared" si="106"/>
        <v>1</v>
      </c>
      <c r="N103" s="2">
        <f t="shared" si="106"/>
        <v>1</v>
      </c>
      <c r="O103" s="2">
        <f t="shared" si="106"/>
        <v>1</v>
      </c>
      <c r="P103" s="2">
        <f t="shared" si="106"/>
        <v>1</v>
      </c>
      <c r="Q103" s="2">
        <f t="shared" si="3"/>
        <v>1</v>
      </c>
      <c r="R103" s="2">
        <f>IF(ISERROR(VLOOKUP(A103, 'Project Reference'!A:A, 1, FALSE)), 0, 1)</f>
        <v>1</v>
      </c>
      <c r="S103" s="2">
        <f>IFERROR(__xludf.DUMMYFUNCTION("IF(AND(REGEXMATCH(D103, B103), REGEXMATCH(D103, C103)), 1, 0)"),1.0)</f>
        <v>1</v>
      </c>
      <c r="T103" s="2">
        <f t="shared" si="4"/>
        <v>1</v>
      </c>
      <c r="U103" s="2">
        <f t="shared" si="5"/>
        <v>1</v>
      </c>
      <c r="V103" s="2">
        <f t="shared" si="6"/>
        <v>1</v>
      </c>
    </row>
    <row r="104" ht="14.25" customHeight="1">
      <c r="A104" s="2" t="s">
        <v>65</v>
      </c>
      <c r="B104" s="2" t="s">
        <v>60</v>
      </c>
      <c r="C104" s="2" t="s">
        <v>42</v>
      </c>
      <c r="D104" s="8" t="s">
        <v>587</v>
      </c>
      <c r="E104" s="6">
        <v>44940.0</v>
      </c>
      <c r="F104" s="6">
        <v>45206.0</v>
      </c>
      <c r="G104" s="7">
        <v>3.894709817E9</v>
      </c>
      <c r="H104" s="8" t="s">
        <v>581</v>
      </c>
      <c r="I104" s="2">
        <f t="shared" ref="I104:P104" si="107">IF(ISBLANK(A104)=TRUE,0,1)</f>
        <v>1</v>
      </c>
      <c r="J104" s="2">
        <f t="shared" si="107"/>
        <v>1</v>
      </c>
      <c r="K104" s="2">
        <f t="shared" si="107"/>
        <v>1</v>
      </c>
      <c r="L104" s="2">
        <f t="shared" si="107"/>
        <v>1</v>
      </c>
      <c r="M104" s="2">
        <f t="shared" si="107"/>
        <v>1</v>
      </c>
      <c r="N104" s="2">
        <f t="shared" si="107"/>
        <v>1</v>
      </c>
      <c r="O104" s="2">
        <f t="shared" si="107"/>
        <v>1</v>
      </c>
      <c r="P104" s="2">
        <f t="shared" si="107"/>
        <v>1</v>
      </c>
      <c r="Q104" s="2">
        <f t="shared" si="3"/>
        <v>1</v>
      </c>
      <c r="R104" s="2">
        <f>IF(ISERROR(VLOOKUP(A104, 'Project Reference'!A:A, 1, FALSE)), 0, 1)</f>
        <v>1</v>
      </c>
      <c r="S104" s="2">
        <f>IFERROR(__xludf.DUMMYFUNCTION("IF(AND(REGEXMATCH(D104, B104), REGEXMATCH(D104, C104)), 1, 0)"),1.0)</f>
        <v>1</v>
      </c>
      <c r="T104" s="2">
        <f t="shared" si="4"/>
        <v>1</v>
      </c>
      <c r="U104" s="2">
        <f t="shared" si="5"/>
        <v>1</v>
      </c>
      <c r="V104" s="2">
        <f t="shared" si="6"/>
        <v>1</v>
      </c>
    </row>
    <row r="105" ht="14.25" customHeight="1">
      <c r="A105" s="2" t="s">
        <v>68</v>
      </c>
      <c r="B105" s="2" t="s">
        <v>30</v>
      </c>
      <c r="C105" s="2" t="s">
        <v>39</v>
      </c>
      <c r="D105" s="8" t="s">
        <v>590</v>
      </c>
      <c r="E105" s="6">
        <v>44941.0</v>
      </c>
      <c r="F105" s="6">
        <v>45188.0</v>
      </c>
      <c r="G105" s="7">
        <v>4.532376815E9</v>
      </c>
      <c r="H105" s="2" t="s">
        <v>50</v>
      </c>
      <c r="I105" s="2">
        <f t="shared" ref="I105:P105" si="108">IF(ISBLANK(A105)=TRUE,0,1)</f>
        <v>1</v>
      </c>
      <c r="J105" s="2">
        <f t="shared" si="108"/>
        <v>1</v>
      </c>
      <c r="K105" s="2">
        <f t="shared" si="108"/>
        <v>1</v>
      </c>
      <c r="L105" s="2">
        <f t="shared" si="108"/>
        <v>1</v>
      </c>
      <c r="M105" s="2">
        <f t="shared" si="108"/>
        <v>1</v>
      </c>
      <c r="N105" s="2">
        <f t="shared" si="108"/>
        <v>1</v>
      </c>
      <c r="O105" s="2">
        <f t="shared" si="108"/>
        <v>1</v>
      </c>
      <c r="P105" s="2">
        <f t="shared" si="108"/>
        <v>1</v>
      </c>
      <c r="Q105" s="2">
        <f t="shared" si="3"/>
        <v>1</v>
      </c>
      <c r="R105" s="2">
        <f>IF(ISERROR(VLOOKUP(A105, 'Project Reference'!A:A, 1, FALSE)), 0, 1)</f>
        <v>1</v>
      </c>
      <c r="S105" s="2">
        <f>IFERROR(__xludf.DUMMYFUNCTION("IF(AND(REGEXMATCH(D105, B105), REGEXMATCH(D105, C105)), 1, 0)"),1.0)</f>
        <v>1</v>
      </c>
      <c r="T105" s="2">
        <f t="shared" si="4"/>
        <v>1</v>
      </c>
      <c r="U105" s="2">
        <f t="shared" si="5"/>
        <v>1</v>
      </c>
      <c r="V105" s="2">
        <f t="shared" si="6"/>
        <v>1</v>
      </c>
    </row>
    <row r="106" ht="14.25" customHeight="1">
      <c r="A106" s="8" t="s">
        <v>611</v>
      </c>
      <c r="B106" s="2" t="s">
        <v>30</v>
      </c>
      <c r="C106" s="2" t="s">
        <v>24</v>
      </c>
      <c r="D106" s="8" t="s">
        <v>612</v>
      </c>
      <c r="E106" s="9">
        <v>45346.0</v>
      </c>
      <c r="F106" s="9">
        <v>45398.0</v>
      </c>
      <c r="G106" s="7">
        <v>3.82111714E9</v>
      </c>
      <c r="H106" s="2" t="s">
        <v>50</v>
      </c>
      <c r="I106" s="2">
        <f t="shared" ref="I106:P106" si="109">IF(ISBLANK(A106)=TRUE,0,1)</f>
        <v>1</v>
      </c>
      <c r="J106" s="2">
        <f t="shared" si="109"/>
        <v>1</v>
      </c>
      <c r="K106" s="2">
        <f t="shared" si="109"/>
        <v>1</v>
      </c>
      <c r="L106" s="2">
        <f t="shared" si="109"/>
        <v>1</v>
      </c>
      <c r="M106" s="2">
        <f t="shared" si="109"/>
        <v>1</v>
      </c>
      <c r="N106" s="2">
        <f t="shared" si="109"/>
        <v>1</v>
      </c>
      <c r="O106" s="2">
        <f t="shared" si="109"/>
        <v>1</v>
      </c>
      <c r="P106" s="2">
        <f t="shared" si="109"/>
        <v>1</v>
      </c>
      <c r="Q106" s="2">
        <f t="shared" si="3"/>
        <v>1</v>
      </c>
      <c r="R106" s="2">
        <f>IF(ISERROR(VLOOKUP(A106, 'Project Reference'!A:A, 1, FALSE)), 0, 1)</f>
        <v>1</v>
      </c>
      <c r="S106" s="2">
        <f>IFERROR(__xludf.DUMMYFUNCTION("IF(AND(REGEXMATCH(D106, B106), REGEXMATCH(D106, C106)), 1, 0)"),1.0)</f>
        <v>1</v>
      </c>
      <c r="T106" s="2">
        <f t="shared" si="4"/>
        <v>1</v>
      </c>
      <c r="U106" s="2">
        <f t="shared" si="5"/>
        <v>1</v>
      </c>
      <c r="V106" s="2">
        <f t="shared" si="6"/>
        <v>1</v>
      </c>
    </row>
    <row r="107" ht="14.25" customHeight="1">
      <c r="A107" s="2" t="s">
        <v>70</v>
      </c>
      <c r="B107" s="2" t="s">
        <v>60</v>
      </c>
      <c r="C107" s="2" t="s">
        <v>31</v>
      </c>
      <c r="D107" s="8" t="s">
        <v>613</v>
      </c>
      <c r="E107" s="6">
        <v>44941.0</v>
      </c>
      <c r="F107" s="6">
        <v>45290.0</v>
      </c>
      <c r="G107" s="7">
        <v>4.159855566E9</v>
      </c>
      <c r="H107" s="2" t="s">
        <v>33</v>
      </c>
      <c r="I107" s="2">
        <f t="shared" ref="I107:P107" si="110">IF(ISBLANK(A107)=TRUE,0,1)</f>
        <v>1</v>
      </c>
      <c r="J107" s="2">
        <f t="shared" si="110"/>
        <v>1</v>
      </c>
      <c r="K107" s="2">
        <f t="shared" si="110"/>
        <v>1</v>
      </c>
      <c r="L107" s="2">
        <f t="shared" si="110"/>
        <v>1</v>
      </c>
      <c r="M107" s="2">
        <f t="shared" si="110"/>
        <v>1</v>
      </c>
      <c r="N107" s="2">
        <f t="shared" si="110"/>
        <v>1</v>
      </c>
      <c r="O107" s="2">
        <f t="shared" si="110"/>
        <v>1</v>
      </c>
      <c r="P107" s="2">
        <f t="shared" si="110"/>
        <v>1</v>
      </c>
      <c r="Q107" s="2">
        <f t="shared" si="3"/>
        <v>1</v>
      </c>
      <c r="R107" s="2">
        <f>IF(ISERROR(VLOOKUP(A107, 'Project Reference'!A:A, 1, FALSE)), 0, 1)</f>
        <v>1</v>
      </c>
      <c r="S107" s="2">
        <f>IFERROR(__xludf.DUMMYFUNCTION("IF(AND(REGEXMATCH(D107, B107), REGEXMATCH(D107, C107)), 1, 0)"),1.0)</f>
        <v>1</v>
      </c>
      <c r="T107" s="2">
        <f t="shared" si="4"/>
        <v>1</v>
      </c>
      <c r="U107" s="2">
        <f t="shared" si="5"/>
        <v>1</v>
      </c>
      <c r="V107" s="2">
        <f t="shared" si="6"/>
        <v>1</v>
      </c>
    </row>
    <row r="108" ht="14.25" customHeight="1">
      <c r="A108" s="2" t="s">
        <v>72</v>
      </c>
      <c r="B108" s="2" t="s">
        <v>30</v>
      </c>
      <c r="C108" s="2" t="s">
        <v>36</v>
      </c>
      <c r="D108" s="8" t="s">
        <v>614</v>
      </c>
      <c r="E108" s="6">
        <v>44941.0</v>
      </c>
      <c r="F108" s="6">
        <v>45095.0</v>
      </c>
      <c r="G108" s="7">
        <v>4.492886828E9</v>
      </c>
      <c r="H108" s="2" t="s">
        <v>50</v>
      </c>
      <c r="I108" s="2">
        <f t="shared" ref="I108:P108" si="111">IF(ISBLANK(A108)=TRUE,0,1)</f>
        <v>1</v>
      </c>
      <c r="J108" s="2">
        <f t="shared" si="111"/>
        <v>1</v>
      </c>
      <c r="K108" s="2">
        <f t="shared" si="111"/>
        <v>1</v>
      </c>
      <c r="L108" s="2">
        <f t="shared" si="111"/>
        <v>1</v>
      </c>
      <c r="M108" s="2">
        <f t="shared" si="111"/>
        <v>1</v>
      </c>
      <c r="N108" s="2">
        <f t="shared" si="111"/>
        <v>1</v>
      </c>
      <c r="O108" s="2">
        <f t="shared" si="111"/>
        <v>1</v>
      </c>
      <c r="P108" s="2">
        <f t="shared" si="111"/>
        <v>1</v>
      </c>
      <c r="Q108" s="2">
        <f t="shared" si="3"/>
        <v>1</v>
      </c>
      <c r="R108" s="2">
        <f>IF(ISERROR(VLOOKUP(A108, 'Project Reference'!A:A, 1, FALSE)), 0, 1)</f>
        <v>1</v>
      </c>
      <c r="S108" s="2">
        <f>IFERROR(__xludf.DUMMYFUNCTION("IF(AND(REGEXMATCH(D108, B108), REGEXMATCH(D108, C108)), 1, 0)"),1.0)</f>
        <v>1</v>
      </c>
      <c r="T108" s="2">
        <f t="shared" si="4"/>
        <v>1</v>
      </c>
      <c r="U108" s="2">
        <f t="shared" si="5"/>
        <v>1</v>
      </c>
      <c r="V108" s="2">
        <f t="shared" si="6"/>
        <v>1</v>
      </c>
    </row>
    <row r="109" ht="14.25" customHeight="1">
      <c r="A109" s="2" t="s">
        <v>73</v>
      </c>
      <c r="B109" s="2" t="s">
        <v>30</v>
      </c>
      <c r="C109" s="2" t="s">
        <v>48</v>
      </c>
      <c r="D109" s="8" t="s">
        <v>615</v>
      </c>
      <c r="E109" s="6">
        <v>44942.0</v>
      </c>
      <c r="F109" s="6">
        <v>45034.0</v>
      </c>
      <c r="G109" s="7">
        <v>1.424729417E9</v>
      </c>
      <c r="H109" s="8" t="s">
        <v>581</v>
      </c>
      <c r="I109" s="2">
        <f t="shared" ref="I109:P109" si="112">IF(ISBLANK(A109)=TRUE,0,1)</f>
        <v>1</v>
      </c>
      <c r="J109" s="2">
        <f t="shared" si="112"/>
        <v>1</v>
      </c>
      <c r="K109" s="2">
        <f t="shared" si="112"/>
        <v>1</v>
      </c>
      <c r="L109" s="2">
        <f t="shared" si="112"/>
        <v>1</v>
      </c>
      <c r="M109" s="2">
        <f t="shared" si="112"/>
        <v>1</v>
      </c>
      <c r="N109" s="2">
        <f t="shared" si="112"/>
        <v>1</v>
      </c>
      <c r="O109" s="2">
        <f t="shared" si="112"/>
        <v>1</v>
      </c>
      <c r="P109" s="2">
        <f t="shared" si="112"/>
        <v>1</v>
      </c>
      <c r="Q109" s="2">
        <f t="shared" si="3"/>
        <v>1</v>
      </c>
      <c r="R109" s="2">
        <f>IF(ISERROR(VLOOKUP(A109, 'Project Reference'!A:A, 1, FALSE)), 0, 1)</f>
        <v>1</v>
      </c>
      <c r="S109" s="2">
        <f>IFERROR(__xludf.DUMMYFUNCTION("IF(AND(REGEXMATCH(D109, B109), REGEXMATCH(D109, C109)), 1, 0)"),1.0)</f>
        <v>1</v>
      </c>
      <c r="T109" s="2">
        <f t="shared" si="4"/>
        <v>1</v>
      </c>
      <c r="U109" s="2">
        <f t="shared" si="5"/>
        <v>1</v>
      </c>
      <c r="V109" s="2">
        <f t="shared" si="6"/>
        <v>1</v>
      </c>
    </row>
    <row r="110" ht="14.25" customHeight="1">
      <c r="A110" s="2" t="s">
        <v>75</v>
      </c>
      <c r="B110" s="2" t="s">
        <v>30</v>
      </c>
      <c r="C110" s="2" t="s">
        <v>31</v>
      </c>
      <c r="D110" s="8" t="s">
        <v>595</v>
      </c>
      <c r="E110" s="6">
        <v>44943.0</v>
      </c>
      <c r="F110" s="6">
        <v>45027.0</v>
      </c>
      <c r="G110" s="7">
        <v>1.425616276E9</v>
      </c>
      <c r="H110" s="2" t="s">
        <v>44</v>
      </c>
      <c r="I110" s="2">
        <f t="shared" ref="I110:P110" si="113">IF(ISBLANK(A110)=TRUE,0,1)</f>
        <v>1</v>
      </c>
      <c r="J110" s="2">
        <f t="shared" si="113"/>
        <v>1</v>
      </c>
      <c r="K110" s="2">
        <f t="shared" si="113"/>
        <v>1</v>
      </c>
      <c r="L110" s="2">
        <f t="shared" si="113"/>
        <v>1</v>
      </c>
      <c r="M110" s="2">
        <f t="shared" si="113"/>
        <v>1</v>
      </c>
      <c r="N110" s="2">
        <f t="shared" si="113"/>
        <v>1</v>
      </c>
      <c r="O110" s="2">
        <f t="shared" si="113"/>
        <v>1</v>
      </c>
      <c r="P110" s="2">
        <f t="shared" si="113"/>
        <v>1</v>
      </c>
      <c r="Q110" s="2">
        <f t="shared" si="3"/>
        <v>1</v>
      </c>
      <c r="R110" s="2">
        <f>IF(ISERROR(VLOOKUP(A110, 'Project Reference'!A:A, 1, FALSE)), 0, 1)</f>
        <v>1</v>
      </c>
      <c r="S110" s="2">
        <f>IFERROR(__xludf.DUMMYFUNCTION("IF(AND(REGEXMATCH(D110, B110), REGEXMATCH(D110, C110)), 1, 0)"),1.0)</f>
        <v>1</v>
      </c>
      <c r="T110" s="2">
        <f t="shared" si="4"/>
        <v>1</v>
      </c>
      <c r="U110" s="2">
        <f t="shared" si="5"/>
        <v>1</v>
      </c>
      <c r="V110" s="2">
        <f t="shared" si="6"/>
        <v>1</v>
      </c>
    </row>
    <row r="111" ht="14.25" customHeight="1">
      <c r="A111" s="2" t="s">
        <v>76</v>
      </c>
      <c r="B111" s="2" t="s">
        <v>12</v>
      </c>
      <c r="C111" s="2" t="s">
        <v>36</v>
      </c>
      <c r="D111" s="8" t="s">
        <v>578</v>
      </c>
      <c r="E111" s="6">
        <v>44943.0</v>
      </c>
      <c r="F111" s="6">
        <v>45136.0</v>
      </c>
      <c r="G111" s="7">
        <v>3.07413755E8</v>
      </c>
      <c r="H111" s="2" t="s">
        <v>44</v>
      </c>
      <c r="I111" s="2">
        <f t="shared" ref="I111:P111" si="114">IF(ISBLANK(A111)=TRUE,0,1)</f>
        <v>1</v>
      </c>
      <c r="J111" s="2">
        <f t="shared" si="114"/>
        <v>1</v>
      </c>
      <c r="K111" s="2">
        <f t="shared" si="114"/>
        <v>1</v>
      </c>
      <c r="L111" s="2">
        <f t="shared" si="114"/>
        <v>1</v>
      </c>
      <c r="M111" s="2">
        <f t="shared" si="114"/>
        <v>1</v>
      </c>
      <c r="N111" s="2">
        <f t="shared" si="114"/>
        <v>1</v>
      </c>
      <c r="O111" s="2">
        <f t="shared" si="114"/>
        <v>1</v>
      </c>
      <c r="P111" s="2">
        <f t="shared" si="114"/>
        <v>1</v>
      </c>
      <c r="Q111" s="2">
        <f t="shared" si="3"/>
        <v>1</v>
      </c>
      <c r="R111" s="2">
        <f>IF(ISERROR(VLOOKUP(A111, 'Project Reference'!A:A, 1, FALSE)), 0, 1)</f>
        <v>1</v>
      </c>
      <c r="S111" s="2">
        <f>IFERROR(__xludf.DUMMYFUNCTION("IF(AND(REGEXMATCH(D111, B111), REGEXMATCH(D111, C111)), 1, 0)"),1.0)</f>
        <v>1</v>
      </c>
      <c r="T111" s="2">
        <f t="shared" si="4"/>
        <v>1</v>
      </c>
      <c r="U111" s="2">
        <f t="shared" si="5"/>
        <v>1</v>
      </c>
      <c r="V111" s="2">
        <f t="shared" si="6"/>
        <v>1</v>
      </c>
    </row>
    <row r="112" ht="14.25" customHeight="1">
      <c r="A112" s="2" t="s">
        <v>77</v>
      </c>
      <c r="B112" s="2" t="s">
        <v>30</v>
      </c>
      <c r="C112" s="2" t="s">
        <v>31</v>
      </c>
      <c r="D112" s="8" t="s">
        <v>595</v>
      </c>
      <c r="E112" s="6">
        <v>44944.0</v>
      </c>
      <c r="F112" s="6">
        <v>45113.0</v>
      </c>
      <c r="G112" s="7">
        <v>6.929733135E9</v>
      </c>
      <c r="H112" s="2" t="s">
        <v>33</v>
      </c>
      <c r="I112" s="2">
        <f t="shared" ref="I112:P112" si="115">IF(ISBLANK(A112)=TRUE,0,1)</f>
        <v>1</v>
      </c>
      <c r="J112" s="2">
        <f t="shared" si="115"/>
        <v>1</v>
      </c>
      <c r="K112" s="2">
        <f t="shared" si="115"/>
        <v>1</v>
      </c>
      <c r="L112" s="2">
        <f t="shared" si="115"/>
        <v>1</v>
      </c>
      <c r="M112" s="2">
        <f t="shared" si="115"/>
        <v>1</v>
      </c>
      <c r="N112" s="2">
        <f t="shared" si="115"/>
        <v>1</v>
      </c>
      <c r="O112" s="2">
        <f t="shared" si="115"/>
        <v>1</v>
      </c>
      <c r="P112" s="2">
        <f t="shared" si="115"/>
        <v>1</v>
      </c>
      <c r="Q112" s="2">
        <f t="shared" si="3"/>
        <v>1</v>
      </c>
      <c r="R112" s="2">
        <f>IF(ISERROR(VLOOKUP(A112, 'Project Reference'!A:A, 1, FALSE)), 0, 1)</f>
        <v>1</v>
      </c>
      <c r="S112" s="2">
        <f>IFERROR(__xludf.DUMMYFUNCTION("IF(AND(REGEXMATCH(D112, B112), REGEXMATCH(D112, C112)), 1, 0)"),1.0)</f>
        <v>1</v>
      </c>
      <c r="T112" s="2">
        <f t="shared" si="4"/>
        <v>1</v>
      </c>
      <c r="U112" s="2">
        <f t="shared" si="5"/>
        <v>1</v>
      </c>
      <c r="V112" s="2">
        <f t="shared" si="6"/>
        <v>1</v>
      </c>
    </row>
    <row r="113" ht="14.25" customHeight="1">
      <c r="A113" s="2" t="s">
        <v>79</v>
      </c>
      <c r="B113" s="2" t="s">
        <v>30</v>
      </c>
      <c r="C113" s="2" t="s">
        <v>31</v>
      </c>
      <c r="D113" s="8" t="s">
        <v>585</v>
      </c>
      <c r="E113" s="6">
        <v>44944.0</v>
      </c>
      <c r="F113" s="6">
        <v>45284.0</v>
      </c>
      <c r="G113" s="7">
        <v>1.56771217E9</v>
      </c>
      <c r="H113" s="8" t="s">
        <v>581</v>
      </c>
      <c r="I113" s="2">
        <f t="shared" ref="I113:P113" si="116">IF(ISBLANK(A113)=TRUE,0,1)</f>
        <v>1</v>
      </c>
      <c r="J113" s="2">
        <f t="shared" si="116"/>
        <v>1</v>
      </c>
      <c r="K113" s="2">
        <f t="shared" si="116"/>
        <v>1</v>
      </c>
      <c r="L113" s="2">
        <f t="shared" si="116"/>
        <v>1</v>
      </c>
      <c r="M113" s="2">
        <f t="shared" si="116"/>
        <v>1</v>
      </c>
      <c r="N113" s="2">
        <f t="shared" si="116"/>
        <v>1</v>
      </c>
      <c r="O113" s="2">
        <f t="shared" si="116"/>
        <v>1</v>
      </c>
      <c r="P113" s="2">
        <f t="shared" si="116"/>
        <v>1</v>
      </c>
      <c r="Q113" s="2">
        <f t="shared" si="3"/>
        <v>1</v>
      </c>
      <c r="R113" s="2">
        <f>IF(ISERROR(VLOOKUP(A113, 'Project Reference'!A:A, 1, FALSE)), 0, 1)</f>
        <v>1</v>
      </c>
      <c r="S113" s="2">
        <f>IFERROR(__xludf.DUMMYFUNCTION("IF(AND(REGEXMATCH(D113, B113), REGEXMATCH(D113, C113)), 1, 0)"),1.0)</f>
        <v>1</v>
      </c>
      <c r="T113" s="2">
        <f t="shared" si="4"/>
        <v>1</v>
      </c>
      <c r="U113" s="2">
        <f t="shared" si="5"/>
        <v>1</v>
      </c>
      <c r="V113" s="2">
        <f t="shared" si="6"/>
        <v>1</v>
      </c>
    </row>
    <row r="114" ht="14.25" customHeight="1">
      <c r="A114" s="2" t="s">
        <v>81</v>
      </c>
      <c r="B114" s="2" t="s">
        <v>30</v>
      </c>
      <c r="C114" s="2" t="s">
        <v>39</v>
      </c>
      <c r="D114" s="8" t="s">
        <v>590</v>
      </c>
      <c r="E114" s="6">
        <v>44945.0</v>
      </c>
      <c r="F114" s="6">
        <v>45037.0</v>
      </c>
      <c r="G114" s="7">
        <v>3.020860458E9</v>
      </c>
      <c r="H114" s="8" t="s">
        <v>581</v>
      </c>
      <c r="I114" s="2">
        <f t="shared" ref="I114:P114" si="117">IF(ISBLANK(A114)=TRUE,0,1)</f>
        <v>1</v>
      </c>
      <c r="J114" s="2">
        <f t="shared" si="117"/>
        <v>1</v>
      </c>
      <c r="K114" s="2">
        <f t="shared" si="117"/>
        <v>1</v>
      </c>
      <c r="L114" s="2">
        <f t="shared" si="117"/>
        <v>1</v>
      </c>
      <c r="M114" s="2">
        <f t="shared" si="117"/>
        <v>1</v>
      </c>
      <c r="N114" s="2">
        <f t="shared" si="117"/>
        <v>1</v>
      </c>
      <c r="O114" s="2">
        <f t="shared" si="117"/>
        <v>1</v>
      </c>
      <c r="P114" s="2">
        <f t="shared" si="117"/>
        <v>1</v>
      </c>
      <c r="Q114" s="2">
        <f t="shared" si="3"/>
        <v>1</v>
      </c>
      <c r="R114" s="2">
        <f>IF(ISERROR(VLOOKUP(A114, 'Project Reference'!A:A, 1, FALSE)), 0, 1)</f>
        <v>1</v>
      </c>
      <c r="S114" s="2">
        <f>IFERROR(__xludf.DUMMYFUNCTION("IF(AND(REGEXMATCH(D114, B114), REGEXMATCH(D114, C114)), 1, 0)"),1.0)</f>
        <v>1</v>
      </c>
      <c r="T114" s="2">
        <f t="shared" si="4"/>
        <v>1</v>
      </c>
      <c r="U114" s="2">
        <f t="shared" si="5"/>
        <v>1</v>
      </c>
      <c r="V114" s="2">
        <f t="shared" si="6"/>
        <v>1</v>
      </c>
    </row>
    <row r="115" ht="14.25" customHeight="1">
      <c r="A115" s="2" t="s">
        <v>82</v>
      </c>
      <c r="B115" s="2" t="s">
        <v>35</v>
      </c>
      <c r="C115" s="2" t="s">
        <v>42</v>
      </c>
      <c r="D115" s="2" t="s">
        <v>69</v>
      </c>
      <c r="E115" s="6">
        <v>44946.0</v>
      </c>
      <c r="F115" s="6">
        <v>45105.0</v>
      </c>
      <c r="G115" s="7">
        <v>4.43234047E8</v>
      </c>
      <c r="H115" s="8" t="s">
        <v>573</v>
      </c>
      <c r="I115" s="2">
        <f t="shared" ref="I115:P115" si="118">IF(ISBLANK(A115)=TRUE,0,1)</f>
        <v>1</v>
      </c>
      <c r="J115" s="2">
        <f t="shared" si="118"/>
        <v>1</v>
      </c>
      <c r="K115" s="2">
        <f t="shared" si="118"/>
        <v>1</v>
      </c>
      <c r="L115" s="2">
        <f t="shared" si="118"/>
        <v>1</v>
      </c>
      <c r="M115" s="2">
        <f t="shared" si="118"/>
        <v>1</v>
      </c>
      <c r="N115" s="2">
        <f t="shared" si="118"/>
        <v>1</v>
      </c>
      <c r="O115" s="2">
        <f t="shared" si="118"/>
        <v>1</v>
      </c>
      <c r="P115" s="2">
        <f t="shared" si="118"/>
        <v>1</v>
      </c>
      <c r="Q115" s="2">
        <f t="shared" si="3"/>
        <v>1</v>
      </c>
      <c r="R115" s="2">
        <f>IF(ISERROR(VLOOKUP(A115, 'Project Reference'!A:A, 1, FALSE)), 0, 1)</f>
        <v>1</v>
      </c>
      <c r="S115" s="2">
        <f>IFERROR(__xludf.DUMMYFUNCTION("IF(AND(REGEXMATCH(D115, B115), REGEXMATCH(D115, C115)), 1, 0)"),1.0)</f>
        <v>1</v>
      </c>
      <c r="T115" s="2">
        <f t="shared" si="4"/>
        <v>1</v>
      </c>
      <c r="U115" s="2">
        <f t="shared" si="5"/>
        <v>1</v>
      </c>
      <c r="V115" s="2">
        <f t="shared" si="6"/>
        <v>1</v>
      </c>
    </row>
    <row r="116" ht="14.25" customHeight="1">
      <c r="A116" s="2" t="s">
        <v>84</v>
      </c>
      <c r="B116" s="2" t="s">
        <v>60</v>
      </c>
      <c r="C116" s="2" t="s">
        <v>19</v>
      </c>
      <c r="D116" s="8" t="s">
        <v>616</v>
      </c>
      <c r="E116" s="6">
        <v>44947.0</v>
      </c>
      <c r="F116" s="6">
        <v>45177.0</v>
      </c>
      <c r="G116" s="7">
        <v>4.609627E9</v>
      </c>
      <c r="H116" s="2" t="s">
        <v>33</v>
      </c>
      <c r="I116" s="2">
        <f t="shared" ref="I116:P116" si="119">IF(ISBLANK(A116)=TRUE,0,1)</f>
        <v>1</v>
      </c>
      <c r="J116" s="2">
        <f t="shared" si="119"/>
        <v>1</v>
      </c>
      <c r="K116" s="2">
        <f t="shared" si="119"/>
        <v>1</v>
      </c>
      <c r="L116" s="2">
        <f t="shared" si="119"/>
        <v>1</v>
      </c>
      <c r="M116" s="2">
        <f t="shared" si="119"/>
        <v>1</v>
      </c>
      <c r="N116" s="2">
        <f t="shared" si="119"/>
        <v>1</v>
      </c>
      <c r="O116" s="2">
        <f t="shared" si="119"/>
        <v>1</v>
      </c>
      <c r="P116" s="2">
        <f t="shared" si="119"/>
        <v>1</v>
      </c>
      <c r="Q116" s="2">
        <f t="shared" si="3"/>
        <v>1</v>
      </c>
      <c r="R116" s="2">
        <f>IF(ISERROR(VLOOKUP(A116, 'Project Reference'!A:A, 1, FALSE)), 0, 1)</f>
        <v>1</v>
      </c>
      <c r="S116" s="2">
        <f>IFERROR(__xludf.DUMMYFUNCTION("IF(AND(REGEXMATCH(D116, B116), REGEXMATCH(D116, C116)), 1, 0)"),1.0)</f>
        <v>1</v>
      </c>
      <c r="T116" s="2">
        <f t="shared" si="4"/>
        <v>1</v>
      </c>
      <c r="U116" s="2">
        <f t="shared" si="5"/>
        <v>1</v>
      </c>
      <c r="V116" s="2">
        <f t="shared" si="6"/>
        <v>1</v>
      </c>
    </row>
    <row r="117" ht="14.25" customHeight="1">
      <c r="A117" s="2" t="s">
        <v>86</v>
      </c>
      <c r="B117" s="2" t="s">
        <v>12</v>
      </c>
      <c r="C117" s="2" t="s">
        <v>36</v>
      </c>
      <c r="D117" s="8" t="s">
        <v>578</v>
      </c>
      <c r="E117" s="6">
        <v>44948.0</v>
      </c>
      <c r="F117" s="6">
        <v>45054.0</v>
      </c>
      <c r="G117" s="7">
        <v>9.95204213E8</v>
      </c>
      <c r="H117" s="8" t="s">
        <v>581</v>
      </c>
      <c r="I117" s="2">
        <f t="shared" ref="I117:P117" si="120">IF(ISBLANK(A117)=TRUE,0,1)</f>
        <v>1</v>
      </c>
      <c r="J117" s="2">
        <f t="shared" si="120"/>
        <v>1</v>
      </c>
      <c r="K117" s="2">
        <f t="shared" si="120"/>
        <v>1</v>
      </c>
      <c r="L117" s="2">
        <f t="shared" si="120"/>
        <v>1</v>
      </c>
      <c r="M117" s="2">
        <f t="shared" si="120"/>
        <v>1</v>
      </c>
      <c r="N117" s="2">
        <f t="shared" si="120"/>
        <v>1</v>
      </c>
      <c r="O117" s="2">
        <f t="shared" si="120"/>
        <v>1</v>
      </c>
      <c r="P117" s="2">
        <f t="shared" si="120"/>
        <v>1</v>
      </c>
      <c r="Q117" s="2">
        <f t="shared" si="3"/>
        <v>1</v>
      </c>
      <c r="R117" s="2">
        <f>IF(ISERROR(VLOOKUP(A117, 'Project Reference'!A:A, 1, FALSE)), 0, 1)</f>
        <v>1</v>
      </c>
      <c r="S117" s="2">
        <f>IFERROR(__xludf.DUMMYFUNCTION("IF(AND(REGEXMATCH(D117, B117), REGEXMATCH(D117, C117)), 1, 0)"),1.0)</f>
        <v>1</v>
      </c>
      <c r="T117" s="2">
        <f t="shared" si="4"/>
        <v>1</v>
      </c>
      <c r="U117" s="2">
        <f t="shared" si="5"/>
        <v>1</v>
      </c>
      <c r="V117" s="2">
        <f t="shared" si="6"/>
        <v>1</v>
      </c>
    </row>
    <row r="118" ht="14.25" customHeight="1">
      <c r="A118" s="2" t="s">
        <v>88</v>
      </c>
      <c r="B118" s="2" t="s">
        <v>60</v>
      </c>
      <c r="C118" s="2" t="s">
        <v>42</v>
      </c>
      <c r="D118" s="8" t="s">
        <v>617</v>
      </c>
      <c r="E118" s="6">
        <v>44949.0</v>
      </c>
      <c r="F118" s="6">
        <v>45041.0</v>
      </c>
      <c r="G118" s="7">
        <v>3.867579335E9</v>
      </c>
      <c r="H118" s="2" t="s">
        <v>50</v>
      </c>
      <c r="I118" s="2">
        <f t="shared" ref="I118:P118" si="121">IF(ISBLANK(A118)=TRUE,0,1)</f>
        <v>1</v>
      </c>
      <c r="J118" s="2">
        <f t="shared" si="121"/>
        <v>1</v>
      </c>
      <c r="K118" s="2">
        <f t="shared" si="121"/>
        <v>1</v>
      </c>
      <c r="L118" s="2">
        <f t="shared" si="121"/>
        <v>1</v>
      </c>
      <c r="M118" s="2">
        <f t="shared" si="121"/>
        <v>1</v>
      </c>
      <c r="N118" s="2">
        <f t="shared" si="121"/>
        <v>1</v>
      </c>
      <c r="O118" s="2">
        <f t="shared" si="121"/>
        <v>1</v>
      </c>
      <c r="P118" s="2">
        <f t="shared" si="121"/>
        <v>1</v>
      </c>
      <c r="Q118" s="2">
        <f t="shared" si="3"/>
        <v>1</v>
      </c>
      <c r="R118" s="2">
        <f>IF(ISERROR(VLOOKUP(A118, 'Project Reference'!A:A, 1, FALSE)), 0, 1)</f>
        <v>1</v>
      </c>
      <c r="S118" s="2">
        <f>IFERROR(__xludf.DUMMYFUNCTION("IF(AND(REGEXMATCH(D118, B118), REGEXMATCH(D118, C118)), 1, 0)"),1.0)</f>
        <v>1</v>
      </c>
      <c r="T118" s="2">
        <f t="shared" si="4"/>
        <v>1</v>
      </c>
      <c r="U118" s="2">
        <f t="shared" si="5"/>
        <v>1</v>
      </c>
      <c r="V118" s="2">
        <f t="shared" si="6"/>
        <v>1</v>
      </c>
    </row>
    <row r="119" ht="14.25" customHeight="1">
      <c r="A119" s="2" t="s">
        <v>89</v>
      </c>
      <c r="B119" s="2" t="s">
        <v>18</v>
      </c>
      <c r="C119" s="2" t="s">
        <v>24</v>
      </c>
      <c r="D119" s="8" t="s">
        <v>618</v>
      </c>
      <c r="E119" s="6">
        <v>44949.0</v>
      </c>
      <c r="F119" s="6">
        <v>44986.0</v>
      </c>
      <c r="G119" s="7">
        <v>8.428412586E9</v>
      </c>
      <c r="H119" s="8" t="s">
        <v>573</v>
      </c>
      <c r="I119" s="2">
        <f t="shared" ref="I119:P119" si="122">IF(ISBLANK(A119)=TRUE,0,1)</f>
        <v>1</v>
      </c>
      <c r="J119" s="2">
        <f t="shared" si="122"/>
        <v>1</v>
      </c>
      <c r="K119" s="2">
        <f t="shared" si="122"/>
        <v>1</v>
      </c>
      <c r="L119" s="2">
        <f t="shared" si="122"/>
        <v>1</v>
      </c>
      <c r="M119" s="2">
        <f t="shared" si="122"/>
        <v>1</v>
      </c>
      <c r="N119" s="2">
        <f t="shared" si="122"/>
        <v>1</v>
      </c>
      <c r="O119" s="2">
        <f t="shared" si="122"/>
        <v>1</v>
      </c>
      <c r="P119" s="2">
        <f t="shared" si="122"/>
        <v>1</v>
      </c>
      <c r="Q119" s="2">
        <f t="shared" si="3"/>
        <v>1</v>
      </c>
      <c r="R119" s="2">
        <f>IF(ISERROR(VLOOKUP(A119, 'Project Reference'!A:A, 1, FALSE)), 0, 1)</f>
        <v>1</v>
      </c>
      <c r="S119" s="2">
        <f>IFERROR(__xludf.DUMMYFUNCTION("IF(AND(REGEXMATCH(D119, B119), REGEXMATCH(D119, C119)), 1, 0)"),1.0)</f>
        <v>1</v>
      </c>
      <c r="T119" s="2">
        <f t="shared" si="4"/>
        <v>1</v>
      </c>
      <c r="U119" s="2">
        <f t="shared" si="5"/>
        <v>1</v>
      </c>
      <c r="V119" s="2">
        <f t="shared" si="6"/>
        <v>1</v>
      </c>
    </row>
    <row r="120" ht="14.25" customHeight="1">
      <c r="A120" s="2" t="s">
        <v>90</v>
      </c>
      <c r="B120" s="2" t="s">
        <v>60</v>
      </c>
      <c r="C120" s="2" t="s">
        <v>13</v>
      </c>
      <c r="D120" s="8" t="s">
        <v>619</v>
      </c>
      <c r="E120" s="6">
        <v>44950.0</v>
      </c>
      <c r="F120" s="6">
        <v>45078.0</v>
      </c>
      <c r="G120" s="7">
        <v>2.004784321E9</v>
      </c>
      <c r="H120" s="2" t="s">
        <v>21</v>
      </c>
      <c r="I120" s="2">
        <f t="shared" ref="I120:P120" si="123">IF(ISBLANK(A120)=TRUE,0,1)</f>
        <v>1</v>
      </c>
      <c r="J120" s="2">
        <f t="shared" si="123"/>
        <v>1</v>
      </c>
      <c r="K120" s="2">
        <f t="shared" si="123"/>
        <v>1</v>
      </c>
      <c r="L120" s="2">
        <f t="shared" si="123"/>
        <v>1</v>
      </c>
      <c r="M120" s="2">
        <f t="shared" si="123"/>
        <v>1</v>
      </c>
      <c r="N120" s="2">
        <f t="shared" si="123"/>
        <v>1</v>
      </c>
      <c r="O120" s="2">
        <f t="shared" si="123"/>
        <v>1</v>
      </c>
      <c r="P120" s="2">
        <f t="shared" si="123"/>
        <v>1</v>
      </c>
      <c r="Q120" s="2">
        <f t="shared" si="3"/>
        <v>1</v>
      </c>
      <c r="R120" s="2">
        <f>IF(ISERROR(VLOOKUP(A120, 'Project Reference'!A:A, 1, FALSE)), 0, 1)</f>
        <v>1</v>
      </c>
      <c r="S120" s="2">
        <f>IFERROR(__xludf.DUMMYFUNCTION("IF(AND(REGEXMATCH(D120, B120), REGEXMATCH(D120, C120)), 1, 0)"),1.0)</f>
        <v>1</v>
      </c>
      <c r="T120" s="2">
        <f t="shared" si="4"/>
        <v>1</v>
      </c>
      <c r="U120" s="2">
        <f t="shared" si="5"/>
        <v>1</v>
      </c>
      <c r="V120" s="2">
        <f t="shared" si="6"/>
        <v>1</v>
      </c>
    </row>
    <row r="121" ht="14.25" customHeight="1">
      <c r="A121" s="2" t="s">
        <v>92</v>
      </c>
      <c r="B121" s="2" t="s">
        <v>30</v>
      </c>
      <c r="C121" s="2" t="s">
        <v>48</v>
      </c>
      <c r="D121" s="8" t="s">
        <v>620</v>
      </c>
      <c r="E121" s="6">
        <v>44950.0</v>
      </c>
      <c r="F121" s="6">
        <v>45023.0</v>
      </c>
      <c r="G121" s="7">
        <v>2.364631347E9</v>
      </c>
      <c r="H121" s="2" t="s">
        <v>44</v>
      </c>
      <c r="I121" s="2">
        <f t="shared" ref="I121:P121" si="124">IF(ISBLANK(A121)=TRUE,0,1)</f>
        <v>1</v>
      </c>
      <c r="J121" s="2">
        <f t="shared" si="124"/>
        <v>1</v>
      </c>
      <c r="K121" s="2">
        <f t="shared" si="124"/>
        <v>1</v>
      </c>
      <c r="L121" s="2">
        <f t="shared" si="124"/>
        <v>1</v>
      </c>
      <c r="M121" s="2">
        <f t="shared" si="124"/>
        <v>1</v>
      </c>
      <c r="N121" s="2">
        <f t="shared" si="124"/>
        <v>1</v>
      </c>
      <c r="O121" s="2">
        <f t="shared" si="124"/>
        <v>1</v>
      </c>
      <c r="P121" s="2">
        <f t="shared" si="124"/>
        <v>1</v>
      </c>
      <c r="Q121" s="2">
        <f t="shared" si="3"/>
        <v>1</v>
      </c>
      <c r="R121" s="2">
        <f>IF(ISERROR(VLOOKUP(A121, 'Project Reference'!A:A, 1, FALSE)), 0, 1)</f>
        <v>1</v>
      </c>
      <c r="S121" s="2">
        <f>IFERROR(__xludf.DUMMYFUNCTION("IF(AND(REGEXMATCH(D121, B121), REGEXMATCH(D121, C121)), 1, 0)"),1.0)</f>
        <v>1</v>
      </c>
      <c r="T121" s="2">
        <f t="shared" si="4"/>
        <v>1</v>
      </c>
      <c r="U121" s="2">
        <f t="shared" si="5"/>
        <v>1</v>
      </c>
      <c r="V121" s="2">
        <f t="shared" si="6"/>
        <v>1</v>
      </c>
    </row>
    <row r="122" ht="14.25" customHeight="1">
      <c r="A122" s="2" t="s">
        <v>94</v>
      </c>
      <c r="B122" s="2" t="s">
        <v>30</v>
      </c>
      <c r="C122" s="2" t="s">
        <v>31</v>
      </c>
      <c r="D122" s="8" t="s">
        <v>585</v>
      </c>
      <c r="E122" s="6">
        <v>44951.0</v>
      </c>
      <c r="F122" s="6">
        <v>45187.0</v>
      </c>
      <c r="G122" s="7">
        <v>7.177546505E9</v>
      </c>
      <c r="H122" s="2" t="s">
        <v>21</v>
      </c>
      <c r="I122" s="2">
        <f t="shared" ref="I122:P122" si="125">IF(ISBLANK(A122)=TRUE,0,1)</f>
        <v>1</v>
      </c>
      <c r="J122" s="2">
        <f t="shared" si="125"/>
        <v>1</v>
      </c>
      <c r="K122" s="2">
        <f t="shared" si="125"/>
        <v>1</v>
      </c>
      <c r="L122" s="2">
        <f t="shared" si="125"/>
        <v>1</v>
      </c>
      <c r="M122" s="2">
        <f t="shared" si="125"/>
        <v>1</v>
      </c>
      <c r="N122" s="2">
        <f t="shared" si="125"/>
        <v>1</v>
      </c>
      <c r="O122" s="2">
        <f t="shared" si="125"/>
        <v>1</v>
      </c>
      <c r="P122" s="2">
        <f t="shared" si="125"/>
        <v>1</v>
      </c>
      <c r="Q122" s="2">
        <f t="shared" si="3"/>
        <v>1</v>
      </c>
      <c r="R122" s="2">
        <f>IF(ISERROR(VLOOKUP(A122, 'Project Reference'!A:A, 1, FALSE)), 0, 1)</f>
        <v>1</v>
      </c>
      <c r="S122" s="2">
        <f>IFERROR(__xludf.DUMMYFUNCTION("IF(AND(REGEXMATCH(D122, B122), REGEXMATCH(D122, C122)), 1, 0)"),1.0)</f>
        <v>1</v>
      </c>
      <c r="T122" s="2">
        <f t="shared" si="4"/>
        <v>1</v>
      </c>
      <c r="U122" s="2">
        <f t="shared" si="5"/>
        <v>1</v>
      </c>
      <c r="V122" s="2">
        <f t="shared" si="6"/>
        <v>1</v>
      </c>
    </row>
    <row r="123" ht="14.25" customHeight="1">
      <c r="A123" s="2" t="s">
        <v>96</v>
      </c>
      <c r="B123" s="2" t="s">
        <v>35</v>
      </c>
      <c r="C123" s="2" t="s">
        <v>31</v>
      </c>
      <c r="D123" s="2" t="s">
        <v>91</v>
      </c>
      <c r="E123" s="6">
        <v>44951.0</v>
      </c>
      <c r="F123" s="6">
        <v>45262.0</v>
      </c>
      <c r="G123" s="7">
        <v>4.20827734E8</v>
      </c>
      <c r="H123" s="2" t="s">
        <v>67</v>
      </c>
      <c r="I123" s="2">
        <f t="shared" ref="I123:P123" si="126">IF(ISBLANK(A123)=TRUE,0,1)</f>
        <v>1</v>
      </c>
      <c r="J123" s="2">
        <f t="shared" si="126"/>
        <v>1</v>
      </c>
      <c r="K123" s="2">
        <f t="shared" si="126"/>
        <v>1</v>
      </c>
      <c r="L123" s="2">
        <f t="shared" si="126"/>
        <v>1</v>
      </c>
      <c r="M123" s="2">
        <f t="shared" si="126"/>
        <v>1</v>
      </c>
      <c r="N123" s="2">
        <f t="shared" si="126"/>
        <v>1</v>
      </c>
      <c r="O123" s="2">
        <f t="shared" si="126"/>
        <v>1</v>
      </c>
      <c r="P123" s="2">
        <f t="shared" si="126"/>
        <v>1</v>
      </c>
      <c r="Q123" s="2">
        <f t="shared" si="3"/>
        <v>1</v>
      </c>
      <c r="R123" s="2">
        <f>IF(ISERROR(VLOOKUP(A123, 'Project Reference'!A:A, 1, FALSE)), 0, 1)</f>
        <v>1</v>
      </c>
      <c r="S123" s="2">
        <f>IFERROR(__xludf.DUMMYFUNCTION("IF(AND(REGEXMATCH(D123, B123), REGEXMATCH(D123, C123)), 1, 0)"),1.0)</f>
        <v>1</v>
      </c>
      <c r="T123" s="2">
        <f t="shared" si="4"/>
        <v>1</v>
      </c>
      <c r="U123" s="2">
        <f t="shared" si="5"/>
        <v>1</v>
      </c>
      <c r="V123" s="2">
        <f t="shared" si="6"/>
        <v>1</v>
      </c>
    </row>
    <row r="124" ht="14.25" customHeight="1">
      <c r="A124" s="2" t="s">
        <v>99</v>
      </c>
      <c r="B124" s="2" t="s">
        <v>60</v>
      </c>
      <c r="C124" s="2" t="s">
        <v>31</v>
      </c>
      <c r="D124" s="8" t="s">
        <v>599</v>
      </c>
      <c r="E124" s="6">
        <v>44954.0</v>
      </c>
      <c r="F124" s="6">
        <v>45220.0</v>
      </c>
      <c r="G124" s="7">
        <v>1.545241955E9</v>
      </c>
      <c r="H124" s="2" t="s">
        <v>44</v>
      </c>
      <c r="I124" s="2">
        <f t="shared" ref="I124:P124" si="127">IF(ISBLANK(A124)=TRUE,0,1)</f>
        <v>1</v>
      </c>
      <c r="J124" s="2">
        <f t="shared" si="127"/>
        <v>1</v>
      </c>
      <c r="K124" s="2">
        <f t="shared" si="127"/>
        <v>1</v>
      </c>
      <c r="L124" s="2">
        <f t="shared" si="127"/>
        <v>1</v>
      </c>
      <c r="M124" s="2">
        <f t="shared" si="127"/>
        <v>1</v>
      </c>
      <c r="N124" s="2">
        <f t="shared" si="127"/>
        <v>1</v>
      </c>
      <c r="O124" s="2">
        <f t="shared" si="127"/>
        <v>1</v>
      </c>
      <c r="P124" s="2">
        <f t="shared" si="127"/>
        <v>1</v>
      </c>
      <c r="Q124" s="2">
        <f t="shared" si="3"/>
        <v>1</v>
      </c>
      <c r="R124" s="2">
        <f>IF(ISERROR(VLOOKUP(A124, 'Project Reference'!A:A, 1, FALSE)), 0, 1)</f>
        <v>1</v>
      </c>
      <c r="S124" s="2">
        <f>IFERROR(__xludf.DUMMYFUNCTION("IF(AND(REGEXMATCH(D124, B124), REGEXMATCH(D124, C124)), 1, 0)"),1.0)</f>
        <v>1</v>
      </c>
      <c r="T124" s="2">
        <f t="shared" si="4"/>
        <v>1</v>
      </c>
      <c r="U124" s="2">
        <f t="shared" si="5"/>
        <v>1</v>
      </c>
      <c r="V124" s="2">
        <f t="shared" si="6"/>
        <v>1</v>
      </c>
    </row>
    <row r="125" ht="14.25" customHeight="1">
      <c r="A125" s="2" t="s">
        <v>100</v>
      </c>
      <c r="B125" s="2" t="s">
        <v>18</v>
      </c>
      <c r="C125" s="2" t="s">
        <v>42</v>
      </c>
      <c r="D125" s="8" t="s">
        <v>621</v>
      </c>
      <c r="E125" s="6">
        <v>44954.0</v>
      </c>
      <c r="F125" s="6">
        <v>45158.0</v>
      </c>
      <c r="G125" s="7">
        <v>6.831252497E9</v>
      </c>
      <c r="H125" s="2" t="s">
        <v>21</v>
      </c>
      <c r="I125" s="2">
        <f t="shared" ref="I125:P125" si="128">IF(ISBLANK(A125)=TRUE,0,1)</f>
        <v>1</v>
      </c>
      <c r="J125" s="2">
        <f t="shared" si="128"/>
        <v>1</v>
      </c>
      <c r="K125" s="2">
        <f t="shared" si="128"/>
        <v>1</v>
      </c>
      <c r="L125" s="2">
        <f t="shared" si="128"/>
        <v>1</v>
      </c>
      <c r="M125" s="2">
        <f t="shared" si="128"/>
        <v>1</v>
      </c>
      <c r="N125" s="2">
        <f t="shared" si="128"/>
        <v>1</v>
      </c>
      <c r="O125" s="2">
        <f t="shared" si="128"/>
        <v>1</v>
      </c>
      <c r="P125" s="2">
        <f t="shared" si="128"/>
        <v>1</v>
      </c>
      <c r="Q125" s="2">
        <f t="shared" si="3"/>
        <v>1</v>
      </c>
      <c r="R125" s="2">
        <f>IF(ISERROR(VLOOKUP(A125, 'Project Reference'!A:A, 1, FALSE)), 0, 1)</f>
        <v>1</v>
      </c>
      <c r="S125" s="2">
        <f>IFERROR(__xludf.DUMMYFUNCTION("IF(AND(REGEXMATCH(D125, B125), REGEXMATCH(D125, C125)), 1, 0)"),1.0)</f>
        <v>1</v>
      </c>
      <c r="T125" s="2">
        <f t="shared" si="4"/>
        <v>1</v>
      </c>
      <c r="U125" s="2">
        <f t="shared" si="5"/>
        <v>1</v>
      </c>
      <c r="V125" s="2">
        <f t="shared" si="6"/>
        <v>1</v>
      </c>
    </row>
    <row r="126" ht="14.25" customHeight="1">
      <c r="A126" s="2" t="s">
        <v>103</v>
      </c>
      <c r="B126" s="2" t="s">
        <v>60</v>
      </c>
      <c r="C126" s="2" t="s">
        <v>48</v>
      </c>
      <c r="D126" s="8" t="s">
        <v>622</v>
      </c>
      <c r="E126" s="6">
        <v>44958.0</v>
      </c>
      <c r="F126" s="6">
        <v>45158.0</v>
      </c>
      <c r="G126" s="7">
        <v>3.6783916E9</v>
      </c>
      <c r="H126" s="2" t="s">
        <v>67</v>
      </c>
      <c r="I126" s="2">
        <f t="shared" ref="I126:P126" si="129">IF(ISBLANK(A126)=TRUE,0,1)</f>
        <v>1</v>
      </c>
      <c r="J126" s="2">
        <f t="shared" si="129"/>
        <v>1</v>
      </c>
      <c r="K126" s="2">
        <f t="shared" si="129"/>
        <v>1</v>
      </c>
      <c r="L126" s="2">
        <f t="shared" si="129"/>
        <v>1</v>
      </c>
      <c r="M126" s="2">
        <f t="shared" si="129"/>
        <v>1</v>
      </c>
      <c r="N126" s="2">
        <f t="shared" si="129"/>
        <v>1</v>
      </c>
      <c r="O126" s="2">
        <f t="shared" si="129"/>
        <v>1</v>
      </c>
      <c r="P126" s="2">
        <f t="shared" si="129"/>
        <v>1</v>
      </c>
      <c r="Q126" s="2">
        <f t="shared" si="3"/>
        <v>1</v>
      </c>
      <c r="R126" s="2">
        <f>IF(ISERROR(VLOOKUP(A126, 'Project Reference'!A:A, 1, FALSE)), 0, 1)</f>
        <v>1</v>
      </c>
      <c r="S126" s="2">
        <f>IFERROR(__xludf.DUMMYFUNCTION("IF(AND(REGEXMATCH(D126, B126), REGEXMATCH(D126, C126)), 1, 0)"),1.0)</f>
        <v>1</v>
      </c>
      <c r="T126" s="2">
        <f t="shared" si="4"/>
        <v>1</v>
      </c>
      <c r="U126" s="2">
        <f t="shared" si="5"/>
        <v>1</v>
      </c>
      <c r="V126" s="2">
        <f t="shared" si="6"/>
        <v>1</v>
      </c>
    </row>
    <row r="127" ht="14.25" customHeight="1">
      <c r="A127" s="2" t="s">
        <v>104</v>
      </c>
      <c r="B127" s="2" t="s">
        <v>12</v>
      </c>
      <c r="C127" s="2" t="s">
        <v>36</v>
      </c>
      <c r="D127" s="8" t="s">
        <v>578</v>
      </c>
      <c r="E127" s="6">
        <v>44959.0</v>
      </c>
      <c r="F127" s="6">
        <v>45258.0</v>
      </c>
      <c r="G127" s="7">
        <v>8.88014731E8</v>
      </c>
      <c r="H127" s="2" t="s">
        <v>67</v>
      </c>
      <c r="I127" s="2">
        <f t="shared" ref="I127:P127" si="130">IF(ISBLANK(A127)=TRUE,0,1)</f>
        <v>1</v>
      </c>
      <c r="J127" s="2">
        <f t="shared" si="130"/>
        <v>1</v>
      </c>
      <c r="K127" s="2">
        <f t="shared" si="130"/>
        <v>1</v>
      </c>
      <c r="L127" s="2">
        <f t="shared" si="130"/>
        <v>1</v>
      </c>
      <c r="M127" s="2">
        <f t="shared" si="130"/>
        <v>1</v>
      </c>
      <c r="N127" s="2">
        <f t="shared" si="130"/>
        <v>1</v>
      </c>
      <c r="O127" s="2">
        <f t="shared" si="130"/>
        <v>1</v>
      </c>
      <c r="P127" s="2">
        <f t="shared" si="130"/>
        <v>1</v>
      </c>
      <c r="Q127" s="2">
        <f t="shared" si="3"/>
        <v>1</v>
      </c>
      <c r="R127" s="2">
        <f>IF(ISERROR(VLOOKUP(A127, 'Project Reference'!A:A, 1, FALSE)), 0, 1)</f>
        <v>1</v>
      </c>
      <c r="S127" s="2">
        <f>IFERROR(__xludf.DUMMYFUNCTION("IF(AND(REGEXMATCH(D127, B127), REGEXMATCH(D127, C127)), 1, 0)"),1.0)</f>
        <v>1</v>
      </c>
      <c r="T127" s="2">
        <f t="shared" si="4"/>
        <v>1</v>
      </c>
      <c r="U127" s="2">
        <f t="shared" si="5"/>
        <v>1</v>
      </c>
      <c r="V127" s="2">
        <f t="shared" si="6"/>
        <v>1</v>
      </c>
    </row>
    <row r="128" ht="14.25" customHeight="1">
      <c r="A128" s="2" t="s">
        <v>105</v>
      </c>
      <c r="B128" s="2" t="s">
        <v>12</v>
      </c>
      <c r="C128" s="2" t="s">
        <v>39</v>
      </c>
      <c r="D128" s="8" t="s">
        <v>591</v>
      </c>
      <c r="E128" s="6">
        <v>44959.0</v>
      </c>
      <c r="F128" s="6">
        <v>45150.0</v>
      </c>
      <c r="G128" s="7">
        <v>5.9362902E8</v>
      </c>
      <c r="H128" s="2" t="s">
        <v>50</v>
      </c>
      <c r="I128" s="2">
        <f t="shared" ref="I128:P128" si="131">IF(ISBLANK(A128)=TRUE,0,1)</f>
        <v>1</v>
      </c>
      <c r="J128" s="2">
        <f t="shared" si="131"/>
        <v>1</v>
      </c>
      <c r="K128" s="2">
        <f t="shared" si="131"/>
        <v>1</v>
      </c>
      <c r="L128" s="2">
        <f t="shared" si="131"/>
        <v>1</v>
      </c>
      <c r="M128" s="2">
        <f t="shared" si="131"/>
        <v>1</v>
      </c>
      <c r="N128" s="2">
        <f t="shared" si="131"/>
        <v>1</v>
      </c>
      <c r="O128" s="2">
        <f t="shared" si="131"/>
        <v>1</v>
      </c>
      <c r="P128" s="2">
        <f t="shared" si="131"/>
        <v>1</v>
      </c>
      <c r="Q128" s="2">
        <f t="shared" si="3"/>
        <v>1</v>
      </c>
      <c r="R128" s="2">
        <f>IF(ISERROR(VLOOKUP(A128, 'Project Reference'!A:A, 1, FALSE)), 0, 1)</f>
        <v>1</v>
      </c>
      <c r="S128" s="2">
        <f>IFERROR(__xludf.DUMMYFUNCTION("IF(AND(REGEXMATCH(D128, B128), REGEXMATCH(D128, C128)), 1, 0)"),1.0)</f>
        <v>1</v>
      </c>
      <c r="T128" s="2">
        <f t="shared" si="4"/>
        <v>1</v>
      </c>
      <c r="U128" s="2">
        <f t="shared" si="5"/>
        <v>1</v>
      </c>
      <c r="V128" s="2">
        <f t="shared" si="6"/>
        <v>1</v>
      </c>
    </row>
    <row r="129" ht="14.25" customHeight="1">
      <c r="A129" s="2" t="s">
        <v>107</v>
      </c>
      <c r="B129" s="2" t="s">
        <v>35</v>
      </c>
      <c r="C129" s="2" t="s">
        <v>36</v>
      </c>
      <c r="D129" s="2" t="s">
        <v>37</v>
      </c>
      <c r="E129" s="6">
        <v>44960.0</v>
      </c>
      <c r="F129" s="6">
        <v>45303.0</v>
      </c>
      <c r="G129" s="7">
        <v>2.1345744E8</v>
      </c>
      <c r="H129" s="2" t="s">
        <v>21</v>
      </c>
      <c r="I129" s="2">
        <f t="shared" ref="I129:P129" si="132">IF(ISBLANK(A129)=TRUE,0,1)</f>
        <v>1</v>
      </c>
      <c r="J129" s="2">
        <f t="shared" si="132"/>
        <v>1</v>
      </c>
      <c r="K129" s="2">
        <f t="shared" si="132"/>
        <v>1</v>
      </c>
      <c r="L129" s="2">
        <f t="shared" si="132"/>
        <v>1</v>
      </c>
      <c r="M129" s="2">
        <f t="shared" si="132"/>
        <v>1</v>
      </c>
      <c r="N129" s="2">
        <f t="shared" si="132"/>
        <v>1</v>
      </c>
      <c r="O129" s="2">
        <f t="shared" si="132"/>
        <v>1</v>
      </c>
      <c r="P129" s="2">
        <f t="shared" si="132"/>
        <v>1</v>
      </c>
      <c r="Q129" s="2">
        <f t="shared" si="3"/>
        <v>1</v>
      </c>
      <c r="R129" s="2">
        <f>IF(ISERROR(VLOOKUP(A129, 'Project Reference'!A:A, 1, FALSE)), 0, 1)</f>
        <v>1</v>
      </c>
      <c r="S129" s="2">
        <f>IFERROR(__xludf.DUMMYFUNCTION("IF(AND(REGEXMATCH(D129, B129), REGEXMATCH(D129, C129)), 1, 0)"),1.0)</f>
        <v>1</v>
      </c>
      <c r="T129" s="2">
        <f t="shared" si="4"/>
        <v>1</v>
      </c>
      <c r="U129" s="2">
        <f t="shared" si="5"/>
        <v>1</v>
      </c>
      <c r="V129" s="2">
        <f t="shared" si="6"/>
        <v>1</v>
      </c>
    </row>
    <row r="130" ht="14.25" customHeight="1">
      <c r="A130" s="2" t="s">
        <v>108</v>
      </c>
      <c r="B130" s="2" t="s">
        <v>35</v>
      </c>
      <c r="C130" s="2" t="s">
        <v>39</v>
      </c>
      <c r="D130" s="2" t="s">
        <v>145</v>
      </c>
      <c r="E130" s="6">
        <v>44961.0</v>
      </c>
      <c r="F130" s="6">
        <v>45065.0</v>
      </c>
      <c r="G130" s="7">
        <v>3.27569561E8</v>
      </c>
      <c r="H130" s="2" t="s">
        <v>21</v>
      </c>
      <c r="I130" s="2">
        <f t="shared" ref="I130:P130" si="133">IF(ISBLANK(A130)=TRUE,0,1)</f>
        <v>1</v>
      </c>
      <c r="J130" s="2">
        <f t="shared" si="133"/>
        <v>1</v>
      </c>
      <c r="K130" s="2">
        <f t="shared" si="133"/>
        <v>1</v>
      </c>
      <c r="L130" s="2">
        <f t="shared" si="133"/>
        <v>1</v>
      </c>
      <c r="M130" s="2">
        <f t="shared" si="133"/>
        <v>1</v>
      </c>
      <c r="N130" s="2">
        <f t="shared" si="133"/>
        <v>1</v>
      </c>
      <c r="O130" s="2">
        <f t="shared" si="133"/>
        <v>1</v>
      </c>
      <c r="P130" s="2">
        <f t="shared" si="133"/>
        <v>1</v>
      </c>
      <c r="Q130" s="2">
        <f t="shared" si="3"/>
        <v>1</v>
      </c>
      <c r="R130" s="2">
        <f>IF(ISERROR(VLOOKUP(A130, 'Project Reference'!A:A, 1, FALSE)), 0, 1)</f>
        <v>1</v>
      </c>
      <c r="S130" s="2">
        <f>IFERROR(__xludf.DUMMYFUNCTION("IF(AND(REGEXMATCH(D130, B130), REGEXMATCH(D130, C130)), 1, 0)"),1.0)</f>
        <v>1</v>
      </c>
      <c r="T130" s="2">
        <f t="shared" si="4"/>
        <v>1</v>
      </c>
      <c r="U130" s="2">
        <f t="shared" si="5"/>
        <v>1</v>
      </c>
      <c r="V130" s="2">
        <f t="shared" si="6"/>
        <v>1</v>
      </c>
    </row>
    <row r="131" ht="14.25" customHeight="1">
      <c r="A131" s="2" t="s">
        <v>109</v>
      </c>
      <c r="B131" s="2" t="s">
        <v>35</v>
      </c>
      <c r="C131" s="2" t="s">
        <v>39</v>
      </c>
      <c r="D131" s="2" t="s">
        <v>145</v>
      </c>
      <c r="E131" s="6">
        <v>44961.0</v>
      </c>
      <c r="F131" s="6">
        <v>45078.0</v>
      </c>
      <c r="G131" s="7">
        <v>7.05483967E8</v>
      </c>
      <c r="H131" s="2" t="s">
        <v>44</v>
      </c>
      <c r="I131" s="2">
        <f t="shared" ref="I131:P131" si="134">IF(ISBLANK(A131)=TRUE,0,1)</f>
        <v>1</v>
      </c>
      <c r="J131" s="2">
        <f t="shared" si="134"/>
        <v>1</v>
      </c>
      <c r="K131" s="2">
        <f t="shared" si="134"/>
        <v>1</v>
      </c>
      <c r="L131" s="2">
        <f t="shared" si="134"/>
        <v>1</v>
      </c>
      <c r="M131" s="2">
        <f t="shared" si="134"/>
        <v>1</v>
      </c>
      <c r="N131" s="2">
        <f t="shared" si="134"/>
        <v>1</v>
      </c>
      <c r="O131" s="2">
        <f t="shared" si="134"/>
        <v>1</v>
      </c>
      <c r="P131" s="2">
        <f t="shared" si="134"/>
        <v>1</v>
      </c>
      <c r="Q131" s="2">
        <f t="shared" si="3"/>
        <v>1</v>
      </c>
      <c r="R131" s="2">
        <f>IF(ISERROR(VLOOKUP(A131, 'Project Reference'!A:A, 1, FALSE)), 0, 1)</f>
        <v>1</v>
      </c>
      <c r="S131" s="2">
        <f>IFERROR(__xludf.DUMMYFUNCTION("IF(AND(REGEXMATCH(D131, B131), REGEXMATCH(D131, C131)), 1, 0)"),1.0)</f>
        <v>1</v>
      </c>
      <c r="T131" s="2">
        <f t="shared" si="4"/>
        <v>1</v>
      </c>
      <c r="U131" s="2">
        <f t="shared" si="5"/>
        <v>1</v>
      </c>
      <c r="V131" s="2">
        <f t="shared" si="6"/>
        <v>1</v>
      </c>
    </row>
    <row r="132" ht="14.25" customHeight="1">
      <c r="A132" s="2" t="s">
        <v>110</v>
      </c>
      <c r="B132" s="2" t="s">
        <v>30</v>
      </c>
      <c r="C132" s="2" t="s">
        <v>19</v>
      </c>
      <c r="D132" s="8" t="s">
        <v>624</v>
      </c>
      <c r="E132" s="6">
        <v>44963.0</v>
      </c>
      <c r="F132" s="6">
        <v>45048.0</v>
      </c>
      <c r="G132" s="7">
        <v>3.447782131E9</v>
      </c>
      <c r="H132" s="2" t="s">
        <v>50</v>
      </c>
      <c r="I132" s="2">
        <f t="shared" ref="I132:P132" si="135">IF(ISBLANK(A132)=TRUE,0,1)</f>
        <v>1</v>
      </c>
      <c r="J132" s="2">
        <f t="shared" si="135"/>
        <v>1</v>
      </c>
      <c r="K132" s="2">
        <f t="shared" si="135"/>
        <v>1</v>
      </c>
      <c r="L132" s="2">
        <f t="shared" si="135"/>
        <v>1</v>
      </c>
      <c r="M132" s="2">
        <f t="shared" si="135"/>
        <v>1</v>
      </c>
      <c r="N132" s="2">
        <f t="shared" si="135"/>
        <v>1</v>
      </c>
      <c r="O132" s="2">
        <f t="shared" si="135"/>
        <v>1</v>
      </c>
      <c r="P132" s="2">
        <f t="shared" si="135"/>
        <v>1</v>
      </c>
      <c r="Q132" s="2">
        <f t="shared" si="3"/>
        <v>1</v>
      </c>
      <c r="R132" s="2">
        <f>IF(ISERROR(VLOOKUP(A132, 'Project Reference'!A:A, 1, FALSE)), 0, 1)</f>
        <v>1</v>
      </c>
      <c r="S132" s="2">
        <f>IFERROR(__xludf.DUMMYFUNCTION("IF(AND(REGEXMATCH(D132, B132), REGEXMATCH(D132, C132)), 1, 0)"),1.0)</f>
        <v>1</v>
      </c>
      <c r="T132" s="2">
        <f t="shared" si="4"/>
        <v>1</v>
      </c>
      <c r="U132" s="2">
        <f t="shared" si="5"/>
        <v>1</v>
      </c>
      <c r="V132" s="2">
        <f t="shared" si="6"/>
        <v>1</v>
      </c>
    </row>
    <row r="133" ht="14.25" customHeight="1">
      <c r="A133" s="2" t="s">
        <v>112</v>
      </c>
      <c r="B133" s="2" t="s">
        <v>60</v>
      </c>
      <c r="C133" s="2" t="s">
        <v>24</v>
      </c>
      <c r="D133" s="8" t="s">
        <v>575</v>
      </c>
      <c r="E133" s="6">
        <v>44963.0</v>
      </c>
      <c r="F133" s="6">
        <v>45313.0</v>
      </c>
      <c r="G133" s="7">
        <v>2.635808219E9</v>
      </c>
      <c r="H133" s="2" t="s">
        <v>67</v>
      </c>
      <c r="I133" s="2">
        <f t="shared" ref="I133:P133" si="136">IF(ISBLANK(A133)=TRUE,0,1)</f>
        <v>1</v>
      </c>
      <c r="J133" s="2">
        <f t="shared" si="136"/>
        <v>1</v>
      </c>
      <c r="K133" s="2">
        <f t="shared" si="136"/>
        <v>1</v>
      </c>
      <c r="L133" s="2">
        <f t="shared" si="136"/>
        <v>1</v>
      </c>
      <c r="M133" s="2">
        <f t="shared" si="136"/>
        <v>1</v>
      </c>
      <c r="N133" s="2">
        <f t="shared" si="136"/>
        <v>1</v>
      </c>
      <c r="O133" s="2">
        <f t="shared" si="136"/>
        <v>1</v>
      </c>
      <c r="P133" s="2">
        <f t="shared" si="136"/>
        <v>1</v>
      </c>
      <c r="Q133" s="2">
        <f t="shared" si="3"/>
        <v>1</v>
      </c>
      <c r="R133" s="2">
        <f>IF(ISERROR(VLOOKUP(A133, 'Project Reference'!A:A, 1, FALSE)), 0, 1)</f>
        <v>1</v>
      </c>
      <c r="S133" s="2">
        <f>IFERROR(__xludf.DUMMYFUNCTION("IF(AND(REGEXMATCH(D133, B133), REGEXMATCH(D133, C133)), 1, 0)"),1.0)</f>
        <v>1</v>
      </c>
      <c r="T133" s="2">
        <f t="shared" si="4"/>
        <v>1</v>
      </c>
      <c r="U133" s="2">
        <f t="shared" si="5"/>
        <v>1</v>
      </c>
      <c r="V133" s="2">
        <f t="shared" si="6"/>
        <v>1</v>
      </c>
    </row>
    <row r="134" ht="14.25" customHeight="1">
      <c r="A134" s="2" t="s">
        <v>113</v>
      </c>
      <c r="B134" s="2" t="s">
        <v>60</v>
      </c>
      <c r="C134" s="2" t="s">
        <v>48</v>
      </c>
      <c r="D134" s="8" t="s">
        <v>625</v>
      </c>
      <c r="E134" s="6">
        <v>44965.0</v>
      </c>
      <c r="F134" s="6">
        <v>45267.0</v>
      </c>
      <c r="G134" s="7">
        <v>2.011712412E9</v>
      </c>
      <c r="H134" s="2" t="s">
        <v>50</v>
      </c>
      <c r="I134" s="2">
        <f t="shared" ref="I134:P134" si="137">IF(ISBLANK(A134)=TRUE,0,1)</f>
        <v>1</v>
      </c>
      <c r="J134" s="2">
        <f t="shared" si="137"/>
        <v>1</v>
      </c>
      <c r="K134" s="2">
        <f t="shared" si="137"/>
        <v>1</v>
      </c>
      <c r="L134" s="2">
        <f t="shared" si="137"/>
        <v>1</v>
      </c>
      <c r="M134" s="2">
        <f t="shared" si="137"/>
        <v>1</v>
      </c>
      <c r="N134" s="2">
        <f t="shared" si="137"/>
        <v>1</v>
      </c>
      <c r="O134" s="2">
        <f t="shared" si="137"/>
        <v>1</v>
      </c>
      <c r="P134" s="2">
        <f t="shared" si="137"/>
        <v>1</v>
      </c>
      <c r="Q134" s="2">
        <f t="shared" si="3"/>
        <v>1</v>
      </c>
      <c r="R134" s="2">
        <f>IF(ISERROR(VLOOKUP(A134, 'Project Reference'!A:A, 1, FALSE)), 0, 1)</f>
        <v>1</v>
      </c>
      <c r="S134" s="2">
        <f>IFERROR(__xludf.DUMMYFUNCTION("IF(AND(REGEXMATCH(D134, B134), REGEXMATCH(D134, C134)), 1, 0)"),1.0)</f>
        <v>1</v>
      </c>
      <c r="T134" s="2">
        <f t="shared" si="4"/>
        <v>1</v>
      </c>
      <c r="U134" s="2">
        <f t="shared" si="5"/>
        <v>1</v>
      </c>
      <c r="V134" s="2">
        <f t="shared" si="6"/>
        <v>1</v>
      </c>
    </row>
    <row r="135" ht="14.25" customHeight="1">
      <c r="A135" s="2" t="s">
        <v>114</v>
      </c>
      <c r="B135" s="2" t="s">
        <v>60</v>
      </c>
      <c r="C135" s="2" t="s">
        <v>39</v>
      </c>
      <c r="D135" s="8" t="s">
        <v>626</v>
      </c>
      <c r="E135" s="6">
        <v>44965.0</v>
      </c>
      <c r="F135" s="6">
        <v>45066.0</v>
      </c>
      <c r="G135" s="7">
        <v>3.202495526E9</v>
      </c>
      <c r="H135" s="2" t="s">
        <v>44</v>
      </c>
      <c r="I135" s="2">
        <f t="shared" ref="I135:P135" si="138">IF(ISBLANK(A135)=TRUE,0,1)</f>
        <v>1</v>
      </c>
      <c r="J135" s="2">
        <f t="shared" si="138"/>
        <v>1</v>
      </c>
      <c r="K135" s="2">
        <f t="shared" si="138"/>
        <v>1</v>
      </c>
      <c r="L135" s="2">
        <f t="shared" si="138"/>
        <v>1</v>
      </c>
      <c r="M135" s="2">
        <f t="shared" si="138"/>
        <v>1</v>
      </c>
      <c r="N135" s="2">
        <f t="shared" si="138"/>
        <v>1</v>
      </c>
      <c r="O135" s="2">
        <f t="shared" si="138"/>
        <v>1</v>
      </c>
      <c r="P135" s="2">
        <f t="shared" si="138"/>
        <v>1</v>
      </c>
      <c r="Q135" s="2">
        <f t="shared" si="3"/>
        <v>1</v>
      </c>
      <c r="R135" s="2">
        <f>IF(ISERROR(VLOOKUP(A135, 'Project Reference'!A:A, 1, FALSE)), 0, 1)</f>
        <v>1</v>
      </c>
      <c r="S135" s="2">
        <f>IFERROR(__xludf.DUMMYFUNCTION("IF(AND(REGEXMATCH(D135, B135), REGEXMATCH(D135, C135)), 1, 0)"),1.0)</f>
        <v>1</v>
      </c>
      <c r="T135" s="2">
        <f t="shared" si="4"/>
        <v>1</v>
      </c>
      <c r="U135" s="2">
        <f t="shared" si="5"/>
        <v>1</v>
      </c>
      <c r="V135" s="2">
        <f t="shared" si="6"/>
        <v>1</v>
      </c>
    </row>
    <row r="136" ht="14.25" customHeight="1">
      <c r="A136" s="2" t="s">
        <v>115</v>
      </c>
      <c r="B136" s="2" t="s">
        <v>60</v>
      </c>
      <c r="C136" s="2" t="s">
        <v>48</v>
      </c>
      <c r="D136" s="8" t="s">
        <v>622</v>
      </c>
      <c r="E136" s="6">
        <v>44967.0</v>
      </c>
      <c r="F136" s="6">
        <v>45260.0</v>
      </c>
      <c r="G136" s="7">
        <v>1.655558865E9</v>
      </c>
      <c r="H136" s="2" t="s">
        <v>67</v>
      </c>
      <c r="I136" s="2">
        <f t="shared" ref="I136:P136" si="139">IF(ISBLANK(A136)=TRUE,0,1)</f>
        <v>1</v>
      </c>
      <c r="J136" s="2">
        <f t="shared" si="139"/>
        <v>1</v>
      </c>
      <c r="K136" s="2">
        <f t="shared" si="139"/>
        <v>1</v>
      </c>
      <c r="L136" s="2">
        <f t="shared" si="139"/>
        <v>1</v>
      </c>
      <c r="M136" s="2">
        <f t="shared" si="139"/>
        <v>1</v>
      </c>
      <c r="N136" s="2">
        <f t="shared" si="139"/>
        <v>1</v>
      </c>
      <c r="O136" s="2">
        <f t="shared" si="139"/>
        <v>1</v>
      </c>
      <c r="P136" s="2">
        <f t="shared" si="139"/>
        <v>1</v>
      </c>
      <c r="Q136" s="2">
        <f t="shared" si="3"/>
        <v>1</v>
      </c>
      <c r="R136" s="2">
        <f>IF(ISERROR(VLOOKUP(A136, 'Project Reference'!A:A, 1, FALSE)), 0, 1)</f>
        <v>1</v>
      </c>
      <c r="S136" s="2">
        <f>IFERROR(__xludf.DUMMYFUNCTION("IF(AND(REGEXMATCH(D136, B136), REGEXMATCH(D136, C136)), 1, 0)"),1.0)</f>
        <v>1</v>
      </c>
      <c r="T136" s="2">
        <f t="shared" si="4"/>
        <v>1</v>
      </c>
      <c r="U136" s="2">
        <f t="shared" si="5"/>
        <v>1</v>
      </c>
      <c r="V136" s="2">
        <f t="shared" si="6"/>
        <v>1</v>
      </c>
    </row>
    <row r="137" ht="14.25" customHeight="1">
      <c r="A137" s="2" t="s">
        <v>116</v>
      </c>
      <c r="B137" s="2" t="s">
        <v>60</v>
      </c>
      <c r="C137" s="2" t="s">
        <v>36</v>
      </c>
      <c r="D137" s="8" t="s">
        <v>597</v>
      </c>
      <c r="E137" s="6">
        <v>44967.0</v>
      </c>
      <c r="F137" s="6">
        <v>45099.0</v>
      </c>
      <c r="G137" s="7">
        <v>4.806787932E9</v>
      </c>
      <c r="H137" s="2" t="s">
        <v>44</v>
      </c>
      <c r="I137" s="2">
        <f t="shared" ref="I137:P137" si="140">IF(ISBLANK(A137)=TRUE,0,1)</f>
        <v>1</v>
      </c>
      <c r="J137" s="2">
        <f t="shared" si="140"/>
        <v>1</v>
      </c>
      <c r="K137" s="2">
        <f t="shared" si="140"/>
        <v>1</v>
      </c>
      <c r="L137" s="2">
        <f t="shared" si="140"/>
        <v>1</v>
      </c>
      <c r="M137" s="2">
        <f t="shared" si="140"/>
        <v>1</v>
      </c>
      <c r="N137" s="2">
        <f t="shared" si="140"/>
        <v>1</v>
      </c>
      <c r="O137" s="2">
        <f t="shared" si="140"/>
        <v>1</v>
      </c>
      <c r="P137" s="2">
        <f t="shared" si="140"/>
        <v>1</v>
      </c>
      <c r="Q137" s="2">
        <f t="shared" si="3"/>
        <v>1</v>
      </c>
      <c r="R137" s="2">
        <f>IF(ISERROR(VLOOKUP(A137, 'Project Reference'!A:A, 1, FALSE)), 0, 1)</f>
        <v>1</v>
      </c>
      <c r="S137" s="2">
        <f>IFERROR(__xludf.DUMMYFUNCTION("IF(AND(REGEXMATCH(D137, B137), REGEXMATCH(D137, C137)), 1, 0)"),1.0)</f>
        <v>1</v>
      </c>
      <c r="T137" s="2">
        <f t="shared" si="4"/>
        <v>1</v>
      </c>
      <c r="U137" s="2">
        <f t="shared" si="5"/>
        <v>1</v>
      </c>
      <c r="V137" s="2">
        <f t="shared" si="6"/>
        <v>1</v>
      </c>
    </row>
    <row r="138" ht="14.25" customHeight="1">
      <c r="A138" s="2" t="s">
        <v>117</v>
      </c>
      <c r="B138" s="2" t="s">
        <v>12</v>
      </c>
      <c r="C138" s="2" t="s">
        <v>13</v>
      </c>
      <c r="D138" s="8" t="s">
        <v>605</v>
      </c>
      <c r="E138" s="6">
        <v>44968.0</v>
      </c>
      <c r="F138" s="6">
        <v>45329.0</v>
      </c>
      <c r="G138" s="7">
        <v>6.99551361E8</v>
      </c>
      <c r="H138" s="2" t="s">
        <v>21</v>
      </c>
      <c r="I138" s="2">
        <f t="shared" ref="I138:P138" si="141">IF(ISBLANK(A138)=TRUE,0,1)</f>
        <v>1</v>
      </c>
      <c r="J138" s="2">
        <f t="shared" si="141"/>
        <v>1</v>
      </c>
      <c r="K138" s="2">
        <f t="shared" si="141"/>
        <v>1</v>
      </c>
      <c r="L138" s="2">
        <f t="shared" si="141"/>
        <v>1</v>
      </c>
      <c r="M138" s="2">
        <f t="shared" si="141"/>
        <v>1</v>
      </c>
      <c r="N138" s="2">
        <f t="shared" si="141"/>
        <v>1</v>
      </c>
      <c r="O138" s="2">
        <f t="shared" si="141"/>
        <v>1</v>
      </c>
      <c r="P138" s="2">
        <f t="shared" si="141"/>
        <v>1</v>
      </c>
      <c r="Q138" s="2">
        <f t="shared" si="3"/>
        <v>1</v>
      </c>
      <c r="R138" s="2">
        <f>IF(ISERROR(VLOOKUP(A138, 'Project Reference'!A:A, 1, FALSE)), 0, 1)</f>
        <v>1</v>
      </c>
      <c r="S138" s="2">
        <f>IFERROR(__xludf.DUMMYFUNCTION("IF(AND(REGEXMATCH(D138, B138), REGEXMATCH(D138, C138)), 1, 0)"),1.0)</f>
        <v>1</v>
      </c>
      <c r="T138" s="2">
        <f t="shared" si="4"/>
        <v>1</v>
      </c>
      <c r="U138" s="2">
        <f t="shared" si="5"/>
        <v>1</v>
      </c>
      <c r="V138" s="2">
        <f t="shared" si="6"/>
        <v>1</v>
      </c>
    </row>
    <row r="139" ht="14.25" customHeight="1">
      <c r="A139" s="2" t="s">
        <v>118</v>
      </c>
      <c r="B139" s="2" t="s">
        <v>35</v>
      </c>
      <c r="C139" s="2" t="s">
        <v>31</v>
      </c>
      <c r="D139" s="2" t="s">
        <v>91</v>
      </c>
      <c r="E139" s="6">
        <v>44968.0</v>
      </c>
      <c r="F139" s="6">
        <v>45186.0</v>
      </c>
      <c r="G139" s="7">
        <v>3.63997813E8</v>
      </c>
      <c r="H139" s="8" t="s">
        <v>581</v>
      </c>
      <c r="I139" s="2">
        <f t="shared" ref="I139:P139" si="142">IF(ISBLANK(A139)=TRUE,0,1)</f>
        <v>1</v>
      </c>
      <c r="J139" s="2">
        <f t="shared" si="142"/>
        <v>1</v>
      </c>
      <c r="K139" s="2">
        <f t="shared" si="142"/>
        <v>1</v>
      </c>
      <c r="L139" s="2">
        <f t="shared" si="142"/>
        <v>1</v>
      </c>
      <c r="M139" s="2">
        <f t="shared" si="142"/>
        <v>1</v>
      </c>
      <c r="N139" s="2">
        <f t="shared" si="142"/>
        <v>1</v>
      </c>
      <c r="O139" s="2">
        <f t="shared" si="142"/>
        <v>1</v>
      </c>
      <c r="P139" s="2">
        <f t="shared" si="142"/>
        <v>1</v>
      </c>
      <c r="Q139" s="2">
        <f t="shared" si="3"/>
        <v>1</v>
      </c>
      <c r="R139" s="2">
        <f>IF(ISERROR(VLOOKUP(A139, 'Project Reference'!A:A, 1, FALSE)), 0, 1)</f>
        <v>1</v>
      </c>
      <c r="S139" s="2">
        <f>IFERROR(__xludf.DUMMYFUNCTION("IF(AND(REGEXMATCH(D139, B139), REGEXMATCH(D139, C139)), 1, 0)"),1.0)</f>
        <v>1</v>
      </c>
      <c r="T139" s="2">
        <f t="shared" si="4"/>
        <v>1</v>
      </c>
      <c r="U139" s="2">
        <f t="shared" si="5"/>
        <v>1</v>
      </c>
      <c r="V139" s="2">
        <f t="shared" si="6"/>
        <v>1</v>
      </c>
    </row>
    <row r="140" ht="14.25" customHeight="1">
      <c r="A140" s="2" t="s">
        <v>119</v>
      </c>
      <c r="B140" s="2" t="s">
        <v>12</v>
      </c>
      <c r="C140" s="2" t="s">
        <v>24</v>
      </c>
      <c r="D140" s="8" t="s">
        <v>610</v>
      </c>
      <c r="E140" s="6">
        <v>44969.0</v>
      </c>
      <c r="F140" s="6">
        <v>45123.0</v>
      </c>
      <c r="G140" s="7">
        <v>9.26922328E8</v>
      </c>
      <c r="H140" s="2" t="s">
        <v>33</v>
      </c>
      <c r="I140" s="2">
        <f t="shared" ref="I140:P140" si="143">IF(ISBLANK(A140)=TRUE,0,1)</f>
        <v>1</v>
      </c>
      <c r="J140" s="2">
        <f t="shared" si="143"/>
        <v>1</v>
      </c>
      <c r="K140" s="2">
        <f t="shared" si="143"/>
        <v>1</v>
      </c>
      <c r="L140" s="2">
        <f t="shared" si="143"/>
        <v>1</v>
      </c>
      <c r="M140" s="2">
        <f t="shared" si="143"/>
        <v>1</v>
      </c>
      <c r="N140" s="2">
        <f t="shared" si="143"/>
        <v>1</v>
      </c>
      <c r="O140" s="2">
        <f t="shared" si="143"/>
        <v>1</v>
      </c>
      <c r="P140" s="2">
        <f t="shared" si="143"/>
        <v>1</v>
      </c>
      <c r="Q140" s="2">
        <f t="shared" si="3"/>
        <v>1</v>
      </c>
      <c r="R140" s="2">
        <f>IF(ISERROR(VLOOKUP(A140, 'Project Reference'!A:A, 1, FALSE)), 0, 1)</f>
        <v>1</v>
      </c>
      <c r="S140" s="2">
        <f>IFERROR(__xludf.DUMMYFUNCTION("IF(AND(REGEXMATCH(D140, B140), REGEXMATCH(D140, C140)), 1, 0)"),1.0)</f>
        <v>1</v>
      </c>
      <c r="T140" s="2">
        <f t="shared" si="4"/>
        <v>1</v>
      </c>
      <c r="U140" s="2">
        <f t="shared" si="5"/>
        <v>1</v>
      </c>
      <c r="V140" s="2">
        <f t="shared" si="6"/>
        <v>1</v>
      </c>
    </row>
    <row r="141" ht="14.25" customHeight="1">
      <c r="A141" s="2" t="s">
        <v>122</v>
      </c>
      <c r="B141" s="2" t="s">
        <v>35</v>
      </c>
      <c r="C141" s="2" t="s">
        <v>48</v>
      </c>
      <c r="D141" s="2" t="s">
        <v>49</v>
      </c>
      <c r="E141" s="6">
        <v>44971.0</v>
      </c>
      <c r="F141" s="6">
        <v>45232.0</v>
      </c>
      <c r="G141" s="7">
        <v>7.08312743E8</v>
      </c>
      <c r="H141" s="2" t="s">
        <v>50</v>
      </c>
      <c r="I141" s="2">
        <f t="shared" ref="I141:P141" si="144">IF(ISBLANK(A141)=TRUE,0,1)</f>
        <v>1</v>
      </c>
      <c r="J141" s="2">
        <f t="shared" si="144"/>
        <v>1</v>
      </c>
      <c r="K141" s="2">
        <f t="shared" si="144"/>
        <v>1</v>
      </c>
      <c r="L141" s="2">
        <f t="shared" si="144"/>
        <v>1</v>
      </c>
      <c r="M141" s="2">
        <f t="shared" si="144"/>
        <v>1</v>
      </c>
      <c r="N141" s="2">
        <f t="shared" si="144"/>
        <v>1</v>
      </c>
      <c r="O141" s="2">
        <f t="shared" si="144"/>
        <v>1</v>
      </c>
      <c r="P141" s="2">
        <f t="shared" si="144"/>
        <v>1</v>
      </c>
      <c r="Q141" s="2">
        <f t="shared" si="3"/>
        <v>1</v>
      </c>
      <c r="R141" s="2">
        <f>IF(ISERROR(VLOOKUP(A141, 'Project Reference'!A:A, 1, FALSE)), 0, 1)</f>
        <v>1</v>
      </c>
      <c r="S141" s="2">
        <f>IFERROR(__xludf.DUMMYFUNCTION("IF(AND(REGEXMATCH(D141, B141), REGEXMATCH(D141, C141)), 1, 0)"),1.0)</f>
        <v>1</v>
      </c>
      <c r="T141" s="2">
        <f t="shared" si="4"/>
        <v>1</v>
      </c>
      <c r="U141" s="2">
        <f t="shared" si="5"/>
        <v>1</v>
      </c>
      <c r="V141" s="2">
        <f t="shared" si="6"/>
        <v>1</v>
      </c>
    </row>
    <row r="142" ht="14.25" customHeight="1">
      <c r="A142" s="2" t="s">
        <v>123</v>
      </c>
      <c r="B142" s="2" t="s">
        <v>35</v>
      </c>
      <c r="C142" s="2" t="s">
        <v>42</v>
      </c>
      <c r="D142" s="2" t="s">
        <v>69</v>
      </c>
      <c r="E142" s="6">
        <v>44971.0</v>
      </c>
      <c r="F142" s="6">
        <v>45228.0</v>
      </c>
      <c r="G142" s="7">
        <v>4.19037113E8</v>
      </c>
      <c r="H142" s="2" t="s">
        <v>21</v>
      </c>
      <c r="I142" s="2">
        <f t="shared" ref="I142:P142" si="145">IF(ISBLANK(A142)=TRUE,0,1)</f>
        <v>1</v>
      </c>
      <c r="J142" s="2">
        <f t="shared" si="145"/>
        <v>1</v>
      </c>
      <c r="K142" s="2">
        <f t="shared" si="145"/>
        <v>1</v>
      </c>
      <c r="L142" s="2">
        <f t="shared" si="145"/>
        <v>1</v>
      </c>
      <c r="M142" s="2">
        <f t="shared" si="145"/>
        <v>1</v>
      </c>
      <c r="N142" s="2">
        <f t="shared" si="145"/>
        <v>1</v>
      </c>
      <c r="O142" s="2">
        <f t="shared" si="145"/>
        <v>1</v>
      </c>
      <c r="P142" s="2">
        <f t="shared" si="145"/>
        <v>1</v>
      </c>
      <c r="Q142" s="2">
        <f t="shared" si="3"/>
        <v>1</v>
      </c>
      <c r="R142" s="2">
        <f>IF(ISERROR(VLOOKUP(A142, 'Project Reference'!A:A, 1, FALSE)), 0, 1)</f>
        <v>1</v>
      </c>
      <c r="S142" s="2">
        <f>IFERROR(__xludf.DUMMYFUNCTION("IF(AND(REGEXMATCH(D142, B142), REGEXMATCH(D142, C142)), 1, 0)"),1.0)</f>
        <v>1</v>
      </c>
      <c r="T142" s="2">
        <f t="shared" si="4"/>
        <v>1</v>
      </c>
      <c r="U142" s="2">
        <f t="shared" si="5"/>
        <v>1</v>
      </c>
      <c r="V142" s="2">
        <f t="shared" si="6"/>
        <v>1</v>
      </c>
    </row>
    <row r="143" ht="14.25" customHeight="1">
      <c r="A143" s="2" t="s">
        <v>124</v>
      </c>
      <c r="B143" s="2" t="s">
        <v>35</v>
      </c>
      <c r="C143" s="2" t="s">
        <v>39</v>
      </c>
      <c r="D143" s="2" t="s">
        <v>145</v>
      </c>
      <c r="E143" s="6">
        <v>44972.0</v>
      </c>
      <c r="F143" s="6">
        <v>45130.0</v>
      </c>
      <c r="G143" s="7">
        <v>5.00841363E8</v>
      </c>
      <c r="H143" s="8" t="s">
        <v>581</v>
      </c>
      <c r="I143" s="2">
        <f t="shared" ref="I143:P143" si="146">IF(ISBLANK(A143)=TRUE,0,1)</f>
        <v>1</v>
      </c>
      <c r="J143" s="2">
        <f t="shared" si="146"/>
        <v>1</v>
      </c>
      <c r="K143" s="2">
        <f t="shared" si="146"/>
        <v>1</v>
      </c>
      <c r="L143" s="2">
        <f t="shared" si="146"/>
        <v>1</v>
      </c>
      <c r="M143" s="2">
        <f t="shared" si="146"/>
        <v>1</v>
      </c>
      <c r="N143" s="2">
        <f t="shared" si="146"/>
        <v>1</v>
      </c>
      <c r="O143" s="2">
        <f t="shared" si="146"/>
        <v>1</v>
      </c>
      <c r="P143" s="2">
        <f t="shared" si="146"/>
        <v>1</v>
      </c>
      <c r="Q143" s="2">
        <f t="shared" si="3"/>
        <v>1</v>
      </c>
      <c r="R143" s="2">
        <f>IF(ISERROR(VLOOKUP(A143, 'Project Reference'!A:A, 1, FALSE)), 0, 1)</f>
        <v>1</v>
      </c>
      <c r="S143" s="2">
        <f>IFERROR(__xludf.DUMMYFUNCTION("IF(AND(REGEXMATCH(D143, B143), REGEXMATCH(D143, C143)), 1, 0)"),1.0)</f>
        <v>1</v>
      </c>
      <c r="T143" s="2">
        <f t="shared" si="4"/>
        <v>1</v>
      </c>
      <c r="U143" s="2">
        <f t="shared" si="5"/>
        <v>1</v>
      </c>
      <c r="V143" s="2">
        <f t="shared" si="6"/>
        <v>1</v>
      </c>
    </row>
    <row r="144" ht="14.25" customHeight="1">
      <c r="A144" s="2" t="s">
        <v>125</v>
      </c>
      <c r="B144" s="2" t="s">
        <v>12</v>
      </c>
      <c r="C144" s="2" t="s">
        <v>39</v>
      </c>
      <c r="D144" s="8" t="s">
        <v>591</v>
      </c>
      <c r="E144" s="6">
        <v>44973.0</v>
      </c>
      <c r="F144" s="6">
        <v>45289.0</v>
      </c>
      <c r="G144" s="7">
        <v>2.0930411E8</v>
      </c>
      <c r="H144" s="8" t="s">
        <v>581</v>
      </c>
      <c r="I144" s="2">
        <f t="shared" ref="I144:P144" si="147">IF(ISBLANK(A144)=TRUE,0,1)</f>
        <v>1</v>
      </c>
      <c r="J144" s="2">
        <f t="shared" si="147"/>
        <v>1</v>
      </c>
      <c r="K144" s="2">
        <f t="shared" si="147"/>
        <v>1</v>
      </c>
      <c r="L144" s="2">
        <f t="shared" si="147"/>
        <v>1</v>
      </c>
      <c r="M144" s="2">
        <f t="shared" si="147"/>
        <v>1</v>
      </c>
      <c r="N144" s="2">
        <f t="shared" si="147"/>
        <v>1</v>
      </c>
      <c r="O144" s="2">
        <f t="shared" si="147"/>
        <v>1</v>
      </c>
      <c r="P144" s="2">
        <f t="shared" si="147"/>
        <v>1</v>
      </c>
      <c r="Q144" s="2">
        <f t="shared" si="3"/>
        <v>1</v>
      </c>
      <c r="R144" s="2">
        <f>IF(ISERROR(VLOOKUP(A144, 'Project Reference'!A:A, 1, FALSE)), 0, 1)</f>
        <v>1</v>
      </c>
      <c r="S144" s="2">
        <f>IFERROR(__xludf.DUMMYFUNCTION("IF(AND(REGEXMATCH(D144, B144), REGEXMATCH(D144, C144)), 1, 0)"),1.0)</f>
        <v>1</v>
      </c>
      <c r="T144" s="2">
        <f t="shared" si="4"/>
        <v>1</v>
      </c>
      <c r="U144" s="2">
        <f t="shared" si="5"/>
        <v>1</v>
      </c>
      <c r="V144" s="2">
        <f t="shared" si="6"/>
        <v>1</v>
      </c>
    </row>
    <row r="145" ht="14.25" customHeight="1">
      <c r="A145" s="2" t="s">
        <v>126</v>
      </c>
      <c r="B145" s="2" t="s">
        <v>30</v>
      </c>
      <c r="C145" s="2" t="s">
        <v>42</v>
      </c>
      <c r="D145" s="8" t="s">
        <v>627</v>
      </c>
      <c r="E145" s="6">
        <v>44974.0</v>
      </c>
      <c r="F145" s="6">
        <v>45082.0</v>
      </c>
      <c r="G145" s="7">
        <v>3.686469051E9</v>
      </c>
      <c r="H145" s="8" t="s">
        <v>581</v>
      </c>
      <c r="I145" s="2">
        <f t="shared" ref="I145:P145" si="148">IF(ISBLANK(A145)=TRUE,0,1)</f>
        <v>1</v>
      </c>
      <c r="J145" s="2">
        <f t="shared" si="148"/>
        <v>1</v>
      </c>
      <c r="K145" s="2">
        <f t="shared" si="148"/>
        <v>1</v>
      </c>
      <c r="L145" s="2">
        <f t="shared" si="148"/>
        <v>1</v>
      </c>
      <c r="M145" s="2">
        <f t="shared" si="148"/>
        <v>1</v>
      </c>
      <c r="N145" s="2">
        <f t="shared" si="148"/>
        <v>1</v>
      </c>
      <c r="O145" s="2">
        <f t="shared" si="148"/>
        <v>1</v>
      </c>
      <c r="P145" s="2">
        <f t="shared" si="148"/>
        <v>1</v>
      </c>
      <c r="Q145" s="2">
        <f t="shared" si="3"/>
        <v>1</v>
      </c>
      <c r="R145" s="2">
        <f>IF(ISERROR(VLOOKUP(A145, 'Project Reference'!A:A, 1, FALSE)), 0, 1)</f>
        <v>1</v>
      </c>
      <c r="S145" s="2">
        <f>IFERROR(__xludf.DUMMYFUNCTION("IF(AND(REGEXMATCH(D145, B145), REGEXMATCH(D145, C145)), 1, 0)"),1.0)</f>
        <v>1</v>
      </c>
      <c r="T145" s="2">
        <f t="shared" si="4"/>
        <v>1</v>
      </c>
      <c r="U145" s="2">
        <f t="shared" si="5"/>
        <v>1</v>
      </c>
      <c r="V145" s="2">
        <f t="shared" si="6"/>
        <v>1</v>
      </c>
    </row>
    <row r="146" ht="14.25" customHeight="1">
      <c r="A146" s="2" t="s">
        <v>127</v>
      </c>
      <c r="B146" s="2" t="s">
        <v>12</v>
      </c>
      <c r="C146" s="2" t="s">
        <v>36</v>
      </c>
      <c r="D146" s="8" t="s">
        <v>578</v>
      </c>
      <c r="E146" s="6">
        <v>44974.0</v>
      </c>
      <c r="F146" s="6">
        <v>45112.0</v>
      </c>
      <c r="G146" s="7">
        <v>3.53290709E8</v>
      </c>
      <c r="H146" s="8" t="s">
        <v>573</v>
      </c>
      <c r="I146" s="2">
        <f t="shared" ref="I146:P146" si="149">IF(ISBLANK(A146)=TRUE,0,1)</f>
        <v>1</v>
      </c>
      <c r="J146" s="2">
        <f t="shared" si="149"/>
        <v>1</v>
      </c>
      <c r="K146" s="2">
        <f t="shared" si="149"/>
        <v>1</v>
      </c>
      <c r="L146" s="2">
        <f t="shared" si="149"/>
        <v>1</v>
      </c>
      <c r="M146" s="2">
        <f t="shared" si="149"/>
        <v>1</v>
      </c>
      <c r="N146" s="2">
        <f t="shared" si="149"/>
        <v>1</v>
      </c>
      <c r="O146" s="2">
        <f t="shared" si="149"/>
        <v>1</v>
      </c>
      <c r="P146" s="2">
        <f t="shared" si="149"/>
        <v>1</v>
      </c>
      <c r="Q146" s="2">
        <f t="shared" si="3"/>
        <v>1</v>
      </c>
      <c r="R146" s="2">
        <f>IF(ISERROR(VLOOKUP(A146, 'Project Reference'!A:A, 1, FALSE)), 0, 1)</f>
        <v>1</v>
      </c>
      <c r="S146" s="2">
        <f>IFERROR(__xludf.DUMMYFUNCTION("IF(AND(REGEXMATCH(D146, B146), REGEXMATCH(D146, C146)), 1, 0)"),1.0)</f>
        <v>1</v>
      </c>
      <c r="T146" s="2">
        <f t="shared" si="4"/>
        <v>1</v>
      </c>
      <c r="U146" s="2">
        <f t="shared" si="5"/>
        <v>1</v>
      </c>
      <c r="V146" s="2">
        <f t="shared" si="6"/>
        <v>1</v>
      </c>
    </row>
    <row r="147" ht="14.25" customHeight="1">
      <c r="A147" s="2" t="s">
        <v>128</v>
      </c>
      <c r="B147" s="2" t="s">
        <v>18</v>
      </c>
      <c r="C147" s="2" t="s">
        <v>39</v>
      </c>
      <c r="D147" s="8" t="s">
        <v>577</v>
      </c>
      <c r="E147" s="6">
        <v>44974.0</v>
      </c>
      <c r="F147" s="6">
        <v>45230.0</v>
      </c>
      <c r="G147" s="7">
        <v>8.935017863E9</v>
      </c>
      <c r="H147" s="2" t="s">
        <v>21</v>
      </c>
      <c r="I147" s="2">
        <f t="shared" ref="I147:P147" si="150">IF(ISBLANK(A147)=TRUE,0,1)</f>
        <v>1</v>
      </c>
      <c r="J147" s="2">
        <f t="shared" si="150"/>
        <v>1</v>
      </c>
      <c r="K147" s="2">
        <f t="shared" si="150"/>
        <v>1</v>
      </c>
      <c r="L147" s="2">
        <f t="shared" si="150"/>
        <v>1</v>
      </c>
      <c r="M147" s="2">
        <f t="shared" si="150"/>
        <v>1</v>
      </c>
      <c r="N147" s="2">
        <f t="shared" si="150"/>
        <v>1</v>
      </c>
      <c r="O147" s="2">
        <f t="shared" si="150"/>
        <v>1</v>
      </c>
      <c r="P147" s="2">
        <f t="shared" si="150"/>
        <v>1</v>
      </c>
      <c r="Q147" s="2">
        <f t="shared" si="3"/>
        <v>1</v>
      </c>
      <c r="R147" s="2">
        <f>IF(ISERROR(VLOOKUP(A147, 'Project Reference'!A:A, 1, FALSE)), 0, 1)</f>
        <v>1</v>
      </c>
      <c r="S147" s="2">
        <f>IFERROR(__xludf.DUMMYFUNCTION("IF(AND(REGEXMATCH(D147, B147), REGEXMATCH(D147, C147)), 1, 0)"),1.0)</f>
        <v>1</v>
      </c>
      <c r="T147" s="2">
        <f t="shared" si="4"/>
        <v>1</v>
      </c>
      <c r="U147" s="2">
        <f t="shared" si="5"/>
        <v>1</v>
      </c>
      <c r="V147" s="2">
        <f t="shared" si="6"/>
        <v>1</v>
      </c>
    </row>
    <row r="148" ht="14.25" customHeight="1">
      <c r="A148" s="2" t="s">
        <v>129</v>
      </c>
      <c r="B148" s="2" t="s">
        <v>30</v>
      </c>
      <c r="C148" s="2" t="s">
        <v>31</v>
      </c>
      <c r="D148" s="8" t="s">
        <v>585</v>
      </c>
      <c r="E148" s="6">
        <v>44975.0</v>
      </c>
      <c r="F148" s="6">
        <v>45193.0</v>
      </c>
      <c r="G148" s="7">
        <v>5.518454926E9</v>
      </c>
      <c r="H148" s="2" t="s">
        <v>33</v>
      </c>
      <c r="I148" s="2">
        <f t="shared" ref="I148:P148" si="151">IF(ISBLANK(A148)=TRUE,0,1)</f>
        <v>1</v>
      </c>
      <c r="J148" s="2">
        <f t="shared" si="151"/>
        <v>1</v>
      </c>
      <c r="K148" s="2">
        <f t="shared" si="151"/>
        <v>1</v>
      </c>
      <c r="L148" s="2">
        <f t="shared" si="151"/>
        <v>1</v>
      </c>
      <c r="M148" s="2">
        <f t="shared" si="151"/>
        <v>1</v>
      </c>
      <c r="N148" s="2">
        <f t="shared" si="151"/>
        <v>1</v>
      </c>
      <c r="O148" s="2">
        <f t="shared" si="151"/>
        <v>1</v>
      </c>
      <c r="P148" s="2">
        <f t="shared" si="151"/>
        <v>1</v>
      </c>
      <c r="Q148" s="2">
        <f t="shared" si="3"/>
        <v>1</v>
      </c>
      <c r="R148" s="2">
        <f>IF(ISERROR(VLOOKUP(A148, 'Project Reference'!A:A, 1, FALSE)), 0, 1)</f>
        <v>1</v>
      </c>
      <c r="S148" s="2">
        <f>IFERROR(__xludf.DUMMYFUNCTION("IF(AND(REGEXMATCH(D148, B148), REGEXMATCH(D148, C148)), 1, 0)"),1.0)</f>
        <v>1</v>
      </c>
      <c r="T148" s="2">
        <f t="shared" si="4"/>
        <v>1</v>
      </c>
      <c r="U148" s="2">
        <f t="shared" si="5"/>
        <v>1</v>
      </c>
      <c r="V148" s="2">
        <f t="shared" si="6"/>
        <v>1</v>
      </c>
    </row>
    <row r="149" ht="14.25" customHeight="1">
      <c r="A149" s="2" t="s">
        <v>131</v>
      </c>
      <c r="B149" s="2" t="s">
        <v>60</v>
      </c>
      <c r="C149" s="2" t="s">
        <v>36</v>
      </c>
      <c r="D149" s="8" t="s">
        <v>628</v>
      </c>
      <c r="E149" s="6">
        <v>44976.0</v>
      </c>
      <c r="F149" s="6">
        <v>45307.0</v>
      </c>
      <c r="G149" s="7">
        <v>2.293993253E9</v>
      </c>
      <c r="H149" s="2" t="s">
        <v>33</v>
      </c>
      <c r="I149" s="2">
        <f t="shared" ref="I149:P149" si="152">IF(ISBLANK(A149)=TRUE,0,1)</f>
        <v>1</v>
      </c>
      <c r="J149" s="2">
        <f t="shared" si="152"/>
        <v>1</v>
      </c>
      <c r="K149" s="2">
        <f t="shared" si="152"/>
        <v>1</v>
      </c>
      <c r="L149" s="2">
        <f t="shared" si="152"/>
        <v>1</v>
      </c>
      <c r="M149" s="2">
        <f t="shared" si="152"/>
        <v>1</v>
      </c>
      <c r="N149" s="2">
        <f t="shared" si="152"/>
        <v>1</v>
      </c>
      <c r="O149" s="2">
        <f t="shared" si="152"/>
        <v>1</v>
      </c>
      <c r="P149" s="2">
        <f t="shared" si="152"/>
        <v>1</v>
      </c>
      <c r="Q149" s="2">
        <f t="shared" si="3"/>
        <v>1</v>
      </c>
      <c r="R149" s="2">
        <f>IF(ISERROR(VLOOKUP(A149, 'Project Reference'!A:A, 1, FALSE)), 0, 1)</f>
        <v>1</v>
      </c>
      <c r="S149" s="2">
        <f>IFERROR(__xludf.DUMMYFUNCTION("IF(AND(REGEXMATCH(D149, B149), REGEXMATCH(D149, C149)), 1, 0)"),1.0)</f>
        <v>1</v>
      </c>
      <c r="T149" s="2">
        <f t="shared" si="4"/>
        <v>1</v>
      </c>
      <c r="U149" s="2">
        <f t="shared" si="5"/>
        <v>1</v>
      </c>
      <c r="V149" s="2">
        <f t="shared" si="6"/>
        <v>1</v>
      </c>
    </row>
    <row r="150" ht="14.25" customHeight="1">
      <c r="A150" s="2" t="s">
        <v>132</v>
      </c>
      <c r="B150" s="2" t="s">
        <v>60</v>
      </c>
      <c r="C150" s="2" t="s">
        <v>19</v>
      </c>
      <c r="D150" s="8" t="s">
        <v>616</v>
      </c>
      <c r="E150" s="6">
        <v>44976.0</v>
      </c>
      <c r="F150" s="6">
        <v>45318.0</v>
      </c>
      <c r="G150" s="7">
        <v>1.790927128E9</v>
      </c>
      <c r="H150" s="2" t="s">
        <v>50</v>
      </c>
      <c r="I150" s="2">
        <f t="shared" ref="I150:P150" si="153">IF(ISBLANK(A150)=TRUE,0,1)</f>
        <v>1</v>
      </c>
      <c r="J150" s="2">
        <f t="shared" si="153"/>
        <v>1</v>
      </c>
      <c r="K150" s="2">
        <f t="shared" si="153"/>
        <v>1</v>
      </c>
      <c r="L150" s="2">
        <f t="shared" si="153"/>
        <v>1</v>
      </c>
      <c r="M150" s="2">
        <f t="shared" si="153"/>
        <v>1</v>
      </c>
      <c r="N150" s="2">
        <f t="shared" si="153"/>
        <v>1</v>
      </c>
      <c r="O150" s="2">
        <f t="shared" si="153"/>
        <v>1</v>
      </c>
      <c r="P150" s="2">
        <f t="shared" si="153"/>
        <v>1</v>
      </c>
      <c r="Q150" s="2">
        <f t="shared" si="3"/>
        <v>1</v>
      </c>
      <c r="R150" s="2">
        <f>IF(ISERROR(VLOOKUP(A150, 'Project Reference'!A:A, 1, FALSE)), 0, 1)</f>
        <v>1</v>
      </c>
      <c r="S150" s="2">
        <f>IFERROR(__xludf.DUMMYFUNCTION("IF(AND(REGEXMATCH(D150, B150), REGEXMATCH(D150, C150)), 1, 0)"),1.0)</f>
        <v>1</v>
      </c>
      <c r="T150" s="2">
        <f t="shared" si="4"/>
        <v>1</v>
      </c>
      <c r="U150" s="2">
        <f t="shared" si="5"/>
        <v>1</v>
      </c>
      <c r="V150" s="2">
        <f t="shared" si="6"/>
        <v>1</v>
      </c>
    </row>
    <row r="151" ht="14.25" customHeight="1">
      <c r="A151" s="2" t="s">
        <v>137</v>
      </c>
      <c r="B151" s="2" t="s">
        <v>30</v>
      </c>
      <c r="C151" s="2" t="s">
        <v>13</v>
      </c>
      <c r="D151" s="8" t="s">
        <v>630</v>
      </c>
      <c r="E151" s="6">
        <v>44979.0</v>
      </c>
      <c r="F151" s="6">
        <v>45295.0</v>
      </c>
      <c r="G151" s="7">
        <v>5.52231232E9</v>
      </c>
      <c r="H151" s="8" t="s">
        <v>581</v>
      </c>
      <c r="I151" s="2">
        <f t="shared" ref="I151:P151" si="154">IF(ISBLANK(A151)=TRUE,0,1)</f>
        <v>1</v>
      </c>
      <c r="J151" s="2">
        <f t="shared" si="154"/>
        <v>1</v>
      </c>
      <c r="K151" s="2">
        <f t="shared" si="154"/>
        <v>1</v>
      </c>
      <c r="L151" s="2">
        <f t="shared" si="154"/>
        <v>1</v>
      </c>
      <c r="M151" s="2">
        <f t="shared" si="154"/>
        <v>1</v>
      </c>
      <c r="N151" s="2">
        <f t="shared" si="154"/>
        <v>1</v>
      </c>
      <c r="O151" s="2">
        <f t="shared" si="154"/>
        <v>1</v>
      </c>
      <c r="P151" s="2">
        <f t="shared" si="154"/>
        <v>1</v>
      </c>
      <c r="Q151" s="2">
        <f t="shared" si="3"/>
        <v>1</v>
      </c>
      <c r="R151" s="2">
        <f>IF(ISERROR(VLOOKUP(A151, 'Project Reference'!A:A, 1, FALSE)), 0, 1)</f>
        <v>1</v>
      </c>
      <c r="S151" s="2">
        <f>IFERROR(__xludf.DUMMYFUNCTION("IF(AND(REGEXMATCH(D151, B151), REGEXMATCH(D151, C151)), 1, 0)"),1.0)</f>
        <v>1</v>
      </c>
      <c r="T151" s="2">
        <f t="shared" si="4"/>
        <v>1</v>
      </c>
      <c r="U151" s="2">
        <f t="shared" si="5"/>
        <v>1</v>
      </c>
      <c r="V151" s="2">
        <f t="shared" si="6"/>
        <v>1</v>
      </c>
    </row>
    <row r="152" ht="14.25" customHeight="1">
      <c r="A152" s="2" t="s">
        <v>138</v>
      </c>
      <c r="B152" s="2" t="s">
        <v>12</v>
      </c>
      <c r="C152" s="2" t="s">
        <v>42</v>
      </c>
      <c r="D152" s="8" t="s">
        <v>603</v>
      </c>
      <c r="E152" s="6">
        <v>44979.0</v>
      </c>
      <c r="F152" s="6">
        <v>45074.0</v>
      </c>
      <c r="G152" s="7">
        <v>9.3432556E8</v>
      </c>
      <c r="H152" s="2" t="s">
        <v>50</v>
      </c>
      <c r="I152" s="2">
        <f t="shared" ref="I152:P152" si="155">IF(ISBLANK(A152)=TRUE,0,1)</f>
        <v>1</v>
      </c>
      <c r="J152" s="2">
        <f t="shared" si="155"/>
        <v>1</v>
      </c>
      <c r="K152" s="2">
        <f t="shared" si="155"/>
        <v>1</v>
      </c>
      <c r="L152" s="2">
        <f t="shared" si="155"/>
        <v>1</v>
      </c>
      <c r="M152" s="2">
        <f t="shared" si="155"/>
        <v>1</v>
      </c>
      <c r="N152" s="2">
        <f t="shared" si="155"/>
        <v>1</v>
      </c>
      <c r="O152" s="2">
        <f t="shared" si="155"/>
        <v>1</v>
      </c>
      <c r="P152" s="2">
        <f t="shared" si="155"/>
        <v>1</v>
      </c>
      <c r="Q152" s="2">
        <f t="shared" si="3"/>
        <v>1</v>
      </c>
      <c r="R152" s="2">
        <f>IF(ISERROR(VLOOKUP(A152, 'Project Reference'!A:A, 1, FALSE)), 0, 1)</f>
        <v>1</v>
      </c>
      <c r="S152" s="2">
        <f>IFERROR(__xludf.DUMMYFUNCTION("IF(AND(REGEXMATCH(D152, B152), REGEXMATCH(D152, C152)), 1, 0)"),1.0)</f>
        <v>1</v>
      </c>
      <c r="T152" s="2">
        <f t="shared" si="4"/>
        <v>1</v>
      </c>
      <c r="U152" s="2">
        <f t="shared" si="5"/>
        <v>1</v>
      </c>
      <c r="V152" s="2">
        <f t="shared" si="6"/>
        <v>1</v>
      </c>
    </row>
    <row r="153" ht="14.25" customHeight="1">
      <c r="A153" s="2" t="s">
        <v>139</v>
      </c>
      <c r="B153" s="2" t="s">
        <v>12</v>
      </c>
      <c r="C153" s="2" t="s">
        <v>19</v>
      </c>
      <c r="D153" s="8" t="s">
        <v>631</v>
      </c>
      <c r="E153" s="6">
        <v>44979.0</v>
      </c>
      <c r="F153" s="6">
        <v>45058.0</v>
      </c>
      <c r="G153" s="7">
        <v>1.21142623E8</v>
      </c>
      <c r="H153" s="2" t="s">
        <v>44</v>
      </c>
      <c r="I153" s="2">
        <f t="shared" ref="I153:P153" si="156">IF(ISBLANK(A153)=TRUE,0,1)</f>
        <v>1</v>
      </c>
      <c r="J153" s="2">
        <f t="shared" si="156"/>
        <v>1</v>
      </c>
      <c r="K153" s="2">
        <f t="shared" si="156"/>
        <v>1</v>
      </c>
      <c r="L153" s="2">
        <f t="shared" si="156"/>
        <v>1</v>
      </c>
      <c r="M153" s="2">
        <f t="shared" si="156"/>
        <v>1</v>
      </c>
      <c r="N153" s="2">
        <f t="shared" si="156"/>
        <v>1</v>
      </c>
      <c r="O153" s="2">
        <f t="shared" si="156"/>
        <v>1</v>
      </c>
      <c r="P153" s="2">
        <f t="shared" si="156"/>
        <v>1</v>
      </c>
      <c r="Q153" s="2">
        <f t="shared" si="3"/>
        <v>1</v>
      </c>
      <c r="R153" s="2">
        <f>IF(ISERROR(VLOOKUP(A153, 'Project Reference'!A:A, 1, FALSE)), 0, 1)</f>
        <v>1</v>
      </c>
      <c r="S153" s="2">
        <f>IFERROR(__xludf.DUMMYFUNCTION("IF(AND(REGEXMATCH(D153, B153), REGEXMATCH(D153, C153)), 1, 0)"),1.0)</f>
        <v>1</v>
      </c>
      <c r="T153" s="2">
        <f t="shared" si="4"/>
        <v>1</v>
      </c>
      <c r="U153" s="2">
        <f t="shared" si="5"/>
        <v>1</v>
      </c>
      <c r="V153" s="2">
        <f t="shared" si="6"/>
        <v>1</v>
      </c>
    </row>
    <row r="154" ht="14.25" customHeight="1">
      <c r="A154" s="2" t="s">
        <v>140</v>
      </c>
      <c r="B154" s="2" t="s">
        <v>30</v>
      </c>
      <c r="C154" s="2" t="s">
        <v>42</v>
      </c>
      <c r="D154" s="8" t="s">
        <v>632</v>
      </c>
      <c r="E154" s="6">
        <v>44982.0</v>
      </c>
      <c r="F154" s="6">
        <v>45181.0</v>
      </c>
      <c r="G154" s="7">
        <v>1.493231996E9</v>
      </c>
      <c r="H154" s="2" t="s">
        <v>33</v>
      </c>
      <c r="I154" s="2">
        <f t="shared" ref="I154:P154" si="157">IF(ISBLANK(A154)=TRUE,0,1)</f>
        <v>1</v>
      </c>
      <c r="J154" s="2">
        <f t="shared" si="157"/>
        <v>1</v>
      </c>
      <c r="K154" s="2">
        <f t="shared" si="157"/>
        <v>1</v>
      </c>
      <c r="L154" s="2">
        <f t="shared" si="157"/>
        <v>1</v>
      </c>
      <c r="M154" s="2">
        <f t="shared" si="157"/>
        <v>1</v>
      </c>
      <c r="N154" s="2">
        <f t="shared" si="157"/>
        <v>1</v>
      </c>
      <c r="O154" s="2">
        <f t="shared" si="157"/>
        <v>1</v>
      </c>
      <c r="P154" s="2">
        <f t="shared" si="157"/>
        <v>1</v>
      </c>
      <c r="Q154" s="2">
        <f t="shared" si="3"/>
        <v>1</v>
      </c>
      <c r="R154" s="2">
        <f>IF(ISERROR(VLOOKUP(A154, 'Project Reference'!A:A, 1, FALSE)), 0, 1)</f>
        <v>1</v>
      </c>
      <c r="S154" s="2">
        <f>IFERROR(__xludf.DUMMYFUNCTION("IF(AND(REGEXMATCH(D154, B154), REGEXMATCH(D154, C154)), 1, 0)"),1.0)</f>
        <v>1</v>
      </c>
      <c r="T154" s="2">
        <f t="shared" si="4"/>
        <v>1</v>
      </c>
      <c r="U154" s="2">
        <f t="shared" si="5"/>
        <v>1</v>
      </c>
      <c r="V154" s="2">
        <f t="shared" si="6"/>
        <v>1</v>
      </c>
    </row>
    <row r="155" ht="14.25" customHeight="1">
      <c r="A155" s="2" t="s">
        <v>141</v>
      </c>
      <c r="B155" s="2" t="s">
        <v>30</v>
      </c>
      <c r="C155" s="2" t="s">
        <v>39</v>
      </c>
      <c r="D155" s="8" t="s">
        <v>590</v>
      </c>
      <c r="E155" s="6">
        <v>44984.0</v>
      </c>
      <c r="F155" s="6">
        <v>45324.0</v>
      </c>
      <c r="G155" s="7">
        <v>5.860997586E9</v>
      </c>
      <c r="H155" s="8" t="s">
        <v>573</v>
      </c>
      <c r="I155" s="2">
        <f t="shared" ref="I155:P155" si="158">IF(ISBLANK(A155)=TRUE,0,1)</f>
        <v>1</v>
      </c>
      <c r="J155" s="2">
        <f t="shared" si="158"/>
        <v>1</v>
      </c>
      <c r="K155" s="2">
        <f t="shared" si="158"/>
        <v>1</v>
      </c>
      <c r="L155" s="2">
        <f t="shared" si="158"/>
        <v>1</v>
      </c>
      <c r="M155" s="2">
        <f t="shared" si="158"/>
        <v>1</v>
      </c>
      <c r="N155" s="2">
        <f t="shared" si="158"/>
        <v>1</v>
      </c>
      <c r="O155" s="2">
        <f t="shared" si="158"/>
        <v>1</v>
      </c>
      <c r="P155" s="2">
        <f t="shared" si="158"/>
        <v>1</v>
      </c>
      <c r="Q155" s="2">
        <f t="shared" si="3"/>
        <v>1</v>
      </c>
      <c r="R155" s="2">
        <f>IF(ISERROR(VLOOKUP(A155, 'Project Reference'!A:A, 1, FALSE)), 0, 1)</f>
        <v>1</v>
      </c>
      <c r="S155" s="2">
        <f>IFERROR(__xludf.DUMMYFUNCTION("IF(AND(REGEXMATCH(D155, B155), REGEXMATCH(D155, C155)), 1, 0)"),1.0)</f>
        <v>1</v>
      </c>
      <c r="T155" s="2">
        <f t="shared" si="4"/>
        <v>1</v>
      </c>
      <c r="U155" s="2">
        <f t="shared" si="5"/>
        <v>1</v>
      </c>
      <c r="V155" s="2">
        <f t="shared" si="6"/>
        <v>1</v>
      </c>
    </row>
    <row r="156" ht="14.25" customHeight="1">
      <c r="A156" s="2" t="s">
        <v>142</v>
      </c>
      <c r="B156" s="2" t="s">
        <v>35</v>
      </c>
      <c r="C156" s="2" t="s">
        <v>39</v>
      </c>
      <c r="D156" s="2" t="s">
        <v>145</v>
      </c>
      <c r="E156" s="6">
        <v>44984.0</v>
      </c>
      <c r="F156" s="6">
        <v>45149.0</v>
      </c>
      <c r="G156" s="7">
        <v>5.51513519E8</v>
      </c>
      <c r="H156" s="2" t="s">
        <v>44</v>
      </c>
      <c r="I156" s="2">
        <f t="shared" ref="I156:P156" si="159">IF(ISBLANK(A156)=TRUE,0,1)</f>
        <v>1</v>
      </c>
      <c r="J156" s="2">
        <f t="shared" si="159"/>
        <v>1</v>
      </c>
      <c r="K156" s="2">
        <f t="shared" si="159"/>
        <v>1</v>
      </c>
      <c r="L156" s="2">
        <f t="shared" si="159"/>
        <v>1</v>
      </c>
      <c r="M156" s="2">
        <f t="shared" si="159"/>
        <v>1</v>
      </c>
      <c r="N156" s="2">
        <f t="shared" si="159"/>
        <v>1</v>
      </c>
      <c r="O156" s="2">
        <f t="shared" si="159"/>
        <v>1</v>
      </c>
      <c r="P156" s="2">
        <f t="shared" si="159"/>
        <v>1</v>
      </c>
      <c r="Q156" s="2">
        <f t="shared" si="3"/>
        <v>1</v>
      </c>
      <c r="R156" s="2">
        <f>IF(ISERROR(VLOOKUP(A156, 'Project Reference'!A:A, 1, FALSE)), 0, 1)</f>
        <v>1</v>
      </c>
      <c r="S156" s="2">
        <f>IFERROR(__xludf.DUMMYFUNCTION("IF(AND(REGEXMATCH(D156, B156), REGEXMATCH(D156, C156)), 1, 0)"),1.0)</f>
        <v>1</v>
      </c>
      <c r="T156" s="2">
        <f t="shared" si="4"/>
        <v>1</v>
      </c>
      <c r="U156" s="2">
        <f t="shared" si="5"/>
        <v>1</v>
      </c>
      <c r="V156" s="2">
        <f t="shared" si="6"/>
        <v>1</v>
      </c>
    </row>
    <row r="157" ht="14.25" customHeight="1">
      <c r="A157" s="2" t="s">
        <v>144</v>
      </c>
      <c r="B157" s="2" t="s">
        <v>12</v>
      </c>
      <c r="C157" s="2" t="s">
        <v>48</v>
      </c>
      <c r="D157" s="8" t="s">
        <v>602</v>
      </c>
      <c r="E157" s="6">
        <v>44985.0</v>
      </c>
      <c r="F157" s="6">
        <v>45186.0</v>
      </c>
      <c r="G157" s="7">
        <v>3.59783228E8</v>
      </c>
      <c r="H157" s="2" t="s">
        <v>44</v>
      </c>
      <c r="I157" s="2">
        <f t="shared" ref="I157:P157" si="160">IF(ISBLANK(A157)=TRUE,0,1)</f>
        <v>1</v>
      </c>
      <c r="J157" s="2">
        <f t="shared" si="160"/>
        <v>1</v>
      </c>
      <c r="K157" s="2">
        <f t="shared" si="160"/>
        <v>1</v>
      </c>
      <c r="L157" s="2">
        <f t="shared" si="160"/>
        <v>1</v>
      </c>
      <c r="M157" s="2">
        <f t="shared" si="160"/>
        <v>1</v>
      </c>
      <c r="N157" s="2">
        <f t="shared" si="160"/>
        <v>1</v>
      </c>
      <c r="O157" s="2">
        <f t="shared" si="160"/>
        <v>1</v>
      </c>
      <c r="P157" s="2">
        <f t="shared" si="160"/>
        <v>1</v>
      </c>
      <c r="Q157" s="2">
        <f t="shared" si="3"/>
        <v>1</v>
      </c>
      <c r="R157" s="2">
        <f>IF(ISERROR(VLOOKUP(A157, 'Project Reference'!A:A, 1, FALSE)), 0, 1)</f>
        <v>1</v>
      </c>
      <c r="S157" s="2">
        <f>IFERROR(__xludf.DUMMYFUNCTION("IF(AND(REGEXMATCH(D157, B157), REGEXMATCH(D157, C157)), 1, 0)"),1.0)</f>
        <v>1</v>
      </c>
      <c r="T157" s="2">
        <f t="shared" si="4"/>
        <v>1</v>
      </c>
      <c r="U157" s="2">
        <f t="shared" si="5"/>
        <v>1</v>
      </c>
      <c r="V157" s="2">
        <f t="shared" si="6"/>
        <v>1</v>
      </c>
    </row>
    <row r="158" ht="14.25" customHeight="1">
      <c r="A158" s="2" t="s">
        <v>146</v>
      </c>
      <c r="B158" s="2" t="s">
        <v>60</v>
      </c>
      <c r="C158" s="2" t="s">
        <v>48</v>
      </c>
      <c r="D158" s="8" t="s">
        <v>622</v>
      </c>
      <c r="E158" s="6">
        <v>44986.0</v>
      </c>
      <c r="F158" s="6">
        <v>45105.0</v>
      </c>
      <c r="G158" s="7">
        <v>4.429242773E9</v>
      </c>
      <c r="H158" s="2" t="s">
        <v>50</v>
      </c>
      <c r="I158" s="2">
        <f t="shared" ref="I158:P158" si="161">IF(ISBLANK(A158)=TRUE,0,1)</f>
        <v>1</v>
      </c>
      <c r="J158" s="2">
        <f t="shared" si="161"/>
        <v>1</v>
      </c>
      <c r="K158" s="2">
        <f t="shared" si="161"/>
        <v>1</v>
      </c>
      <c r="L158" s="2">
        <f t="shared" si="161"/>
        <v>1</v>
      </c>
      <c r="M158" s="2">
        <f t="shared" si="161"/>
        <v>1</v>
      </c>
      <c r="N158" s="2">
        <f t="shared" si="161"/>
        <v>1</v>
      </c>
      <c r="O158" s="2">
        <f t="shared" si="161"/>
        <v>1</v>
      </c>
      <c r="P158" s="2">
        <f t="shared" si="161"/>
        <v>1</v>
      </c>
      <c r="Q158" s="2">
        <f t="shared" si="3"/>
        <v>1</v>
      </c>
      <c r="R158" s="2">
        <f>IF(ISERROR(VLOOKUP(A158, 'Project Reference'!A:A, 1, FALSE)), 0, 1)</f>
        <v>1</v>
      </c>
      <c r="S158" s="2">
        <f>IFERROR(__xludf.DUMMYFUNCTION("IF(AND(REGEXMATCH(D158, B158), REGEXMATCH(D158, C158)), 1, 0)"),1.0)</f>
        <v>1</v>
      </c>
      <c r="T158" s="2">
        <f t="shared" si="4"/>
        <v>1</v>
      </c>
      <c r="U158" s="2">
        <f t="shared" si="5"/>
        <v>1</v>
      </c>
      <c r="V158" s="2">
        <f t="shared" si="6"/>
        <v>1</v>
      </c>
    </row>
    <row r="159" ht="14.25" customHeight="1">
      <c r="A159" s="2" t="s">
        <v>147</v>
      </c>
      <c r="B159" s="2" t="s">
        <v>18</v>
      </c>
      <c r="C159" s="2" t="s">
        <v>13</v>
      </c>
      <c r="D159" s="8" t="s">
        <v>580</v>
      </c>
      <c r="E159" s="6">
        <v>44987.0</v>
      </c>
      <c r="F159" s="6">
        <v>45234.0</v>
      </c>
      <c r="G159" s="7">
        <v>2.034415367E9</v>
      </c>
      <c r="H159" s="2" t="s">
        <v>67</v>
      </c>
      <c r="I159" s="2">
        <f t="shared" ref="I159:P159" si="162">IF(ISBLANK(A159)=TRUE,0,1)</f>
        <v>1</v>
      </c>
      <c r="J159" s="2">
        <f t="shared" si="162"/>
        <v>1</v>
      </c>
      <c r="K159" s="2">
        <f t="shared" si="162"/>
        <v>1</v>
      </c>
      <c r="L159" s="2">
        <f t="shared" si="162"/>
        <v>1</v>
      </c>
      <c r="M159" s="2">
        <f t="shared" si="162"/>
        <v>1</v>
      </c>
      <c r="N159" s="2">
        <f t="shared" si="162"/>
        <v>1</v>
      </c>
      <c r="O159" s="2">
        <f t="shared" si="162"/>
        <v>1</v>
      </c>
      <c r="P159" s="2">
        <f t="shared" si="162"/>
        <v>1</v>
      </c>
      <c r="Q159" s="2">
        <f t="shared" si="3"/>
        <v>1</v>
      </c>
      <c r="R159" s="2">
        <f>IF(ISERROR(VLOOKUP(A159, 'Project Reference'!A:A, 1, FALSE)), 0, 1)</f>
        <v>1</v>
      </c>
      <c r="S159" s="2">
        <f>IFERROR(__xludf.DUMMYFUNCTION("IF(AND(REGEXMATCH(D159, B159), REGEXMATCH(D159, C159)), 1, 0)"),1.0)</f>
        <v>1</v>
      </c>
      <c r="T159" s="2">
        <f t="shared" si="4"/>
        <v>1</v>
      </c>
      <c r="U159" s="2">
        <f t="shared" si="5"/>
        <v>1</v>
      </c>
      <c r="V159" s="2">
        <f t="shared" si="6"/>
        <v>1</v>
      </c>
    </row>
    <row r="160" ht="14.25" customHeight="1">
      <c r="A160" s="2" t="s">
        <v>148</v>
      </c>
      <c r="B160" s="2" t="s">
        <v>30</v>
      </c>
      <c r="C160" s="2" t="s">
        <v>42</v>
      </c>
      <c r="D160" s="8" t="s">
        <v>627</v>
      </c>
      <c r="E160" s="6">
        <v>44989.0</v>
      </c>
      <c r="F160" s="6">
        <v>45301.0</v>
      </c>
      <c r="G160" s="7">
        <v>1.597122511E9</v>
      </c>
      <c r="H160" s="2" t="s">
        <v>44</v>
      </c>
      <c r="I160" s="2">
        <f t="shared" ref="I160:P160" si="163">IF(ISBLANK(A160)=TRUE,0,1)</f>
        <v>1</v>
      </c>
      <c r="J160" s="2">
        <f t="shared" si="163"/>
        <v>1</v>
      </c>
      <c r="K160" s="2">
        <f t="shared" si="163"/>
        <v>1</v>
      </c>
      <c r="L160" s="2">
        <f t="shared" si="163"/>
        <v>1</v>
      </c>
      <c r="M160" s="2">
        <f t="shared" si="163"/>
        <v>1</v>
      </c>
      <c r="N160" s="2">
        <f t="shared" si="163"/>
        <v>1</v>
      </c>
      <c r="O160" s="2">
        <f t="shared" si="163"/>
        <v>1</v>
      </c>
      <c r="P160" s="2">
        <f t="shared" si="163"/>
        <v>1</v>
      </c>
      <c r="Q160" s="2">
        <f t="shared" si="3"/>
        <v>1</v>
      </c>
      <c r="R160" s="2">
        <f>IF(ISERROR(VLOOKUP(A160, 'Project Reference'!A:A, 1, FALSE)), 0, 1)</f>
        <v>1</v>
      </c>
      <c r="S160" s="2">
        <f>IFERROR(__xludf.DUMMYFUNCTION("IF(AND(REGEXMATCH(D160, B160), REGEXMATCH(D160, C160)), 1, 0)"),1.0)</f>
        <v>1</v>
      </c>
      <c r="T160" s="2">
        <f t="shared" si="4"/>
        <v>1</v>
      </c>
      <c r="U160" s="2">
        <f t="shared" si="5"/>
        <v>1</v>
      </c>
      <c r="V160" s="2">
        <f t="shared" si="6"/>
        <v>1</v>
      </c>
    </row>
    <row r="161" ht="14.25" customHeight="1">
      <c r="A161" s="2" t="s">
        <v>149</v>
      </c>
      <c r="B161" s="2" t="s">
        <v>12</v>
      </c>
      <c r="C161" s="2" t="s">
        <v>42</v>
      </c>
      <c r="D161" s="8" t="s">
        <v>603</v>
      </c>
      <c r="E161" s="6">
        <v>44989.0</v>
      </c>
      <c r="F161" s="6">
        <v>45120.0</v>
      </c>
      <c r="G161" s="7">
        <v>9.66519099E8</v>
      </c>
      <c r="H161" s="2" t="s">
        <v>33</v>
      </c>
      <c r="I161" s="2">
        <f t="shared" ref="I161:P161" si="164">IF(ISBLANK(A161)=TRUE,0,1)</f>
        <v>1</v>
      </c>
      <c r="J161" s="2">
        <f t="shared" si="164"/>
        <v>1</v>
      </c>
      <c r="K161" s="2">
        <f t="shared" si="164"/>
        <v>1</v>
      </c>
      <c r="L161" s="2">
        <f t="shared" si="164"/>
        <v>1</v>
      </c>
      <c r="M161" s="2">
        <f t="shared" si="164"/>
        <v>1</v>
      </c>
      <c r="N161" s="2">
        <f t="shared" si="164"/>
        <v>1</v>
      </c>
      <c r="O161" s="2">
        <f t="shared" si="164"/>
        <v>1</v>
      </c>
      <c r="P161" s="2">
        <f t="shared" si="164"/>
        <v>1</v>
      </c>
      <c r="Q161" s="2">
        <f t="shared" si="3"/>
        <v>1</v>
      </c>
      <c r="R161" s="2">
        <f>IF(ISERROR(VLOOKUP(A161, 'Project Reference'!A:A, 1, FALSE)), 0, 1)</f>
        <v>1</v>
      </c>
      <c r="S161" s="2">
        <f>IFERROR(__xludf.DUMMYFUNCTION("IF(AND(REGEXMATCH(D161, B161), REGEXMATCH(D161, C161)), 1, 0)"),1.0)</f>
        <v>1</v>
      </c>
      <c r="T161" s="2">
        <f t="shared" si="4"/>
        <v>1</v>
      </c>
      <c r="U161" s="2">
        <f t="shared" si="5"/>
        <v>1</v>
      </c>
      <c r="V161" s="2">
        <f t="shared" si="6"/>
        <v>1</v>
      </c>
    </row>
    <row r="162" ht="14.25" customHeight="1">
      <c r="A162" s="2" t="s">
        <v>150</v>
      </c>
      <c r="B162" s="2" t="s">
        <v>12</v>
      </c>
      <c r="C162" s="2" t="s">
        <v>13</v>
      </c>
      <c r="D162" s="8" t="s">
        <v>605</v>
      </c>
      <c r="E162" s="6">
        <v>44990.0</v>
      </c>
      <c r="F162" s="6">
        <v>45158.0</v>
      </c>
      <c r="G162" s="7">
        <v>8.81938572E8</v>
      </c>
      <c r="H162" s="8" t="s">
        <v>581</v>
      </c>
      <c r="I162" s="2">
        <f t="shared" ref="I162:P162" si="165">IF(ISBLANK(A162)=TRUE,0,1)</f>
        <v>1</v>
      </c>
      <c r="J162" s="2">
        <f t="shared" si="165"/>
        <v>1</v>
      </c>
      <c r="K162" s="2">
        <f t="shared" si="165"/>
        <v>1</v>
      </c>
      <c r="L162" s="2">
        <f t="shared" si="165"/>
        <v>1</v>
      </c>
      <c r="M162" s="2">
        <f t="shared" si="165"/>
        <v>1</v>
      </c>
      <c r="N162" s="2">
        <f t="shared" si="165"/>
        <v>1</v>
      </c>
      <c r="O162" s="2">
        <f t="shared" si="165"/>
        <v>1</v>
      </c>
      <c r="P162" s="2">
        <f t="shared" si="165"/>
        <v>1</v>
      </c>
      <c r="Q162" s="2">
        <f t="shared" si="3"/>
        <v>1</v>
      </c>
      <c r="R162" s="2">
        <f>IF(ISERROR(VLOOKUP(A162, 'Project Reference'!A:A, 1, FALSE)), 0, 1)</f>
        <v>1</v>
      </c>
      <c r="S162" s="2">
        <f>IFERROR(__xludf.DUMMYFUNCTION("IF(AND(REGEXMATCH(D162, B162), REGEXMATCH(D162, C162)), 1, 0)"),1.0)</f>
        <v>1</v>
      </c>
      <c r="T162" s="2">
        <f t="shared" si="4"/>
        <v>1</v>
      </c>
      <c r="U162" s="2">
        <f t="shared" si="5"/>
        <v>1</v>
      </c>
      <c r="V162" s="2">
        <f t="shared" si="6"/>
        <v>1</v>
      </c>
    </row>
    <row r="163" ht="14.25" customHeight="1">
      <c r="A163" s="2" t="s">
        <v>151</v>
      </c>
      <c r="B163" s="2" t="s">
        <v>60</v>
      </c>
      <c r="C163" s="2" t="s">
        <v>39</v>
      </c>
      <c r="D163" s="8" t="s">
        <v>626</v>
      </c>
      <c r="E163" s="6">
        <v>44990.0</v>
      </c>
      <c r="F163" s="6">
        <v>45020.0</v>
      </c>
      <c r="G163" s="7">
        <v>4.50812299E9</v>
      </c>
      <c r="H163" s="2" t="s">
        <v>50</v>
      </c>
      <c r="I163" s="2">
        <f t="shared" ref="I163:P163" si="166">IF(ISBLANK(A163)=TRUE,0,1)</f>
        <v>1</v>
      </c>
      <c r="J163" s="2">
        <f t="shared" si="166"/>
        <v>1</v>
      </c>
      <c r="K163" s="2">
        <f t="shared" si="166"/>
        <v>1</v>
      </c>
      <c r="L163" s="2">
        <f t="shared" si="166"/>
        <v>1</v>
      </c>
      <c r="M163" s="2">
        <f t="shared" si="166"/>
        <v>1</v>
      </c>
      <c r="N163" s="2">
        <f t="shared" si="166"/>
        <v>1</v>
      </c>
      <c r="O163" s="2">
        <f t="shared" si="166"/>
        <v>1</v>
      </c>
      <c r="P163" s="2">
        <f t="shared" si="166"/>
        <v>1</v>
      </c>
      <c r="Q163" s="2">
        <f t="shared" si="3"/>
        <v>1</v>
      </c>
      <c r="R163" s="2">
        <f>IF(ISERROR(VLOOKUP(A163, 'Project Reference'!A:A, 1, FALSE)), 0, 1)</f>
        <v>1</v>
      </c>
      <c r="S163" s="2">
        <f>IFERROR(__xludf.DUMMYFUNCTION("IF(AND(REGEXMATCH(D163, B163), REGEXMATCH(D163, C163)), 1, 0)"),1.0)</f>
        <v>1</v>
      </c>
      <c r="T163" s="2">
        <f t="shared" si="4"/>
        <v>1</v>
      </c>
      <c r="U163" s="2">
        <f t="shared" si="5"/>
        <v>1</v>
      </c>
      <c r="V163" s="2">
        <f t="shared" si="6"/>
        <v>1</v>
      </c>
    </row>
    <row r="164" ht="14.25" customHeight="1">
      <c r="A164" s="2" t="s">
        <v>152</v>
      </c>
      <c r="B164" s="2" t="s">
        <v>60</v>
      </c>
      <c r="C164" s="2" t="s">
        <v>42</v>
      </c>
      <c r="D164" s="8" t="s">
        <v>587</v>
      </c>
      <c r="E164" s="6">
        <v>44990.0</v>
      </c>
      <c r="F164" s="6">
        <v>45311.0</v>
      </c>
      <c r="G164" s="7">
        <v>1.863372939E9</v>
      </c>
      <c r="H164" s="2" t="s">
        <v>44</v>
      </c>
      <c r="I164" s="2">
        <f t="shared" ref="I164:P164" si="167">IF(ISBLANK(A164)=TRUE,0,1)</f>
        <v>1</v>
      </c>
      <c r="J164" s="2">
        <f t="shared" si="167"/>
        <v>1</v>
      </c>
      <c r="K164" s="2">
        <f t="shared" si="167"/>
        <v>1</v>
      </c>
      <c r="L164" s="2">
        <f t="shared" si="167"/>
        <v>1</v>
      </c>
      <c r="M164" s="2">
        <f t="shared" si="167"/>
        <v>1</v>
      </c>
      <c r="N164" s="2">
        <f t="shared" si="167"/>
        <v>1</v>
      </c>
      <c r="O164" s="2">
        <f t="shared" si="167"/>
        <v>1</v>
      </c>
      <c r="P164" s="2">
        <f t="shared" si="167"/>
        <v>1</v>
      </c>
      <c r="Q164" s="2">
        <f t="shared" si="3"/>
        <v>1</v>
      </c>
      <c r="R164" s="2">
        <f>IF(ISERROR(VLOOKUP(A164, 'Project Reference'!A:A, 1, FALSE)), 0, 1)</f>
        <v>1</v>
      </c>
      <c r="S164" s="2">
        <f>IFERROR(__xludf.DUMMYFUNCTION("IF(AND(REGEXMATCH(D164, B164), REGEXMATCH(D164, C164)), 1, 0)"),1.0)</f>
        <v>1</v>
      </c>
      <c r="T164" s="2">
        <f t="shared" si="4"/>
        <v>1</v>
      </c>
      <c r="U164" s="2">
        <f t="shared" si="5"/>
        <v>1</v>
      </c>
      <c r="V164" s="2">
        <f t="shared" si="6"/>
        <v>1</v>
      </c>
    </row>
    <row r="165" ht="14.25" customHeight="1">
      <c r="A165" s="2" t="s">
        <v>153</v>
      </c>
      <c r="B165" s="2" t="s">
        <v>35</v>
      </c>
      <c r="C165" s="2" t="s">
        <v>13</v>
      </c>
      <c r="D165" s="2" t="s">
        <v>78</v>
      </c>
      <c r="E165" s="6">
        <v>44991.0</v>
      </c>
      <c r="F165" s="6">
        <v>45062.0</v>
      </c>
      <c r="G165" s="7">
        <v>5.12883235E8</v>
      </c>
      <c r="H165" s="8" t="s">
        <v>573</v>
      </c>
      <c r="I165" s="2">
        <f t="shared" ref="I165:P165" si="168">IF(ISBLANK(A165)=TRUE,0,1)</f>
        <v>1</v>
      </c>
      <c r="J165" s="2">
        <f t="shared" si="168"/>
        <v>1</v>
      </c>
      <c r="K165" s="2">
        <f t="shared" si="168"/>
        <v>1</v>
      </c>
      <c r="L165" s="2">
        <f t="shared" si="168"/>
        <v>1</v>
      </c>
      <c r="M165" s="2">
        <f t="shared" si="168"/>
        <v>1</v>
      </c>
      <c r="N165" s="2">
        <f t="shared" si="168"/>
        <v>1</v>
      </c>
      <c r="O165" s="2">
        <f t="shared" si="168"/>
        <v>1</v>
      </c>
      <c r="P165" s="2">
        <f t="shared" si="168"/>
        <v>1</v>
      </c>
      <c r="Q165" s="2">
        <f t="shared" si="3"/>
        <v>1</v>
      </c>
      <c r="R165" s="2">
        <f>IF(ISERROR(VLOOKUP(A165, 'Project Reference'!A:A, 1, FALSE)), 0, 1)</f>
        <v>1</v>
      </c>
      <c r="S165" s="2">
        <f>IFERROR(__xludf.DUMMYFUNCTION("IF(AND(REGEXMATCH(D165, B165), REGEXMATCH(D165, C165)), 1, 0)"),1.0)</f>
        <v>1</v>
      </c>
      <c r="T165" s="2">
        <f t="shared" si="4"/>
        <v>1</v>
      </c>
      <c r="U165" s="2">
        <f t="shared" si="5"/>
        <v>1</v>
      </c>
      <c r="V165" s="2">
        <f t="shared" si="6"/>
        <v>1</v>
      </c>
    </row>
    <row r="166" ht="14.25" customHeight="1">
      <c r="A166" s="2" t="s">
        <v>155</v>
      </c>
      <c r="B166" s="2" t="s">
        <v>18</v>
      </c>
      <c r="C166" s="2" t="s">
        <v>42</v>
      </c>
      <c r="D166" s="8" t="s">
        <v>621</v>
      </c>
      <c r="E166" s="6">
        <v>44991.0</v>
      </c>
      <c r="F166" s="6">
        <v>45338.0</v>
      </c>
      <c r="G166" s="7">
        <v>4.679669631E9</v>
      </c>
      <c r="H166" s="2" t="s">
        <v>44</v>
      </c>
      <c r="I166" s="2">
        <f t="shared" ref="I166:P166" si="169">IF(ISBLANK(A166)=TRUE,0,1)</f>
        <v>1</v>
      </c>
      <c r="J166" s="2">
        <f t="shared" si="169"/>
        <v>1</v>
      </c>
      <c r="K166" s="2">
        <f t="shared" si="169"/>
        <v>1</v>
      </c>
      <c r="L166" s="2">
        <f t="shared" si="169"/>
        <v>1</v>
      </c>
      <c r="M166" s="2">
        <f t="shared" si="169"/>
        <v>1</v>
      </c>
      <c r="N166" s="2">
        <f t="shared" si="169"/>
        <v>1</v>
      </c>
      <c r="O166" s="2">
        <f t="shared" si="169"/>
        <v>1</v>
      </c>
      <c r="P166" s="2">
        <f t="shared" si="169"/>
        <v>1</v>
      </c>
      <c r="Q166" s="2">
        <f t="shared" si="3"/>
        <v>1</v>
      </c>
      <c r="R166" s="2">
        <f>IF(ISERROR(VLOOKUP(A166, 'Project Reference'!A:A, 1, FALSE)), 0, 1)</f>
        <v>1</v>
      </c>
      <c r="S166" s="2">
        <f>IFERROR(__xludf.DUMMYFUNCTION("IF(AND(REGEXMATCH(D166, B166), REGEXMATCH(D166, C166)), 1, 0)"),1.0)</f>
        <v>1</v>
      </c>
      <c r="T166" s="2">
        <f t="shared" si="4"/>
        <v>1</v>
      </c>
      <c r="U166" s="2">
        <f t="shared" si="5"/>
        <v>1</v>
      </c>
      <c r="V166" s="2">
        <f t="shared" si="6"/>
        <v>1</v>
      </c>
    </row>
    <row r="167" ht="14.25" customHeight="1">
      <c r="A167" s="2" t="s">
        <v>156</v>
      </c>
      <c r="B167" s="2" t="s">
        <v>30</v>
      </c>
      <c r="C167" s="2" t="s">
        <v>31</v>
      </c>
      <c r="D167" s="8" t="s">
        <v>595</v>
      </c>
      <c r="E167" s="6">
        <v>44991.0</v>
      </c>
      <c r="F167" s="6">
        <v>45269.0</v>
      </c>
      <c r="G167" s="7">
        <v>4.513453864E9</v>
      </c>
      <c r="H167" s="8" t="s">
        <v>573</v>
      </c>
      <c r="I167" s="2">
        <f t="shared" ref="I167:P167" si="170">IF(ISBLANK(A167)=TRUE,0,1)</f>
        <v>1</v>
      </c>
      <c r="J167" s="2">
        <f t="shared" si="170"/>
        <v>1</v>
      </c>
      <c r="K167" s="2">
        <f t="shared" si="170"/>
        <v>1</v>
      </c>
      <c r="L167" s="2">
        <f t="shared" si="170"/>
        <v>1</v>
      </c>
      <c r="M167" s="2">
        <f t="shared" si="170"/>
        <v>1</v>
      </c>
      <c r="N167" s="2">
        <f t="shared" si="170"/>
        <v>1</v>
      </c>
      <c r="O167" s="2">
        <f t="shared" si="170"/>
        <v>1</v>
      </c>
      <c r="P167" s="2">
        <f t="shared" si="170"/>
        <v>1</v>
      </c>
      <c r="Q167" s="2">
        <f t="shared" si="3"/>
        <v>1</v>
      </c>
      <c r="R167" s="2">
        <f>IF(ISERROR(VLOOKUP(A167, 'Project Reference'!A:A, 1, FALSE)), 0, 1)</f>
        <v>1</v>
      </c>
      <c r="S167" s="2">
        <f>IFERROR(__xludf.DUMMYFUNCTION("IF(AND(REGEXMATCH(D167, B167), REGEXMATCH(D167, C167)), 1, 0)"),1.0)</f>
        <v>1</v>
      </c>
      <c r="T167" s="2">
        <f t="shared" si="4"/>
        <v>1</v>
      </c>
      <c r="U167" s="2">
        <f t="shared" si="5"/>
        <v>1</v>
      </c>
      <c r="V167" s="2">
        <f t="shared" si="6"/>
        <v>1</v>
      </c>
    </row>
    <row r="168" ht="14.25" customHeight="1">
      <c r="A168" s="2" t="s">
        <v>157</v>
      </c>
      <c r="B168" s="2" t="s">
        <v>30</v>
      </c>
      <c r="C168" s="2" t="s">
        <v>36</v>
      </c>
      <c r="D168" s="8" t="s">
        <v>614</v>
      </c>
      <c r="E168" s="6">
        <v>44992.0</v>
      </c>
      <c r="F168" s="6">
        <v>45322.0</v>
      </c>
      <c r="G168" s="7">
        <v>7.126604362E9</v>
      </c>
      <c r="H168" s="2" t="s">
        <v>50</v>
      </c>
      <c r="I168" s="2">
        <f t="shared" ref="I168:P168" si="171">IF(ISBLANK(A168)=TRUE,0,1)</f>
        <v>1</v>
      </c>
      <c r="J168" s="2">
        <f t="shared" si="171"/>
        <v>1</v>
      </c>
      <c r="K168" s="2">
        <f t="shared" si="171"/>
        <v>1</v>
      </c>
      <c r="L168" s="2">
        <f t="shared" si="171"/>
        <v>1</v>
      </c>
      <c r="M168" s="2">
        <f t="shared" si="171"/>
        <v>1</v>
      </c>
      <c r="N168" s="2">
        <f t="shared" si="171"/>
        <v>1</v>
      </c>
      <c r="O168" s="2">
        <f t="shared" si="171"/>
        <v>1</v>
      </c>
      <c r="P168" s="2">
        <f t="shared" si="171"/>
        <v>1</v>
      </c>
      <c r="Q168" s="2">
        <f t="shared" si="3"/>
        <v>1</v>
      </c>
      <c r="R168" s="2">
        <f>IF(ISERROR(VLOOKUP(A168, 'Project Reference'!A:A, 1, FALSE)), 0, 1)</f>
        <v>1</v>
      </c>
      <c r="S168" s="2">
        <f>IFERROR(__xludf.DUMMYFUNCTION("IF(AND(REGEXMATCH(D168, B168), REGEXMATCH(D168, C168)), 1, 0)"),1.0)</f>
        <v>1</v>
      </c>
      <c r="T168" s="2">
        <f t="shared" si="4"/>
        <v>1</v>
      </c>
      <c r="U168" s="2">
        <f t="shared" si="5"/>
        <v>1</v>
      </c>
      <c r="V168" s="2">
        <f t="shared" si="6"/>
        <v>1</v>
      </c>
    </row>
    <row r="169" ht="14.25" customHeight="1">
      <c r="A169" s="2" t="s">
        <v>158</v>
      </c>
      <c r="B169" s="2" t="s">
        <v>30</v>
      </c>
      <c r="C169" s="2" t="s">
        <v>42</v>
      </c>
      <c r="D169" s="8" t="s">
        <v>627</v>
      </c>
      <c r="E169" s="6">
        <v>44994.0</v>
      </c>
      <c r="F169" s="6">
        <v>45241.0</v>
      </c>
      <c r="G169" s="7">
        <v>4.952427692E9</v>
      </c>
      <c r="H169" s="8" t="s">
        <v>573</v>
      </c>
      <c r="I169" s="2">
        <f t="shared" ref="I169:P169" si="172">IF(ISBLANK(A169)=TRUE,0,1)</f>
        <v>1</v>
      </c>
      <c r="J169" s="2">
        <f t="shared" si="172"/>
        <v>1</v>
      </c>
      <c r="K169" s="2">
        <f t="shared" si="172"/>
        <v>1</v>
      </c>
      <c r="L169" s="2">
        <f t="shared" si="172"/>
        <v>1</v>
      </c>
      <c r="M169" s="2">
        <f t="shared" si="172"/>
        <v>1</v>
      </c>
      <c r="N169" s="2">
        <f t="shared" si="172"/>
        <v>1</v>
      </c>
      <c r="O169" s="2">
        <f t="shared" si="172"/>
        <v>1</v>
      </c>
      <c r="P169" s="2">
        <f t="shared" si="172"/>
        <v>1</v>
      </c>
      <c r="Q169" s="2">
        <f t="shared" si="3"/>
        <v>1</v>
      </c>
      <c r="R169" s="2">
        <f>IF(ISERROR(VLOOKUP(A169, 'Project Reference'!A:A, 1, FALSE)), 0, 1)</f>
        <v>1</v>
      </c>
      <c r="S169" s="2">
        <f>IFERROR(__xludf.DUMMYFUNCTION("IF(AND(REGEXMATCH(D169, B169), REGEXMATCH(D169, C169)), 1, 0)"),1.0)</f>
        <v>1</v>
      </c>
      <c r="T169" s="2">
        <f t="shared" si="4"/>
        <v>1</v>
      </c>
      <c r="U169" s="2">
        <f t="shared" si="5"/>
        <v>1</v>
      </c>
      <c r="V169" s="2">
        <f t="shared" si="6"/>
        <v>1</v>
      </c>
    </row>
    <row r="170" ht="14.25" customHeight="1">
      <c r="A170" s="2" t="s">
        <v>159</v>
      </c>
      <c r="B170" s="2" t="s">
        <v>35</v>
      </c>
      <c r="C170" s="2" t="s">
        <v>31</v>
      </c>
      <c r="D170" s="2" t="s">
        <v>91</v>
      </c>
      <c r="E170" s="6">
        <v>44994.0</v>
      </c>
      <c r="F170" s="6">
        <v>45231.0</v>
      </c>
      <c r="G170" s="7">
        <v>5.4275981E8</v>
      </c>
      <c r="H170" s="2" t="s">
        <v>44</v>
      </c>
      <c r="I170" s="2">
        <f t="shared" ref="I170:P170" si="173">IF(ISBLANK(A170)=TRUE,0,1)</f>
        <v>1</v>
      </c>
      <c r="J170" s="2">
        <f t="shared" si="173"/>
        <v>1</v>
      </c>
      <c r="K170" s="2">
        <f t="shared" si="173"/>
        <v>1</v>
      </c>
      <c r="L170" s="2">
        <f t="shared" si="173"/>
        <v>1</v>
      </c>
      <c r="M170" s="2">
        <f t="shared" si="173"/>
        <v>1</v>
      </c>
      <c r="N170" s="2">
        <f t="shared" si="173"/>
        <v>1</v>
      </c>
      <c r="O170" s="2">
        <f t="shared" si="173"/>
        <v>1</v>
      </c>
      <c r="P170" s="2">
        <f t="shared" si="173"/>
        <v>1</v>
      </c>
      <c r="Q170" s="2">
        <f t="shared" si="3"/>
        <v>1</v>
      </c>
      <c r="R170" s="2">
        <f>IF(ISERROR(VLOOKUP(A170, 'Project Reference'!A:A, 1, FALSE)), 0, 1)</f>
        <v>1</v>
      </c>
      <c r="S170" s="2">
        <f>IFERROR(__xludf.DUMMYFUNCTION("IF(AND(REGEXMATCH(D170, B170), REGEXMATCH(D170, C170)), 1, 0)"),1.0)</f>
        <v>1</v>
      </c>
      <c r="T170" s="2">
        <f t="shared" si="4"/>
        <v>1</v>
      </c>
      <c r="U170" s="2">
        <f t="shared" si="5"/>
        <v>1</v>
      </c>
      <c r="V170" s="2">
        <f t="shared" si="6"/>
        <v>1</v>
      </c>
    </row>
    <row r="171" ht="14.25" customHeight="1">
      <c r="A171" s="2" t="s">
        <v>161</v>
      </c>
      <c r="B171" s="2" t="s">
        <v>18</v>
      </c>
      <c r="C171" s="2" t="s">
        <v>48</v>
      </c>
      <c r="D171" s="8" t="s">
        <v>629</v>
      </c>
      <c r="E171" s="6">
        <v>44994.0</v>
      </c>
      <c r="F171" s="6">
        <v>45074.0</v>
      </c>
      <c r="G171" s="7">
        <v>5.059161734E9</v>
      </c>
      <c r="H171" s="2" t="s">
        <v>50</v>
      </c>
      <c r="I171" s="2">
        <f t="shared" ref="I171:P171" si="174">IF(ISBLANK(A171)=TRUE,0,1)</f>
        <v>1</v>
      </c>
      <c r="J171" s="2">
        <f t="shared" si="174"/>
        <v>1</v>
      </c>
      <c r="K171" s="2">
        <f t="shared" si="174"/>
        <v>1</v>
      </c>
      <c r="L171" s="2">
        <f t="shared" si="174"/>
        <v>1</v>
      </c>
      <c r="M171" s="2">
        <f t="shared" si="174"/>
        <v>1</v>
      </c>
      <c r="N171" s="2">
        <f t="shared" si="174"/>
        <v>1</v>
      </c>
      <c r="O171" s="2">
        <f t="shared" si="174"/>
        <v>1</v>
      </c>
      <c r="P171" s="2">
        <f t="shared" si="174"/>
        <v>1</v>
      </c>
      <c r="Q171" s="2">
        <f t="shared" si="3"/>
        <v>1</v>
      </c>
      <c r="R171" s="2">
        <f>IF(ISERROR(VLOOKUP(A171, 'Project Reference'!A:A, 1, FALSE)), 0, 1)</f>
        <v>1</v>
      </c>
      <c r="S171" s="2">
        <f>IFERROR(__xludf.DUMMYFUNCTION("IF(AND(REGEXMATCH(D171, B171), REGEXMATCH(D171, C171)), 1, 0)"),1.0)</f>
        <v>1</v>
      </c>
      <c r="T171" s="2">
        <f t="shared" si="4"/>
        <v>1</v>
      </c>
      <c r="U171" s="2">
        <f t="shared" si="5"/>
        <v>1</v>
      </c>
      <c r="V171" s="2">
        <f t="shared" si="6"/>
        <v>1</v>
      </c>
    </row>
    <row r="172" ht="14.25" customHeight="1">
      <c r="A172" s="2" t="s">
        <v>162</v>
      </c>
      <c r="B172" s="2" t="s">
        <v>30</v>
      </c>
      <c r="C172" s="2" t="s">
        <v>31</v>
      </c>
      <c r="D172" s="8" t="s">
        <v>585</v>
      </c>
      <c r="E172" s="6">
        <v>44996.0</v>
      </c>
      <c r="F172" s="6">
        <v>45203.0</v>
      </c>
      <c r="G172" s="7">
        <v>5.462259142E9</v>
      </c>
      <c r="H172" s="2" t="s">
        <v>21</v>
      </c>
      <c r="I172" s="2">
        <f t="shared" ref="I172:P172" si="175">IF(ISBLANK(A172)=TRUE,0,1)</f>
        <v>1</v>
      </c>
      <c r="J172" s="2">
        <f t="shared" si="175"/>
        <v>1</v>
      </c>
      <c r="K172" s="2">
        <f t="shared" si="175"/>
        <v>1</v>
      </c>
      <c r="L172" s="2">
        <f t="shared" si="175"/>
        <v>1</v>
      </c>
      <c r="M172" s="2">
        <f t="shared" si="175"/>
        <v>1</v>
      </c>
      <c r="N172" s="2">
        <f t="shared" si="175"/>
        <v>1</v>
      </c>
      <c r="O172" s="2">
        <f t="shared" si="175"/>
        <v>1</v>
      </c>
      <c r="P172" s="2">
        <f t="shared" si="175"/>
        <v>1</v>
      </c>
      <c r="Q172" s="2">
        <f t="shared" si="3"/>
        <v>1</v>
      </c>
      <c r="R172" s="2">
        <f>IF(ISERROR(VLOOKUP(A172, 'Project Reference'!A:A, 1, FALSE)), 0, 1)</f>
        <v>1</v>
      </c>
      <c r="S172" s="2">
        <f>IFERROR(__xludf.DUMMYFUNCTION("IF(AND(REGEXMATCH(D172, B172), REGEXMATCH(D172, C172)), 1, 0)"),1.0)</f>
        <v>1</v>
      </c>
      <c r="T172" s="2">
        <f t="shared" si="4"/>
        <v>1</v>
      </c>
      <c r="U172" s="2">
        <f t="shared" si="5"/>
        <v>1</v>
      </c>
      <c r="V172" s="2">
        <f t="shared" si="6"/>
        <v>1</v>
      </c>
    </row>
    <row r="173" ht="14.25" customHeight="1">
      <c r="A173" s="2" t="s">
        <v>163</v>
      </c>
      <c r="B173" s="2" t="s">
        <v>60</v>
      </c>
      <c r="C173" s="2" t="s">
        <v>13</v>
      </c>
      <c r="D173" s="8" t="s">
        <v>619</v>
      </c>
      <c r="E173" s="6">
        <v>44996.0</v>
      </c>
      <c r="F173" s="6">
        <v>45181.0</v>
      </c>
      <c r="G173" s="7">
        <v>3.922070251E9</v>
      </c>
      <c r="H173" s="2" t="s">
        <v>50</v>
      </c>
      <c r="I173" s="2">
        <f t="shared" ref="I173:P173" si="176">IF(ISBLANK(A173)=TRUE,0,1)</f>
        <v>1</v>
      </c>
      <c r="J173" s="2">
        <f t="shared" si="176"/>
        <v>1</v>
      </c>
      <c r="K173" s="2">
        <f t="shared" si="176"/>
        <v>1</v>
      </c>
      <c r="L173" s="2">
        <f t="shared" si="176"/>
        <v>1</v>
      </c>
      <c r="M173" s="2">
        <f t="shared" si="176"/>
        <v>1</v>
      </c>
      <c r="N173" s="2">
        <f t="shared" si="176"/>
        <v>1</v>
      </c>
      <c r="O173" s="2">
        <f t="shared" si="176"/>
        <v>1</v>
      </c>
      <c r="P173" s="2">
        <f t="shared" si="176"/>
        <v>1</v>
      </c>
      <c r="Q173" s="2">
        <f t="shared" si="3"/>
        <v>1</v>
      </c>
      <c r="R173" s="2">
        <f>IF(ISERROR(VLOOKUP(A173, 'Project Reference'!A:A, 1, FALSE)), 0, 1)</f>
        <v>1</v>
      </c>
      <c r="S173" s="2">
        <f>IFERROR(__xludf.DUMMYFUNCTION("IF(AND(REGEXMATCH(D173, B173), REGEXMATCH(D173, C173)), 1, 0)"),1.0)</f>
        <v>1</v>
      </c>
      <c r="T173" s="2">
        <f t="shared" si="4"/>
        <v>1</v>
      </c>
      <c r="U173" s="2">
        <f t="shared" si="5"/>
        <v>1</v>
      </c>
      <c r="V173" s="2">
        <f t="shared" si="6"/>
        <v>1</v>
      </c>
    </row>
    <row r="174" ht="14.25" customHeight="1">
      <c r="A174" s="2" t="s">
        <v>165</v>
      </c>
      <c r="B174" s="2" t="s">
        <v>18</v>
      </c>
      <c r="C174" s="2" t="s">
        <v>13</v>
      </c>
      <c r="D174" s="8" t="s">
        <v>580</v>
      </c>
      <c r="E174" s="6">
        <v>45000.0</v>
      </c>
      <c r="F174" s="6">
        <v>45038.0</v>
      </c>
      <c r="G174" s="7">
        <v>6.049021945E9</v>
      </c>
      <c r="H174" s="2" t="s">
        <v>44</v>
      </c>
      <c r="I174" s="2">
        <f t="shared" ref="I174:P174" si="177">IF(ISBLANK(A174)=TRUE,0,1)</f>
        <v>1</v>
      </c>
      <c r="J174" s="2">
        <f t="shared" si="177"/>
        <v>1</v>
      </c>
      <c r="K174" s="2">
        <f t="shared" si="177"/>
        <v>1</v>
      </c>
      <c r="L174" s="2">
        <f t="shared" si="177"/>
        <v>1</v>
      </c>
      <c r="M174" s="2">
        <f t="shared" si="177"/>
        <v>1</v>
      </c>
      <c r="N174" s="2">
        <f t="shared" si="177"/>
        <v>1</v>
      </c>
      <c r="O174" s="2">
        <f t="shared" si="177"/>
        <v>1</v>
      </c>
      <c r="P174" s="2">
        <f t="shared" si="177"/>
        <v>1</v>
      </c>
      <c r="Q174" s="2">
        <f t="shared" si="3"/>
        <v>1</v>
      </c>
      <c r="R174" s="2">
        <f>IF(ISERROR(VLOOKUP(A174, 'Project Reference'!A:A, 1, FALSE)), 0, 1)</f>
        <v>1</v>
      </c>
      <c r="S174" s="2">
        <f>IFERROR(__xludf.DUMMYFUNCTION("IF(AND(REGEXMATCH(D174, B174), REGEXMATCH(D174, C174)), 1, 0)"),1.0)</f>
        <v>1</v>
      </c>
      <c r="T174" s="2">
        <f t="shared" si="4"/>
        <v>1</v>
      </c>
      <c r="U174" s="2">
        <f t="shared" si="5"/>
        <v>1</v>
      </c>
      <c r="V174" s="2">
        <f t="shared" si="6"/>
        <v>1</v>
      </c>
    </row>
    <row r="175" ht="14.25" customHeight="1">
      <c r="A175" s="2" t="s">
        <v>166</v>
      </c>
      <c r="B175" s="2" t="s">
        <v>12</v>
      </c>
      <c r="C175" s="2" t="s">
        <v>13</v>
      </c>
      <c r="D175" s="8" t="s">
        <v>605</v>
      </c>
      <c r="E175" s="6">
        <v>45001.0</v>
      </c>
      <c r="F175" s="6">
        <v>45325.0</v>
      </c>
      <c r="G175" s="7">
        <v>9.89197622E8</v>
      </c>
      <c r="H175" s="2" t="s">
        <v>44</v>
      </c>
      <c r="I175" s="2">
        <f t="shared" ref="I175:P175" si="178">IF(ISBLANK(A175)=TRUE,0,1)</f>
        <v>1</v>
      </c>
      <c r="J175" s="2">
        <f t="shared" si="178"/>
        <v>1</v>
      </c>
      <c r="K175" s="2">
        <f t="shared" si="178"/>
        <v>1</v>
      </c>
      <c r="L175" s="2">
        <f t="shared" si="178"/>
        <v>1</v>
      </c>
      <c r="M175" s="2">
        <f t="shared" si="178"/>
        <v>1</v>
      </c>
      <c r="N175" s="2">
        <f t="shared" si="178"/>
        <v>1</v>
      </c>
      <c r="O175" s="2">
        <f t="shared" si="178"/>
        <v>1</v>
      </c>
      <c r="P175" s="2">
        <f t="shared" si="178"/>
        <v>1</v>
      </c>
      <c r="Q175" s="2">
        <f t="shared" si="3"/>
        <v>1</v>
      </c>
      <c r="R175" s="2">
        <f>IF(ISERROR(VLOOKUP(A175, 'Project Reference'!A:A, 1, FALSE)), 0, 1)</f>
        <v>1</v>
      </c>
      <c r="S175" s="2">
        <f>IFERROR(__xludf.DUMMYFUNCTION("IF(AND(REGEXMATCH(D175, B175), REGEXMATCH(D175, C175)), 1, 0)"),1.0)</f>
        <v>1</v>
      </c>
      <c r="T175" s="2">
        <f t="shared" si="4"/>
        <v>1</v>
      </c>
      <c r="U175" s="2">
        <f t="shared" si="5"/>
        <v>1</v>
      </c>
      <c r="V175" s="2">
        <f t="shared" si="6"/>
        <v>1</v>
      </c>
    </row>
    <row r="176" ht="14.25" customHeight="1">
      <c r="A176" s="2" t="s">
        <v>167</v>
      </c>
      <c r="B176" s="2" t="s">
        <v>12</v>
      </c>
      <c r="C176" s="2" t="s">
        <v>36</v>
      </c>
      <c r="D176" s="8" t="s">
        <v>578</v>
      </c>
      <c r="E176" s="6">
        <v>45001.0</v>
      </c>
      <c r="F176" s="6">
        <v>45268.0</v>
      </c>
      <c r="G176" s="7">
        <v>9.23609376E8</v>
      </c>
      <c r="H176" s="2" t="s">
        <v>33</v>
      </c>
      <c r="I176" s="2">
        <f t="shared" ref="I176:P176" si="179">IF(ISBLANK(A176)=TRUE,0,1)</f>
        <v>1</v>
      </c>
      <c r="J176" s="2">
        <f t="shared" si="179"/>
        <v>1</v>
      </c>
      <c r="K176" s="2">
        <f t="shared" si="179"/>
        <v>1</v>
      </c>
      <c r="L176" s="2">
        <f t="shared" si="179"/>
        <v>1</v>
      </c>
      <c r="M176" s="2">
        <f t="shared" si="179"/>
        <v>1</v>
      </c>
      <c r="N176" s="2">
        <f t="shared" si="179"/>
        <v>1</v>
      </c>
      <c r="O176" s="2">
        <f t="shared" si="179"/>
        <v>1</v>
      </c>
      <c r="P176" s="2">
        <f t="shared" si="179"/>
        <v>1</v>
      </c>
      <c r="Q176" s="2">
        <f t="shared" si="3"/>
        <v>1</v>
      </c>
      <c r="R176" s="2">
        <f>IF(ISERROR(VLOOKUP(A176, 'Project Reference'!A:A, 1, FALSE)), 0, 1)</f>
        <v>1</v>
      </c>
      <c r="S176" s="2">
        <f>IFERROR(__xludf.DUMMYFUNCTION("IF(AND(REGEXMATCH(D176, B176), REGEXMATCH(D176, C176)), 1, 0)"),1.0)</f>
        <v>1</v>
      </c>
      <c r="T176" s="2">
        <f t="shared" si="4"/>
        <v>1</v>
      </c>
      <c r="U176" s="2">
        <f t="shared" si="5"/>
        <v>1</v>
      </c>
      <c r="V176" s="2">
        <f t="shared" si="6"/>
        <v>1</v>
      </c>
    </row>
    <row r="177" ht="14.25" customHeight="1">
      <c r="A177" s="2" t="s">
        <v>168</v>
      </c>
      <c r="B177" s="2" t="s">
        <v>18</v>
      </c>
      <c r="C177" s="2" t="s">
        <v>36</v>
      </c>
      <c r="D177" s="8" t="s">
        <v>634</v>
      </c>
      <c r="E177" s="6">
        <v>45001.0</v>
      </c>
      <c r="F177" s="6">
        <v>45173.0</v>
      </c>
      <c r="G177" s="7">
        <v>7.00082207E9</v>
      </c>
      <c r="H177" s="2" t="s">
        <v>50</v>
      </c>
      <c r="I177" s="2">
        <f t="shared" ref="I177:P177" si="180">IF(ISBLANK(A177)=TRUE,0,1)</f>
        <v>1</v>
      </c>
      <c r="J177" s="2">
        <f t="shared" si="180"/>
        <v>1</v>
      </c>
      <c r="K177" s="2">
        <f t="shared" si="180"/>
        <v>1</v>
      </c>
      <c r="L177" s="2">
        <f t="shared" si="180"/>
        <v>1</v>
      </c>
      <c r="M177" s="2">
        <f t="shared" si="180"/>
        <v>1</v>
      </c>
      <c r="N177" s="2">
        <f t="shared" si="180"/>
        <v>1</v>
      </c>
      <c r="O177" s="2">
        <f t="shared" si="180"/>
        <v>1</v>
      </c>
      <c r="P177" s="2">
        <f t="shared" si="180"/>
        <v>1</v>
      </c>
      <c r="Q177" s="2">
        <f t="shared" si="3"/>
        <v>1</v>
      </c>
      <c r="R177" s="2">
        <f>IF(ISERROR(VLOOKUP(A177, 'Project Reference'!A:A, 1, FALSE)), 0, 1)</f>
        <v>1</v>
      </c>
      <c r="S177" s="2">
        <f>IFERROR(__xludf.DUMMYFUNCTION("IF(AND(REGEXMATCH(D177, B177), REGEXMATCH(D177, C177)), 1, 0)"),1.0)</f>
        <v>1</v>
      </c>
      <c r="T177" s="2">
        <f t="shared" si="4"/>
        <v>1</v>
      </c>
      <c r="U177" s="2">
        <f t="shared" si="5"/>
        <v>1</v>
      </c>
      <c r="V177" s="2">
        <f t="shared" si="6"/>
        <v>1</v>
      </c>
    </row>
    <row r="178" ht="14.25" customHeight="1">
      <c r="A178" s="2" t="s">
        <v>169</v>
      </c>
      <c r="B178" s="2" t="s">
        <v>18</v>
      </c>
      <c r="C178" s="2" t="s">
        <v>39</v>
      </c>
      <c r="D178" s="8" t="s">
        <v>577</v>
      </c>
      <c r="E178" s="6">
        <v>45003.0</v>
      </c>
      <c r="F178" s="6">
        <v>45165.0</v>
      </c>
      <c r="G178" s="7">
        <v>4.006400142E9</v>
      </c>
      <c r="H178" s="8" t="s">
        <v>573</v>
      </c>
      <c r="I178" s="2">
        <f t="shared" ref="I178:P178" si="181">IF(ISBLANK(A178)=TRUE,0,1)</f>
        <v>1</v>
      </c>
      <c r="J178" s="2">
        <f t="shared" si="181"/>
        <v>1</v>
      </c>
      <c r="K178" s="2">
        <f t="shared" si="181"/>
        <v>1</v>
      </c>
      <c r="L178" s="2">
        <f t="shared" si="181"/>
        <v>1</v>
      </c>
      <c r="M178" s="2">
        <f t="shared" si="181"/>
        <v>1</v>
      </c>
      <c r="N178" s="2">
        <f t="shared" si="181"/>
        <v>1</v>
      </c>
      <c r="O178" s="2">
        <f t="shared" si="181"/>
        <v>1</v>
      </c>
      <c r="P178" s="2">
        <f t="shared" si="181"/>
        <v>1</v>
      </c>
      <c r="Q178" s="2">
        <f t="shared" si="3"/>
        <v>1</v>
      </c>
      <c r="R178" s="2">
        <f>IF(ISERROR(VLOOKUP(A178, 'Project Reference'!A:A, 1, FALSE)), 0, 1)</f>
        <v>1</v>
      </c>
      <c r="S178" s="2">
        <f>IFERROR(__xludf.DUMMYFUNCTION("IF(AND(REGEXMATCH(D178, B178), REGEXMATCH(D178, C178)), 1, 0)"),1.0)</f>
        <v>1</v>
      </c>
      <c r="T178" s="2">
        <f t="shared" si="4"/>
        <v>1</v>
      </c>
      <c r="U178" s="2">
        <f t="shared" si="5"/>
        <v>1</v>
      </c>
      <c r="V178" s="2">
        <f t="shared" si="6"/>
        <v>1</v>
      </c>
    </row>
    <row r="179" ht="14.25" customHeight="1">
      <c r="A179" s="2" t="s">
        <v>170</v>
      </c>
      <c r="B179" s="2" t="s">
        <v>18</v>
      </c>
      <c r="C179" s="2" t="s">
        <v>24</v>
      </c>
      <c r="D179" s="8" t="s">
        <v>618</v>
      </c>
      <c r="E179" s="6">
        <v>45004.0</v>
      </c>
      <c r="F179" s="6">
        <v>45314.0</v>
      </c>
      <c r="G179" s="7">
        <v>7.054924571E9</v>
      </c>
      <c r="H179" s="8" t="s">
        <v>581</v>
      </c>
      <c r="I179" s="2">
        <f t="shared" ref="I179:P179" si="182">IF(ISBLANK(A179)=TRUE,0,1)</f>
        <v>1</v>
      </c>
      <c r="J179" s="2">
        <f t="shared" si="182"/>
        <v>1</v>
      </c>
      <c r="K179" s="2">
        <f t="shared" si="182"/>
        <v>1</v>
      </c>
      <c r="L179" s="2">
        <f t="shared" si="182"/>
        <v>1</v>
      </c>
      <c r="M179" s="2">
        <f t="shared" si="182"/>
        <v>1</v>
      </c>
      <c r="N179" s="2">
        <f t="shared" si="182"/>
        <v>1</v>
      </c>
      <c r="O179" s="2">
        <f t="shared" si="182"/>
        <v>1</v>
      </c>
      <c r="P179" s="2">
        <f t="shared" si="182"/>
        <v>1</v>
      </c>
      <c r="Q179" s="2">
        <f t="shared" si="3"/>
        <v>1</v>
      </c>
      <c r="R179" s="2">
        <f>IF(ISERROR(VLOOKUP(A179, 'Project Reference'!A:A, 1, FALSE)), 0, 1)</f>
        <v>1</v>
      </c>
      <c r="S179" s="2">
        <f>IFERROR(__xludf.DUMMYFUNCTION("IF(AND(REGEXMATCH(D179, B179), REGEXMATCH(D179, C179)), 1, 0)"),1.0)</f>
        <v>1</v>
      </c>
      <c r="T179" s="2">
        <f t="shared" si="4"/>
        <v>1</v>
      </c>
      <c r="U179" s="2">
        <f t="shared" si="5"/>
        <v>1</v>
      </c>
      <c r="V179" s="2">
        <f t="shared" si="6"/>
        <v>1</v>
      </c>
    </row>
    <row r="180" ht="14.25" customHeight="1">
      <c r="A180" s="2" t="s">
        <v>173</v>
      </c>
      <c r="B180" s="2" t="s">
        <v>18</v>
      </c>
      <c r="C180" s="2" t="s">
        <v>42</v>
      </c>
      <c r="D180" s="8" t="s">
        <v>621</v>
      </c>
      <c r="E180" s="6">
        <v>45008.0</v>
      </c>
      <c r="F180" s="6">
        <v>45268.0</v>
      </c>
      <c r="G180" s="7">
        <v>7.221183664E9</v>
      </c>
      <c r="H180" s="2" t="s">
        <v>33</v>
      </c>
      <c r="I180" s="2">
        <f t="shared" ref="I180:P180" si="183">IF(ISBLANK(A180)=TRUE,0,1)</f>
        <v>1</v>
      </c>
      <c r="J180" s="2">
        <f t="shared" si="183"/>
        <v>1</v>
      </c>
      <c r="K180" s="2">
        <f t="shared" si="183"/>
        <v>1</v>
      </c>
      <c r="L180" s="2">
        <f t="shared" si="183"/>
        <v>1</v>
      </c>
      <c r="M180" s="2">
        <f t="shared" si="183"/>
        <v>1</v>
      </c>
      <c r="N180" s="2">
        <f t="shared" si="183"/>
        <v>1</v>
      </c>
      <c r="O180" s="2">
        <f t="shared" si="183"/>
        <v>1</v>
      </c>
      <c r="P180" s="2">
        <f t="shared" si="183"/>
        <v>1</v>
      </c>
      <c r="Q180" s="2">
        <f t="shared" si="3"/>
        <v>1</v>
      </c>
      <c r="R180" s="2">
        <f>IF(ISERROR(VLOOKUP(A180, 'Project Reference'!A:A, 1, FALSE)), 0, 1)</f>
        <v>1</v>
      </c>
      <c r="S180" s="2">
        <f>IFERROR(__xludf.DUMMYFUNCTION("IF(AND(REGEXMATCH(D180, B180), REGEXMATCH(D180, C180)), 1, 0)"),1.0)</f>
        <v>1</v>
      </c>
      <c r="T180" s="2">
        <f t="shared" si="4"/>
        <v>1</v>
      </c>
      <c r="U180" s="2">
        <f t="shared" si="5"/>
        <v>1</v>
      </c>
      <c r="V180" s="2">
        <f t="shared" si="6"/>
        <v>1</v>
      </c>
    </row>
    <row r="181" ht="14.25" customHeight="1">
      <c r="A181" s="2" t="s">
        <v>174</v>
      </c>
      <c r="B181" s="2" t="s">
        <v>12</v>
      </c>
      <c r="C181" s="2" t="s">
        <v>36</v>
      </c>
      <c r="D181" s="8" t="s">
        <v>578</v>
      </c>
      <c r="E181" s="6">
        <v>45008.0</v>
      </c>
      <c r="F181" s="6">
        <v>45121.0</v>
      </c>
      <c r="G181" s="7">
        <v>8.7087675E8</v>
      </c>
      <c r="H181" s="8" t="s">
        <v>573</v>
      </c>
      <c r="I181" s="2">
        <f t="shared" ref="I181:P181" si="184">IF(ISBLANK(A181)=TRUE,0,1)</f>
        <v>1</v>
      </c>
      <c r="J181" s="2">
        <f t="shared" si="184"/>
        <v>1</v>
      </c>
      <c r="K181" s="2">
        <f t="shared" si="184"/>
        <v>1</v>
      </c>
      <c r="L181" s="2">
        <f t="shared" si="184"/>
        <v>1</v>
      </c>
      <c r="M181" s="2">
        <f t="shared" si="184"/>
        <v>1</v>
      </c>
      <c r="N181" s="2">
        <f t="shared" si="184"/>
        <v>1</v>
      </c>
      <c r="O181" s="2">
        <f t="shared" si="184"/>
        <v>1</v>
      </c>
      <c r="P181" s="2">
        <f t="shared" si="184"/>
        <v>1</v>
      </c>
      <c r="Q181" s="2">
        <f t="shared" si="3"/>
        <v>1</v>
      </c>
      <c r="R181" s="2">
        <f>IF(ISERROR(VLOOKUP(A181, 'Project Reference'!A:A, 1, FALSE)), 0, 1)</f>
        <v>1</v>
      </c>
      <c r="S181" s="2">
        <f>IFERROR(__xludf.DUMMYFUNCTION("IF(AND(REGEXMATCH(D181, B181), REGEXMATCH(D181, C181)), 1, 0)"),1.0)</f>
        <v>1</v>
      </c>
      <c r="T181" s="2">
        <f t="shared" si="4"/>
        <v>1</v>
      </c>
      <c r="U181" s="2">
        <f t="shared" si="5"/>
        <v>1</v>
      </c>
      <c r="V181" s="2">
        <f t="shared" si="6"/>
        <v>1</v>
      </c>
    </row>
    <row r="182" ht="14.25" customHeight="1">
      <c r="A182" s="2" t="s">
        <v>175</v>
      </c>
      <c r="B182" s="2" t="s">
        <v>60</v>
      </c>
      <c r="C182" s="2" t="s">
        <v>19</v>
      </c>
      <c r="D182" s="8" t="s">
        <v>635</v>
      </c>
      <c r="E182" s="6">
        <v>45009.0</v>
      </c>
      <c r="F182" s="6">
        <v>45316.0</v>
      </c>
      <c r="G182" s="7">
        <v>2.164051592E9</v>
      </c>
      <c r="H182" s="2" t="s">
        <v>33</v>
      </c>
      <c r="I182" s="2">
        <f t="shared" ref="I182:P182" si="185">IF(ISBLANK(A182)=TRUE,0,1)</f>
        <v>1</v>
      </c>
      <c r="J182" s="2">
        <f t="shared" si="185"/>
        <v>1</v>
      </c>
      <c r="K182" s="2">
        <f t="shared" si="185"/>
        <v>1</v>
      </c>
      <c r="L182" s="2">
        <f t="shared" si="185"/>
        <v>1</v>
      </c>
      <c r="M182" s="2">
        <f t="shared" si="185"/>
        <v>1</v>
      </c>
      <c r="N182" s="2">
        <f t="shared" si="185"/>
        <v>1</v>
      </c>
      <c r="O182" s="2">
        <f t="shared" si="185"/>
        <v>1</v>
      </c>
      <c r="P182" s="2">
        <f t="shared" si="185"/>
        <v>1</v>
      </c>
      <c r="Q182" s="2">
        <f t="shared" si="3"/>
        <v>1</v>
      </c>
      <c r="R182" s="2">
        <f>IF(ISERROR(VLOOKUP(A182, 'Project Reference'!A:A, 1, FALSE)), 0, 1)</f>
        <v>1</v>
      </c>
      <c r="S182" s="2">
        <f>IFERROR(__xludf.DUMMYFUNCTION("IF(AND(REGEXMATCH(D182, B182), REGEXMATCH(D182, C182)), 1, 0)"),1.0)</f>
        <v>1</v>
      </c>
      <c r="T182" s="2">
        <f t="shared" si="4"/>
        <v>1</v>
      </c>
      <c r="U182" s="2">
        <f t="shared" si="5"/>
        <v>1</v>
      </c>
      <c r="V182" s="2">
        <f t="shared" si="6"/>
        <v>1</v>
      </c>
    </row>
    <row r="183" ht="14.25" customHeight="1">
      <c r="A183" s="2" t="s">
        <v>176</v>
      </c>
      <c r="B183" s="2" t="s">
        <v>60</v>
      </c>
      <c r="C183" s="2" t="s">
        <v>36</v>
      </c>
      <c r="D183" s="8" t="s">
        <v>597</v>
      </c>
      <c r="E183" s="6">
        <v>45009.0</v>
      </c>
      <c r="F183" s="6">
        <v>45280.0</v>
      </c>
      <c r="G183" s="7">
        <v>3.746270294E9</v>
      </c>
      <c r="H183" s="2" t="s">
        <v>33</v>
      </c>
      <c r="I183" s="2">
        <f t="shared" ref="I183:P183" si="186">IF(ISBLANK(A183)=TRUE,0,1)</f>
        <v>1</v>
      </c>
      <c r="J183" s="2">
        <f t="shared" si="186"/>
        <v>1</v>
      </c>
      <c r="K183" s="2">
        <f t="shared" si="186"/>
        <v>1</v>
      </c>
      <c r="L183" s="2">
        <f t="shared" si="186"/>
        <v>1</v>
      </c>
      <c r="M183" s="2">
        <f t="shared" si="186"/>
        <v>1</v>
      </c>
      <c r="N183" s="2">
        <f t="shared" si="186"/>
        <v>1</v>
      </c>
      <c r="O183" s="2">
        <f t="shared" si="186"/>
        <v>1</v>
      </c>
      <c r="P183" s="2">
        <f t="shared" si="186"/>
        <v>1</v>
      </c>
      <c r="Q183" s="2">
        <f t="shared" si="3"/>
        <v>1</v>
      </c>
      <c r="R183" s="2">
        <f>IF(ISERROR(VLOOKUP(A183, 'Project Reference'!A:A, 1, FALSE)), 0, 1)</f>
        <v>1</v>
      </c>
      <c r="S183" s="2">
        <f>IFERROR(__xludf.DUMMYFUNCTION("IF(AND(REGEXMATCH(D183, B183), REGEXMATCH(D183, C183)), 1, 0)"),1.0)</f>
        <v>1</v>
      </c>
      <c r="T183" s="2">
        <f t="shared" si="4"/>
        <v>1</v>
      </c>
      <c r="U183" s="2">
        <f t="shared" si="5"/>
        <v>1</v>
      </c>
      <c r="V183" s="2">
        <f t="shared" si="6"/>
        <v>1</v>
      </c>
    </row>
    <row r="184" ht="14.25" customHeight="1">
      <c r="A184" s="2" t="s">
        <v>177</v>
      </c>
      <c r="B184" s="2" t="s">
        <v>18</v>
      </c>
      <c r="C184" s="2" t="s">
        <v>31</v>
      </c>
      <c r="D184" s="8" t="s">
        <v>636</v>
      </c>
      <c r="E184" s="6">
        <v>45010.0</v>
      </c>
      <c r="F184" s="6">
        <v>45049.0</v>
      </c>
      <c r="G184" s="7">
        <v>3.094147448E9</v>
      </c>
      <c r="H184" s="8" t="s">
        <v>581</v>
      </c>
      <c r="I184" s="2">
        <f t="shared" ref="I184:P184" si="187">IF(ISBLANK(A184)=TRUE,0,1)</f>
        <v>1</v>
      </c>
      <c r="J184" s="2">
        <f t="shared" si="187"/>
        <v>1</v>
      </c>
      <c r="K184" s="2">
        <f t="shared" si="187"/>
        <v>1</v>
      </c>
      <c r="L184" s="2">
        <f t="shared" si="187"/>
        <v>1</v>
      </c>
      <c r="M184" s="2">
        <f t="shared" si="187"/>
        <v>1</v>
      </c>
      <c r="N184" s="2">
        <f t="shared" si="187"/>
        <v>1</v>
      </c>
      <c r="O184" s="2">
        <f t="shared" si="187"/>
        <v>1</v>
      </c>
      <c r="P184" s="2">
        <f t="shared" si="187"/>
        <v>1</v>
      </c>
      <c r="Q184" s="2">
        <f t="shared" si="3"/>
        <v>1</v>
      </c>
      <c r="R184" s="2">
        <f>IF(ISERROR(VLOOKUP(A184, 'Project Reference'!A:A, 1, FALSE)), 0, 1)</f>
        <v>1</v>
      </c>
      <c r="S184" s="2">
        <f>IFERROR(__xludf.DUMMYFUNCTION("IF(AND(REGEXMATCH(D184, B184), REGEXMATCH(D184, C184)), 1, 0)"),1.0)</f>
        <v>1</v>
      </c>
      <c r="T184" s="2">
        <f t="shared" si="4"/>
        <v>1</v>
      </c>
      <c r="U184" s="2">
        <f t="shared" si="5"/>
        <v>1</v>
      </c>
      <c r="V184" s="2">
        <f t="shared" si="6"/>
        <v>1</v>
      </c>
    </row>
    <row r="185" ht="14.25" customHeight="1">
      <c r="A185" s="2" t="s">
        <v>180</v>
      </c>
      <c r="B185" s="2" t="s">
        <v>12</v>
      </c>
      <c r="C185" s="2" t="s">
        <v>42</v>
      </c>
      <c r="D185" s="8" t="s">
        <v>603</v>
      </c>
      <c r="E185" s="6">
        <v>45013.0</v>
      </c>
      <c r="F185" s="6">
        <v>45161.0</v>
      </c>
      <c r="G185" s="7">
        <v>7.76411814E8</v>
      </c>
      <c r="H185" s="2" t="s">
        <v>44</v>
      </c>
      <c r="I185" s="2">
        <f t="shared" ref="I185:P185" si="188">IF(ISBLANK(A185)=TRUE,0,1)</f>
        <v>1</v>
      </c>
      <c r="J185" s="2">
        <f t="shared" si="188"/>
        <v>1</v>
      </c>
      <c r="K185" s="2">
        <f t="shared" si="188"/>
        <v>1</v>
      </c>
      <c r="L185" s="2">
        <f t="shared" si="188"/>
        <v>1</v>
      </c>
      <c r="M185" s="2">
        <f t="shared" si="188"/>
        <v>1</v>
      </c>
      <c r="N185" s="2">
        <f t="shared" si="188"/>
        <v>1</v>
      </c>
      <c r="O185" s="2">
        <f t="shared" si="188"/>
        <v>1</v>
      </c>
      <c r="P185" s="2">
        <f t="shared" si="188"/>
        <v>1</v>
      </c>
      <c r="Q185" s="2">
        <f t="shared" si="3"/>
        <v>1</v>
      </c>
      <c r="R185" s="2">
        <f>IF(ISERROR(VLOOKUP(A185, 'Project Reference'!A:A, 1, FALSE)), 0, 1)</f>
        <v>1</v>
      </c>
      <c r="S185" s="2">
        <f>IFERROR(__xludf.DUMMYFUNCTION("IF(AND(REGEXMATCH(D185, B185), REGEXMATCH(D185, C185)), 1, 0)"),1.0)</f>
        <v>1</v>
      </c>
      <c r="T185" s="2">
        <f t="shared" si="4"/>
        <v>1</v>
      </c>
      <c r="U185" s="2">
        <f t="shared" si="5"/>
        <v>1</v>
      </c>
      <c r="V185" s="2">
        <f t="shared" si="6"/>
        <v>1</v>
      </c>
    </row>
    <row r="186" ht="14.25" customHeight="1">
      <c r="A186" s="2" t="s">
        <v>181</v>
      </c>
      <c r="B186" s="2" t="s">
        <v>18</v>
      </c>
      <c r="C186" s="2" t="s">
        <v>36</v>
      </c>
      <c r="D186" s="8" t="s">
        <v>634</v>
      </c>
      <c r="E186" s="6">
        <v>45013.0</v>
      </c>
      <c r="F186" s="6">
        <v>45095.0</v>
      </c>
      <c r="G186" s="7">
        <v>5.326254824E9</v>
      </c>
      <c r="H186" s="8" t="s">
        <v>581</v>
      </c>
      <c r="I186" s="2">
        <f t="shared" ref="I186:P186" si="189">IF(ISBLANK(A186)=TRUE,0,1)</f>
        <v>1</v>
      </c>
      <c r="J186" s="2">
        <f t="shared" si="189"/>
        <v>1</v>
      </c>
      <c r="K186" s="2">
        <f t="shared" si="189"/>
        <v>1</v>
      </c>
      <c r="L186" s="2">
        <f t="shared" si="189"/>
        <v>1</v>
      </c>
      <c r="M186" s="2">
        <f t="shared" si="189"/>
        <v>1</v>
      </c>
      <c r="N186" s="2">
        <f t="shared" si="189"/>
        <v>1</v>
      </c>
      <c r="O186" s="2">
        <f t="shared" si="189"/>
        <v>1</v>
      </c>
      <c r="P186" s="2">
        <f t="shared" si="189"/>
        <v>1</v>
      </c>
      <c r="Q186" s="2">
        <f t="shared" si="3"/>
        <v>1</v>
      </c>
      <c r="R186" s="2">
        <f>IF(ISERROR(VLOOKUP(A186, 'Project Reference'!A:A, 1, FALSE)), 0, 1)</f>
        <v>1</v>
      </c>
      <c r="S186" s="2">
        <f>IFERROR(__xludf.DUMMYFUNCTION("IF(AND(REGEXMATCH(D186, B186), REGEXMATCH(D186, C186)), 1, 0)"),1.0)</f>
        <v>1</v>
      </c>
      <c r="T186" s="2">
        <f t="shared" si="4"/>
        <v>1</v>
      </c>
      <c r="U186" s="2">
        <f t="shared" si="5"/>
        <v>1</v>
      </c>
      <c r="V186" s="2">
        <f t="shared" si="6"/>
        <v>1</v>
      </c>
    </row>
    <row r="187" ht="14.25" customHeight="1">
      <c r="A187" s="2" t="s">
        <v>183</v>
      </c>
      <c r="B187" s="2" t="s">
        <v>35</v>
      </c>
      <c r="C187" s="2" t="s">
        <v>36</v>
      </c>
      <c r="D187" s="2" t="s">
        <v>37</v>
      </c>
      <c r="E187" s="6">
        <v>45015.0</v>
      </c>
      <c r="F187" s="6">
        <v>45074.0</v>
      </c>
      <c r="G187" s="7">
        <v>7.37874671E8</v>
      </c>
      <c r="H187" s="2" t="s">
        <v>21</v>
      </c>
      <c r="I187" s="2">
        <f t="shared" ref="I187:P187" si="190">IF(ISBLANK(A187)=TRUE,0,1)</f>
        <v>1</v>
      </c>
      <c r="J187" s="2">
        <f t="shared" si="190"/>
        <v>1</v>
      </c>
      <c r="K187" s="2">
        <f t="shared" si="190"/>
        <v>1</v>
      </c>
      <c r="L187" s="2">
        <f t="shared" si="190"/>
        <v>1</v>
      </c>
      <c r="M187" s="2">
        <f t="shared" si="190"/>
        <v>1</v>
      </c>
      <c r="N187" s="2">
        <f t="shared" si="190"/>
        <v>1</v>
      </c>
      <c r="O187" s="2">
        <f t="shared" si="190"/>
        <v>1</v>
      </c>
      <c r="P187" s="2">
        <f t="shared" si="190"/>
        <v>1</v>
      </c>
      <c r="Q187" s="2">
        <f t="shared" si="3"/>
        <v>1</v>
      </c>
      <c r="R187" s="2">
        <f>IF(ISERROR(VLOOKUP(A187, 'Project Reference'!A:A, 1, FALSE)), 0, 1)</f>
        <v>1</v>
      </c>
      <c r="S187" s="2">
        <f>IFERROR(__xludf.DUMMYFUNCTION("IF(AND(REGEXMATCH(D187, B187), REGEXMATCH(D187, C187)), 1, 0)"),1.0)</f>
        <v>1</v>
      </c>
      <c r="T187" s="2">
        <f t="shared" si="4"/>
        <v>1</v>
      </c>
      <c r="U187" s="2">
        <f t="shared" si="5"/>
        <v>1</v>
      </c>
      <c r="V187" s="2">
        <f t="shared" si="6"/>
        <v>1</v>
      </c>
    </row>
    <row r="188" ht="14.25" customHeight="1">
      <c r="A188" s="2" t="s">
        <v>184</v>
      </c>
      <c r="B188" s="2" t="s">
        <v>18</v>
      </c>
      <c r="C188" s="2" t="s">
        <v>42</v>
      </c>
      <c r="D188" s="8" t="s">
        <v>621</v>
      </c>
      <c r="E188" s="6">
        <v>45016.0</v>
      </c>
      <c r="F188" s="6">
        <v>45248.0</v>
      </c>
      <c r="G188" s="7">
        <v>6.410731228E9</v>
      </c>
      <c r="H188" s="2" t="s">
        <v>67</v>
      </c>
      <c r="I188" s="2">
        <f t="shared" ref="I188:P188" si="191">IF(ISBLANK(A188)=TRUE,0,1)</f>
        <v>1</v>
      </c>
      <c r="J188" s="2">
        <f t="shared" si="191"/>
        <v>1</v>
      </c>
      <c r="K188" s="2">
        <f t="shared" si="191"/>
        <v>1</v>
      </c>
      <c r="L188" s="2">
        <f t="shared" si="191"/>
        <v>1</v>
      </c>
      <c r="M188" s="2">
        <f t="shared" si="191"/>
        <v>1</v>
      </c>
      <c r="N188" s="2">
        <f t="shared" si="191"/>
        <v>1</v>
      </c>
      <c r="O188" s="2">
        <f t="shared" si="191"/>
        <v>1</v>
      </c>
      <c r="P188" s="2">
        <f t="shared" si="191"/>
        <v>1</v>
      </c>
      <c r="Q188" s="2">
        <f t="shared" si="3"/>
        <v>1</v>
      </c>
      <c r="R188" s="2">
        <f>IF(ISERROR(VLOOKUP(A188, 'Project Reference'!A:A, 1, FALSE)), 0, 1)</f>
        <v>1</v>
      </c>
      <c r="S188" s="2">
        <f>IFERROR(__xludf.DUMMYFUNCTION("IF(AND(REGEXMATCH(D188, B188), REGEXMATCH(D188, C188)), 1, 0)"),1.0)</f>
        <v>1</v>
      </c>
      <c r="T188" s="2">
        <f t="shared" si="4"/>
        <v>1</v>
      </c>
      <c r="U188" s="2">
        <f t="shared" si="5"/>
        <v>1</v>
      </c>
      <c r="V188" s="2">
        <f t="shared" si="6"/>
        <v>1</v>
      </c>
    </row>
    <row r="189" ht="14.25" customHeight="1">
      <c r="A189" s="2" t="s">
        <v>186</v>
      </c>
      <c r="B189" s="2" t="s">
        <v>12</v>
      </c>
      <c r="C189" s="2" t="s">
        <v>24</v>
      </c>
      <c r="D189" s="8" t="s">
        <v>610</v>
      </c>
      <c r="E189" s="6">
        <v>45017.0</v>
      </c>
      <c r="F189" s="6">
        <v>45162.0</v>
      </c>
      <c r="G189" s="7">
        <v>5.84530717E8</v>
      </c>
      <c r="H189" s="8" t="s">
        <v>581</v>
      </c>
      <c r="I189" s="2">
        <f t="shared" ref="I189:P189" si="192">IF(ISBLANK(A189)=TRUE,0,1)</f>
        <v>1</v>
      </c>
      <c r="J189" s="2">
        <f t="shared" si="192"/>
        <v>1</v>
      </c>
      <c r="K189" s="2">
        <f t="shared" si="192"/>
        <v>1</v>
      </c>
      <c r="L189" s="2">
        <f t="shared" si="192"/>
        <v>1</v>
      </c>
      <c r="M189" s="2">
        <f t="shared" si="192"/>
        <v>1</v>
      </c>
      <c r="N189" s="2">
        <f t="shared" si="192"/>
        <v>1</v>
      </c>
      <c r="O189" s="2">
        <f t="shared" si="192"/>
        <v>1</v>
      </c>
      <c r="P189" s="2">
        <f t="shared" si="192"/>
        <v>1</v>
      </c>
      <c r="Q189" s="2">
        <f t="shared" si="3"/>
        <v>1</v>
      </c>
      <c r="R189" s="2">
        <f>IF(ISERROR(VLOOKUP(A189, 'Project Reference'!A:A, 1, FALSE)), 0, 1)</f>
        <v>1</v>
      </c>
      <c r="S189" s="2">
        <f>IFERROR(__xludf.DUMMYFUNCTION("IF(AND(REGEXMATCH(D189, B189), REGEXMATCH(D189, C189)), 1, 0)"),1.0)</f>
        <v>1</v>
      </c>
      <c r="T189" s="2">
        <f t="shared" si="4"/>
        <v>1</v>
      </c>
      <c r="U189" s="2">
        <f t="shared" si="5"/>
        <v>1</v>
      </c>
      <c r="V189" s="2">
        <f t="shared" si="6"/>
        <v>1</v>
      </c>
    </row>
    <row r="190" ht="14.25" customHeight="1">
      <c r="A190" s="2" t="s">
        <v>187</v>
      </c>
      <c r="B190" s="2" t="s">
        <v>18</v>
      </c>
      <c r="C190" s="2" t="s">
        <v>48</v>
      </c>
      <c r="D190" s="8" t="s">
        <v>629</v>
      </c>
      <c r="E190" s="6">
        <v>45017.0</v>
      </c>
      <c r="F190" s="6">
        <v>45209.0</v>
      </c>
      <c r="G190" s="7">
        <v>5.399904068E9</v>
      </c>
      <c r="H190" s="2" t="s">
        <v>33</v>
      </c>
      <c r="I190" s="2">
        <f t="shared" ref="I190:P190" si="193">IF(ISBLANK(A190)=TRUE,0,1)</f>
        <v>1</v>
      </c>
      <c r="J190" s="2">
        <f t="shared" si="193"/>
        <v>1</v>
      </c>
      <c r="K190" s="2">
        <f t="shared" si="193"/>
        <v>1</v>
      </c>
      <c r="L190" s="2">
        <f t="shared" si="193"/>
        <v>1</v>
      </c>
      <c r="M190" s="2">
        <f t="shared" si="193"/>
        <v>1</v>
      </c>
      <c r="N190" s="2">
        <f t="shared" si="193"/>
        <v>1</v>
      </c>
      <c r="O190" s="2">
        <f t="shared" si="193"/>
        <v>1</v>
      </c>
      <c r="P190" s="2">
        <f t="shared" si="193"/>
        <v>1</v>
      </c>
      <c r="Q190" s="2">
        <f t="shared" si="3"/>
        <v>1</v>
      </c>
      <c r="R190" s="2">
        <f>IF(ISERROR(VLOOKUP(A190, 'Project Reference'!A:A, 1, FALSE)), 0, 1)</f>
        <v>1</v>
      </c>
      <c r="S190" s="2">
        <f>IFERROR(__xludf.DUMMYFUNCTION("IF(AND(REGEXMATCH(D190, B190), REGEXMATCH(D190, C190)), 1, 0)"),1.0)</f>
        <v>1</v>
      </c>
      <c r="T190" s="2">
        <f t="shared" si="4"/>
        <v>1</v>
      </c>
      <c r="U190" s="2">
        <f t="shared" si="5"/>
        <v>1</v>
      </c>
      <c r="V190" s="2">
        <f t="shared" si="6"/>
        <v>1</v>
      </c>
    </row>
    <row r="191" ht="14.25" customHeight="1">
      <c r="A191" s="2" t="s">
        <v>188</v>
      </c>
      <c r="B191" s="2" t="s">
        <v>35</v>
      </c>
      <c r="C191" s="2" t="s">
        <v>24</v>
      </c>
      <c r="D191" s="2" t="s">
        <v>133</v>
      </c>
      <c r="E191" s="6">
        <v>45017.0</v>
      </c>
      <c r="F191" s="6">
        <v>45267.0</v>
      </c>
      <c r="G191" s="7">
        <v>6.2052543E8</v>
      </c>
      <c r="H191" s="2" t="s">
        <v>50</v>
      </c>
      <c r="I191" s="2">
        <f t="shared" ref="I191:P191" si="194">IF(ISBLANK(A191)=TRUE,0,1)</f>
        <v>1</v>
      </c>
      <c r="J191" s="2">
        <f t="shared" si="194"/>
        <v>1</v>
      </c>
      <c r="K191" s="2">
        <f t="shared" si="194"/>
        <v>1</v>
      </c>
      <c r="L191" s="2">
        <f t="shared" si="194"/>
        <v>1</v>
      </c>
      <c r="M191" s="2">
        <f t="shared" si="194"/>
        <v>1</v>
      </c>
      <c r="N191" s="2">
        <f t="shared" si="194"/>
        <v>1</v>
      </c>
      <c r="O191" s="2">
        <f t="shared" si="194"/>
        <v>1</v>
      </c>
      <c r="P191" s="2">
        <f t="shared" si="194"/>
        <v>1</v>
      </c>
      <c r="Q191" s="2">
        <f t="shared" si="3"/>
        <v>1</v>
      </c>
      <c r="R191" s="2">
        <f>IF(ISERROR(VLOOKUP(A191, 'Project Reference'!A:A, 1, FALSE)), 0, 1)</f>
        <v>1</v>
      </c>
      <c r="S191" s="2">
        <f>IFERROR(__xludf.DUMMYFUNCTION("IF(AND(REGEXMATCH(D191, B191), REGEXMATCH(D191, C191)), 1, 0)"),1.0)</f>
        <v>1</v>
      </c>
      <c r="T191" s="2">
        <f t="shared" si="4"/>
        <v>1</v>
      </c>
      <c r="U191" s="2">
        <f t="shared" si="5"/>
        <v>1</v>
      </c>
      <c r="V191" s="2">
        <f t="shared" si="6"/>
        <v>1</v>
      </c>
    </row>
    <row r="192" ht="14.25" customHeight="1">
      <c r="A192" s="2" t="s">
        <v>189</v>
      </c>
      <c r="B192" s="2" t="s">
        <v>60</v>
      </c>
      <c r="C192" s="2" t="s">
        <v>39</v>
      </c>
      <c r="D192" s="8" t="s">
        <v>626</v>
      </c>
      <c r="E192" s="6">
        <v>45017.0</v>
      </c>
      <c r="F192" s="6">
        <v>45372.0</v>
      </c>
      <c r="G192" s="7">
        <v>2.278233533E9</v>
      </c>
      <c r="H192" s="8" t="s">
        <v>581</v>
      </c>
      <c r="I192" s="2">
        <f t="shared" ref="I192:P192" si="195">IF(ISBLANK(A192)=TRUE,0,1)</f>
        <v>1</v>
      </c>
      <c r="J192" s="2">
        <f t="shared" si="195"/>
        <v>1</v>
      </c>
      <c r="K192" s="2">
        <f t="shared" si="195"/>
        <v>1</v>
      </c>
      <c r="L192" s="2">
        <f t="shared" si="195"/>
        <v>1</v>
      </c>
      <c r="M192" s="2">
        <f t="shared" si="195"/>
        <v>1</v>
      </c>
      <c r="N192" s="2">
        <f t="shared" si="195"/>
        <v>1</v>
      </c>
      <c r="O192" s="2">
        <f t="shared" si="195"/>
        <v>1</v>
      </c>
      <c r="P192" s="2">
        <f t="shared" si="195"/>
        <v>1</v>
      </c>
      <c r="Q192" s="2">
        <f t="shared" si="3"/>
        <v>1</v>
      </c>
      <c r="R192" s="2">
        <f>IF(ISERROR(VLOOKUP(A192, 'Project Reference'!A:A, 1, FALSE)), 0, 1)</f>
        <v>1</v>
      </c>
      <c r="S192" s="2">
        <f>IFERROR(__xludf.DUMMYFUNCTION("IF(AND(REGEXMATCH(D192, B192), REGEXMATCH(D192, C192)), 1, 0)"),1.0)</f>
        <v>1</v>
      </c>
      <c r="T192" s="2">
        <f t="shared" si="4"/>
        <v>1</v>
      </c>
      <c r="U192" s="2">
        <f t="shared" si="5"/>
        <v>1</v>
      </c>
      <c r="V192" s="2">
        <f t="shared" si="6"/>
        <v>1</v>
      </c>
    </row>
    <row r="193" ht="14.25" customHeight="1">
      <c r="A193" s="2" t="s">
        <v>190</v>
      </c>
      <c r="B193" s="2" t="s">
        <v>18</v>
      </c>
      <c r="C193" s="2" t="s">
        <v>39</v>
      </c>
      <c r="D193" s="8" t="s">
        <v>577</v>
      </c>
      <c r="E193" s="6">
        <v>45017.0</v>
      </c>
      <c r="F193" s="6">
        <v>45369.0</v>
      </c>
      <c r="G193" s="7">
        <v>2.425304687E9</v>
      </c>
      <c r="H193" s="2" t="s">
        <v>33</v>
      </c>
      <c r="I193" s="2">
        <f t="shared" ref="I193:P193" si="196">IF(ISBLANK(A193)=TRUE,0,1)</f>
        <v>1</v>
      </c>
      <c r="J193" s="2">
        <f t="shared" si="196"/>
        <v>1</v>
      </c>
      <c r="K193" s="2">
        <f t="shared" si="196"/>
        <v>1</v>
      </c>
      <c r="L193" s="2">
        <f t="shared" si="196"/>
        <v>1</v>
      </c>
      <c r="M193" s="2">
        <f t="shared" si="196"/>
        <v>1</v>
      </c>
      <c r="N193" s="2">
        <f t="shared" si="196"/>
        <v>1</v>
      </c>
      <c r="O193" s="2">
        <f t="shared" si="196"/>
        <v>1</v>
      </c>
      <c r="P193" s="2">
        <f t="shared" si="196"/>
        <v>1</v>
      </c>
      <c r="Q193" s="2">
        <f t="shared" si="3"/>
        <v>1</v>
      </c>
      <c r="R193" s="2">
        <f>IF(ISERROR(VLOOKUP(A193, 'Project Reference'!A:A, 1, FALSE)), 0, 1)</f>
        <v>1</v>
      </c>
      <c r="S193" s="2">
        <f>IFERROR(__xludf.DUMMYFUNCTION("IF(AND(REGEXMATCH(D193, B193), REGEXMATCH(D193, C193)), 1, 0)"),1.0)</f>
        <v>1</v>
      </c>
      <c r="T193" s="2">
        <f t="shared" si="4"/>
        <v>1</v>
      </c>
      <c r="U193" s="2">
        <f t="shared" si="5"/>
        <v>1</v>
      </c>
      <c r="V193" s="2">
        <f t="shared" si="6"/>
        <v>1</v>
      </c>
    </row>
    <row r="194" ht="14.25" customHeight="1">
      <c r="A194" s="2" t="s">
        <v>191</v>
      </c>
      <c r="B194" s="2" t="s">
        <v>18</v>
      </c>
      <c r="C194" s="2" t="s">
        <v>24</v>
      </c>
      <c r="D194" s="8" t="s">
        <v>618</v>
      </c>
      <c r="E194" s="6">
        <v>45017.0</v>
      </c>
      <c r="F194" s="6">
        <v>45053.0</v>
      </c>
      <c r="G194" s="7">
        <v>3.263728734E9</v>
      </c>
      <c r="H194" s="2" t="s">
        <v>44</v>
      </c>
      <c r="I194" s="2">
        <f t="shared" ref="I194:P194" si="197">IF(ISBLANK(A194)=TRUE,0,1)</f>
        <v>1</v>
      </c>
      <c r="J194" s="2">
        <f t="shared" si="197"/>
        <v>1</v>
      </c>
      <c r="K194" s="2">
        <f t="shared" si="197"/>
        <v>1</v>
      </c>
      <c r="L194" s="2">
        <f t="shared" si="197"/>
        <v>1</v>
      </c>
      <c r="M194" s="2">
        <f t="shared" si="197"/>
        <v>1</v>
      </c>
      <c r="N194" s="2">
        <f t="shared" si="197"/>
        <v>1</v>
      </c>
      <c r="O194" s="2">
        <f t="shared" si="197"/>
        <v>1</v>
      </c>
      <c r="P194" s="2">
        <f t="shared" si="197"/>
        <v>1</v>
      </c>
      <c r="Q194" s="2">
        <f t="shared" si="3"/>
        <v>1</v>
      </c>
      <c r="R194" s="2">
        <f>IF(ISERROR(VLOOKUP(A194, 'Project Reference'!A:A, 1, FALSE)), 0, 1)</f>
        <v>1</v>
      </c>
      <c r="S194" s="2">
        <f>IFERROR(__xludf.DUMMYFUNCTION("IF(AND(REGEXMATCH(D194, B194), REGEXMATCH(D194, C194)), 1, 0)"),1.0)</f>
        <v>1</v>
      </c>
      <c r="T194" s="2">
        <f t="shared" si="4"/>
        <v>1</v>
      </c>
      <c r="U194" s="2">
        <f t="shared" si="5"/>
        <v>1</v>
      </c>
      <c r="V194" s="2">
        <f t="shared" si="6"/>
        <v>1</v>
      </c>
    </row>
    <row r="195" ht="14.25" customHeight="1">
      <c r="A195" s="2" t="s">
        <v>192</v>
      </c>
      <c r="B195" s="2" t="s">
        <v>18</v>
      </c>
      <c r="C195" s="2" t="s">
        <v>19</v>
      </c>
      <c r="D195" s="8" t="s">
        <v>633</v>
      </c>
      <c r="E195" s="6">
        <v>45018.0</v>
      </c>
      <c r="F195" s="6">
        <v>45255.0</v>
      </c>
      <c r="G195" s="7">
        <v>7.299558365E9</v>
      </c>
      <c r="H195" s="8" t="s">
        <v>581</v>
      </c>
      <c r="I195" s="2">
        <f t="shared" ref="I195:P195" si="198">IF(ISBLANK(A195)=TRUE,0,1)</f>
        <v>1</v>
      </c>
      <c r="J195" s="2">
        <f t="shared" si="198"/>
        <v>1</v>
      </c>
      <c r="K195" s="2">
        <f t="shared" si="198"/>
        <v>1</v>
      </c>
      <c r="L195" s="2">
        <f t="shared" si="198"/>
        <v>1</v>
      </c>
      <c r="M195" s="2">
        <f t="shared" si="198"/>
        <v>1</v>
      </c>
      <c r="N195" s="2">
        <f t="shared" si="198"/>
        <v>1</v>
      </c>
      <c r="O195" s="2">
        <f t="shared" si="198"/>
        <v>1</v>
      </c>
      <c r="P195" s="2">
        <f t="shared" si="198"/>
        <v>1</v>
      </c>
      <c r="Q195" s="2">
        <f t="shared" si="3"/>
        <v>1</v>
      </c>
      <c r="R195" s="2">
        <f>IF(ISERROR(VLOOKUP(A195, 'Project Reference'!A:A, 1, FALSE)), 0, 1)</f>
        <v>1</v>
      </c>
      <c r="S195" s="2">
        <f>IFERROR(__xludf.DUMMYFUNCTION("IF(AND(REGEXMATCH(D195, B195), REGEXMATCH(D195, C195)), 1, 0)"),1.0)</f>
        <v>1</v>
      </c>
      <c r="T195" s="2">
        <f t="shared" si="4"/>
        <v>1</v>
      </c>
      <c r="U195" s="2">
        <f t="shared" si="5"/>
        <v>1</v>
      </c>
      <c r="V195" s="2">
        <f t="shared" si="6"/>
        <v>1</v>
      </c>
    </row>
    <row r="196" ht="14.25" customHeight="1">
      <c r="A196" s="2" t="s">
        <v>193</v>
      </c>
      <c r="B196" s="2" t="s">
        <v>12</v>
      </c>
      <c r="C196" s="2" t="s">
        <v>42</v>
      </c>
      <c r="D196" s="8" t="s">
        <v>603</v>
      </c>
      <c r="E196" s="6">
        <v>45018.0</v>
      </c>
      <c r="F196" s="6">
        <v>45084.0</v>
      </c>
      <c r="G196" s="7">
        <v>3.04540977E8</v>
      </c>
      <c r="H196" s="2" t="s">
        <v>44</v>
      </c>
      <c r="I196" s="2">
        <f t="shared" ref="I196:P196" si="199">IF(ISBLANK(A196)=TRUE,0,1)</f>
        <v>1</v>
      </c>
      <c r="J196" s="2">
        <f t="shared" si="199"/>
        <v>1</v>
      </c>
      <c r="K196" s="2">
        <f t="shared" si="199"/>
        <v>1</v>
      </c>
      <c r="L196" s="2">
        <f t="shared" si="199"/>
        <v>1</v>
      </c>
      <c r="M196" s="2">
        <f t="shared" si="199"/>
        <v>1</v>
      </c>
      <c r="N196" s="2">
        <f t="shared" si="199"/>
        <v>1</v>
      </c>
      <c r="O196" s="2">
        <f t="shared" si="199"/>
        <v>1</v>
      </c>
      <c r="P196" s="2">
        <f t="shared" si="199"/>
        <v>1</v>
      </c>
      <c r="Q196" s="2">
        <f t="shared" si="3"/>
        <v>1</v>
      </c>
      <c r="R196" s="2">
        <f>IF(ISERROR(VLOOKUP(A196, 'Project Reference'!A:A, 1, FALSE)), 0, 1)</f>
        <v>1</v>
      </c>
      <c r="S196" s="2">
        <f>IFERROR(__xludf.DUMMYFUNCTION("IF(AND(REGEXMATCH(D196, B196), REGEXMATCH(D196, C196)), 1, 0)"),1.0)</f>
        <v>1</v>
      </c>
      <c r="T196" s="2">
        <f t="shared" si="4"/>
        <v>1</v>
      </c>
      <c r="U196" s="2">
        <f t="shared" si="5"/>
        <v>1</v>
      </c>
      <c r="V196" s="2">
        <f t="shared" si="6"/>
        <v>1</v>
      </c>
    </row>
    <row r="197" ht="14.25" customHeight="1">
      <c r="A197" s="2" t="s">
        <v>194</v>
      </c>
      <c r="B197" s="2" t="s">
        <v>30</v>
      </c>
      <c r="C197" s="2" t="s">
        <v>24</v>
      </c>
      <c r="D197" s="8" t="s">
        <v>637</v>
      </c>
      <c r="E197" s="6">
        <v>45018.0</v>
      </c>
      <c r="F197" s="6">
        <v>45371.0</v>
      </c>
      <c r="G197" s="7">
        <v>5.043663492E9</v>
      </c>
      <c r="H197" s="8" t="s">
        <v>581</v>
      </c>
      <c r="I197" s="2">
        <f t="shared" ref="I197:P197" si="200">IF(ISBLANK(A197)=TRUE,0,1)</f>
        <v>1</v>
      </c>
      <c r="J197" s="2">
        <f t="shared" si="200"/>
        <v>1</v>
      </c>
      <c r="K197" s="2">
        <f t="shared" si="200"/>
        <v>1</v>
      </c>
      <c r="L197" s="2">
        <f t="shared" si="200"/>
        <v>1</v>
      </c>
      <c r="M197" s="2">
        <f t="shared" si="200"/>
        <v>1</v>
      </c>
      <c r="N197" s="2">
        <f t="shared" si="200"/>
        <v>1</v>
      </c>
      <c r="O197" s="2">
        <f t="shared" si="200"/>
        <v>1</v>
      </c>
      <c r="P197" s="2">
        <f t="shared" si="200"/>
        <v>1</v>
      </c>
      <c r="Q197" s="2">
        <f t="shared" si="3"/>
        <v>1</v>
      </c>
      <c r="R197" s="2">
        <f>IF(ISERROR(VLOOKUP(A197, 'Project Reference'!A:A, 1, FALSE)), 0, 1)</f>
        <v>1</v>
      </c>
      <c r="S197" s="2">
        <f>IFERROR(__xludf.DUMMYFUNCTION("IF(AND(REGEXMATCH(D197, B197), REGEXMATCH(D197, C197)), 1, 0)"),1.0)</f>
        <v>1</v>
      </c>
      <c r="T197" s="2">
        <f t="shared" si="4"/>
        <v>1</v>
      </c>
      <c r="U197" s="2">
        <f t="shared" si="5"/>
        <v>1</v>
      </c>
      <c r="V197" s="2">
        <f t="shared" si="6"/>
        <v>1</v>
      </c>
    </row>
    <row r="198" ht="14.25" customHeight="1">
      <c r="A198" s="2" t="s">
        <v>195</v>
      </c>
      <c r="B198" s="2" t="s">
        <v>60</v>
      </c>
      <c r="C198" s="2" t="s">
        <v>19</v>
      </c>
      <c r="D198" s="8" t="s">
        <v>635</v>
      </c>
      <c r="E198" s="6">
        <v>45020.0</v>
      </c>
      <c r="F198" s="6">
        <v>45200.0</v>
      </c>
      <c r="G198" s="7">
        <v>3.438414318E9</v>
      </c>
      <c r="H198" s="8" t="s">
        <v>573</v>
      </c>
      <c r="I198" s="2">
        <f t="shared" ref="I198:P198" si="201">IF(ISBLANK(A198)=TRUE,0,1)</f>
        <v>1</v>
      </c>
      <c r="J198" s="2">
        <f t="shared" si="201"/>
        <v>1</v>
      </c>
      <c r="K198" s="2">
        <f t="shared" si="201"/>
        <v>1</v>
      </c>
      <c r="L198" s="2">
        <f t="shared" si="201"/>
        <v>1</v>
      </c>
      <c r="M198" s="2">
        <f t="shared" si="201"/>
        <v>1</v>
      </c>
      <c r="N198" s="2">
        <f t="shared" si="201"/>
        <v>1</v>
      </c>
      <c r="O198" s="2">
        <f t="shared" si="201"/>
        <v>1</v>
      </c>
      <c r="P198" s="2">
        <f t="shared" si="201"/>
        <v>1</v>
      </c>
      <c r="Q198" s="2">
        <f t="shared" si="3"/>
        <v>1</v>
      </c>
      <c r="R198" s="2">
        <f>IF(ISERROR(VLOOKUP(A198, 'Project Reference'!A:A, 1, FALSE)), 0, 1)</f>
        <v>1</v>
      </c>
      <c r="S198" s="2">
        <f>IFERROR(__xludf.DUMMYFUNCTION("IF(AND(REGEXMATCH(D198, B198), REGEXMATCH(D198, C198)), 1, 0)"),1.0)</f>
        <v>1</v>
      </c>
      <c r="T198" s="2">
        <f t="shared" si="4"/>
        <v>1</v>
      </c>
      <c r="U198" s="2">
        <f t="shared" si="5"/>
        <v>1</v>
      </c>
      <c r="V198" s="2">
        <f t="shared" si="6"/>
        <v>1</v>
      </c>
    </row>
    <row r="199" ht="14.25" customHeight="1">
      <c r="A199" s="2" t="s">
        <v>196</v>
      </c>
      <c r="B199" s="2" t="s">
        <v>12</v>
      </c>
      <c r="C199" s="2" t="s">
        <v>19</v>
      </c>
      <c r="D199" s="8" t="s">
        <v>631</v>
      </c>
      <c r="E199" s="6">
        <v>45020.0</v>
      </c>
      <c r="F199" s="6">
        <v>45381.0</v>
      </c>
      <c r="G199" s="7">
        <v>5.38173778E8</v>
      </c>
      <c r="H199" s="8" t="s">
        <v>581</v>
      </c>
      <c r="I199" s="2">
        <f t="shared" ref="I199:P199" si="202">IF(ISBLANK(A199)=TRUE,0,1)</f>
        <v>1</v>
      </c>
      <c r="J199" s="2">
        <f t="shared" si="202"/>
        <v>1</v>
      </c>
      <c r="K199" s="2">
        <f t="shared" si="202"/>
        <v>1</v>
      </c>
      <c r="L199" s="2">
        <f t="shared" si="202"/>
        <v>1</v>
      </c>
      <c r="M199" s="2">
        <f t="shared" si="202"/>
        <v>1</v>
      </c>
      <c r="N199" s="2">
        <f t="shared" si="202"/>
        <v>1</v>
      </c>
      <c r="O199" s="2">
        <f t="shared" si="202"/>
        <v>1</v>
      </c>
      <c r="P199" s="2">
        <f t="shared" si="202"/>
        <v>1</v>
      </c>
      <c r="Q199" s="2">
        <f t="shared" si="3"/>
        <v>1</v>
      </c>
      <c r="R199" s="2">
        <f>IF(ISERROR(VLOOKUP(A199, 'Project Reference'!A:A, 1, FALSE)), 0, 1)</f>
        <v>1</v>
      </c>
      <c r="S199" s="2">
        <f>IFERROR(__xludf.DUMMYFUNCTION("IF(AND(REGEXMATCH(D199, B199), REGEXMATCH(D199, C199)), 1, 0)"),1.0)</f>
        <v>1</v>
      </c>
      <c r="T199" s="2">
        <f t="shared" si="4"/>
        <v>1</v>
      </c>
      <c r="U199" s="2">
        <f t="shared" si="5"/>
        <v>1</v>
      </c>
      <c r="V199" s="2">
        <f t="shared" si="6"/>
        <v>1</v>
      </c>
    </row>
    <row r="200" ht="14.25" customHeight="1">
      <c r="A200" s="2" t="s">
        <v>197</v>
      </c>
      <c r="B200" s="2" t="s">
        <v>18</v>
      </c>
      <c r="C200" s="2" t="s">
        <v>39</v>
      </c>
      <c r="D200" s="8" t="s">
        <v>577</v>
      </c>
      <c r="E200" s="6">
        <v>45022.0</v>
      </c>
      <c r="F200" s="6">
        <v>45248.0</v>
      </c>
      <c r="G200" s="7">
        <v>4.142478037E9</v>
      </c>
      <c r="H200" s="2" t="s">
        <v>67</v>
      </c>
      <c r="I200" s="2">
        <f t="shared" ref="I200:P200" si="203">IF(ISBLANK(A200)=TRUE,0,1)</f>
        <v>1</v>
      </c>
      <c r="J200" s="2">
        <f t="shared" si="203"/>
        <v>1</v>
      </c>
      <c r="K200" s="2">
        <f t="shared" si="203"/>
        <v>1</v>
      </c>
      <c r="L200" s="2">
        <f t="shared" si="203"/>
        <v>1</v>
      </c>
      <c r="M200" s="2">
        <f t="shared" si="203"/>
        <v>1</v>
      </c>
      <c r="N200" s="2">
        <f t="shared" si="203"/>
        <v>1</v>
      </c>
      <c r="O200" s="2">
        <f t="shared" si="203"/>
        <v>1</v>
      </c>
      <c r="P200" s="2">
        <f t="shared" si="203"/>
        <v>1</v>
      </c>
      <c r="Q200" s="2">
        <f t="shared" si="3"/>
        <v>1</v>
      </c>
      <c r="R200" s="2">
        <f>IF(ISERROR(VLOOKUP(A200, 'Project Reference'!A:A, 1, FALSE)), 0, 1)</f>
        <v>1</v>
      </c>
      <c r="S200" s="2">
        <f>IFERROR(__xludf.DUMMYFUNCTION("IF(AND(REGEXMATCH(D200, B200), REGEXMATCH(D200, C200)), 1, 0)"),1.0)</f>
        <v>1</v>
      </c>
      <c r="T200" s="2">
        <f t="shared" si="4"/>
        <v>1</v>
      </c>
      <c r="U200" s="2">
        <f t="shared" si="5"/>
        <v>1</v>
      </c>
      <c r="V200" s="2">
        <f t="shared" si="6"/>
        <v>1</v>
      </c>
    </row>
    <row r="201" ht="14.25" customHeight="1">
      <c r="A201" s="2" t="s">
        <v>198</v>
      </c>
      <c r="B201" s="2" t="s">
        <v>30</v>
      </c>
      <c r="C201" s="2" t="s">
        <v>48</v>
      </c>
      <c r="D201" s="8" t="s">
        <v>615</v>
      </c>
      <c r="E201" s="6">
        <v>45023.0</v>
      </c>
      <c r="F201" s="6">
        <v>45075.0</v>
      </c>
      <c r="G201" s="7">
        <v>4.552866676E9</v>
      </c>
      <c r="H201" s="2" t="s">
        <v>21</v>
      </c>
      <c r="I201" s="2">
        <f t="shared" ref="I201:P201" si="204">IF(ISBLANK(A201)=TRUE,0,1)</f>
        <v>1</v>
      </c>
      <c r="J201" s="2">
        <f t="shared" si="204"/>
        <v>1</v>
      </c>
      <c r="K201" s="2">
        <f t="shared" si="204"/>
        <v>1</v>
      </c>
      <c r="L201" s="2">
        <f t="shared" si="204"/>
        <v>1</v>
      </c>
      <c r="M201" s="2">
        <f t="shared" si="204"/>
        <v>1</v>
      </c>
      <c r="N201" s="2">
        <f t="shared" si="204"/>
        <v>1</v>
      </c>
      <c r="O201" s="2">
        <f t="shared" si="204"/>
        <v>1</v>
      </c>
      <c r="P201" s="2">
        <f t="shared" si="204"/>
        <v>1</v>
      </c>
      <c r="Q201" s="2">
        <f t="shared" si="3"/>
        <v>1</v>
      </c>
      <c r="R201" s="2">
        <f>IF(ISERROR(VLOOKUP(A201, 'Project Reference'!A:A, 1, FALSE)), 0, 1)</f>
        <v>1</v>
      </c>
      <c r="S201" s="2">
        <f>IFERROR(__xludf.DUMMYFUNCTION("IF(AND(REGEXMATCH(D201, B201), REGEXMATCH(D201, C201)), 1, 0)"),1.0)</f>
        <v>1</v>
      </c>
      <c r="T201" s="2">
        <f t="shared" si="4"/>
        <v>1</v>
      </c>
      <c r="U201" s="2">
        <f t="shared" si="5"/>
        <v>1</v>
      </c>
      <c r="V201" s="2">
        <f t="shared" si="6"/>
        <v>1</v>
      </c>
    </row>
    <row r="202" ht="14.25" customHeight="1">
      <c r="A202" s="2" t="s">
        <v>199</v>
      </c>
      <c r="B202" s="2" t="s">
        <v>12</v>
      </c>
      <c r="C202" s="2" t="s">
        <v>13</v>
      </c>
      <c r="D202" s="8" t="s">
        <v>605</v>
      </c>
      <c r="E202" s="6">
        <v>45024.0</v>
      </c>
      <c r="F202" s="6">
        <v>45121.0</v>
      </c>
      <c r="G202" s="7">
        <v>9.02216985E8</v>
      </c>
      <c r="H202" s="2" t="s">
        <v>50</v>
      </c>
      <c r="I202" s="2">
        <f t="shared" ref="I202:P202" si="205">IF(ISBLANK(A202)=TRUE,0,1)</f>
        <v>1</v>
      </c>
      <c r="J202" s="2">
        <f t="shared" si="205"/>
        <v>1</v>
      </c>
      <c r="K202" s="2">
        <f t="shared" si="205"/>
        <v>1</v>
      </c>
      <c r="L202" s="2">
        <f t="shared" si="205"/>
        <v>1</v>
      </c>
      <c r="M202" s="2">
        <f t="shared" si="205"/>
        <v>1</v>
      </c>
      <c r="N202" s="2">
        <f t="shared" si="205"/>
        <v>1</v>
      </c>
      <c r="O202" s="2">
        <f t="shared" si="205"/>
        <v>1</v>
      </c>
      <c r="P202" s="2">
        <f t="shared" si="205"/>
        <v>1</v>
      </c>
      <c r="Q202" s="2">
        <f t="shared" si="3"/>
        <v>1</v>
      </c>
      <c r="R202" s="2">
        <f>IF(ISERROR(VLOOKUP(A202, 'Project Reference'!A:A, 1, FALSE)), 0, 1)</f>
        <v>1</v>
      </c>
      <c r="S202" s="2">
        <f>IFERROR(__xludf.DUMMYFUNCTION("IF(AND(REGEXMATCH(D202, B202), REGEXMATCH(D202, C202)), 1, 0)"),1.0)</f>
        <v>1</v>
      </c>
      <c r="T202" s="2">
        <f t="shared" si="4"/>
        <v>1</v>
      </c>
      <c r="U202" s="2">
        <f t="shared" si="5"/>
        <v>1</v>
      </c>
      <c r="V202" s="2">
        <f t="shared" si="6"/>
        <v>1</v>
      </c>
    </row>
    <row r="203" ht="14.25" customHeight="1">
      <c r="A203" s="2" t="s">
        <v>200</v>
      </c>
      <c r="B203" s="2" t="s">
        <v>30</v>
      </c>
      <c r="C203" s="2" t="s">
        <v>36</v>
      </c>
      <c r="D203" s="8" t="s">
        <v>614</v>
      </c>
      <c r="E203" s="6">
        <v>45024.0</v>
      </c>
      <c r="F203" s="6">
        <v>45253.0</v>
      </c>
      <c r="G203" s="7">
        <v>6.582376288E9</v>
      </c>
      <c r="H203" s="2" t="s">
        <v>33</v>
      </c>
      <c r="I203" s="2">
        <f t="shared" ref="I203:P203" si="206">IF(ISBLANK(A203)=TRUE,0,1)</f>
        <v>1</v>
      </c>
      <c r="J203" s="2">
        <f t="shared" si="206"/>
        <v>1</v>
      </c>
      <c r="K203" s="2">
        <f t="shared" si="206"/>
        <v>1</v>
      </c>
      <c r="L203" s="2">
        <f t="shared" si="206"/>
        <v>1</v>
      </c>
      <c r="M203" s="2">
        <f t="shared" si="206"/>
        <v>1</v>
      </c>
      <c r="N203" s="2">
        <f t="shared" si="206"/>
        <v>1</v>
      </c>
      <c r="O203" s="2">
        <f t="shared" si="206"/>
        <v>1</v>
      </c>
      <c r="P203" s="2">
        <f t="shared" si="206"/>
        <v>1</v>
      </c>
      <c r="Q203" s="2">
        <f t="shared" si="3"/>
        <v>1</v>
      </c>
      <c r="R203" s="2">
        <f>IF(ISERROR(VLOOKUP(A203, 'Project Reference'!A:A, 1, FALSE)), 0, 1)</f>
        <v>1</v>
      </c>
      <c r="S203" s="2">
        <f>IFERROR(__xludf.DUMMYFUNCTION("IF(AND(REGEXMATCH(D203, B203), REGEXMATCH(D203, C203)), 1, 0)"),1.0)</f>
        <v>1</v>
      </c>
      <c r="T203" s="2">
        <f t="shared" si="4"/>
        <v>1</v>
      </c>
      <c r="U203" s="2">
        <f t="shared" si="5"/>
        <v>1</v>
      </c>
      <c r="V203" s="2">
        <f t="shared" si="6"/>
        <v>1</v>
      </c>
    </row>
    <row r="204" ht="14.25" customHeight="1">
      <c r="A204" s="2" t="s">
        <v>201</v>
      </c>
      <c r="B204" s="2" t="s">
        <v>35</v>
      </c>
      <c r="C204" s="2" t="s">
        <v>48</v>
      </c>
      <c r="D204" s="2" t="s">
        <v>49</v>
      </c>
      <c r="E204" s="6">
        <v>45026.0</v>
      </c>
      <c r="F204" s="6">
        <v>45305.0</v>
      </c>
      <c r="G204" s="7">
        <v>2.04769884E8</v>
      </c>
      <c r="H204" s="8" t="s">
        <v>573</v>
      </c>
      <c r="I204" s="2">
        <f t="shared" ref="I204:P204" si="207">IF(ISBLANK(A204)=TRUE,0,1)</f>
        <v>1</v>
      </c>
      <c r="J204" s="2">
        <f t="shared" si="207"/>
        <v>1</v>
      </c>
      <c r="K204" s="2">
        <f t="shared" si="207"/>
        <v>1</v>
      </c>
      <c r="L204" s="2">
        <f t="shared" si="207"/>
        <v>1</v>
      </c>
      <c r="M204" s="2">
        <f t="shared" si="207"/>
        <v>1</v>
      </c>
      <c r="N204" s="2">
        <f t="shared" si="207"/>
        <v>1</v>
      </c>
      <c r="O204" s="2">
        <f t="shared" si="207"/>
        <v>1</v>
      </c>
      <c r="P204" s="2">
        <f t="shared" si="207"/>
        <v>1</v>
      </c>
      <c r="Q204" s="2">
        <f t="shared" si="3"/>
        <v>1</v>
      </c>
      <c r="R204" s="2">
        <f>IF(ISERROR(VLOOKUP(A204, 'Project Reference'!A:A, 1, FALSE)), 0, 1)</f>
        <v>1</v>
      </c>
      <c r="S204" s="2">
        <f>IFERROR(__xludf.DUMMYFUNCTION("IF(AND(REGEXMATCH(D204, B204), REGEXMATCH(D204, C204)), 1, 0)"),1.0)</f>
        <v>1</v>
      </c>
      <c r="T204" s="2">
        <f t="shared" si="4"/>
        <v>1</v>
      </c>
      <c r="U204" s="2">
        <f t="shared" si="5"/>
        <v>1</v>
      </c>
      <c r="V204" s="2">
        <f t="shared" si="6"/>
        <v>1</v>
      </c>
    </row>
    <row r="205" ht="14.25" customHeight="1">
      <c r="A205" s="2" t="s">
        <v>202</v>
      </c>
      <c r="B205" s="2" t="s">
        <v>12</v>
      </c>
      <c r="C205" s="2" t="s">
        <v>36</v>
      </c>
      <c r="D205" s="8" t="s">
        <v>578</v>
      </c>
      <c r="E205" s="6">
        <v>45026.0</v>
      </c>
      <c r="F205" s="6">
        <v>45320.0</v>
      </c>
      <c r="G205" s="7">
        <v>1.00103542E8</v>
      </c>
      <c r="H205" s="2" t="s">
        <v>67</v>
      </c>
      <c r="I205" s="2">
        <f t="shared" ref="I205:P205" si="208">IF(ISBLANK(A205)=TRUE,0,1)</f>
        <v>1</v>
      </c>
      <c r="J205" s="2">
        <f t="shared" si="208"/>
        <v>1</v>
      </c>
      <c r="K205" s="2">
        <f t="shared" si="208"/>
        <v>1</v>
      </c>
      <c r="L205" s="2">
        <f t="shared" si="208"/>
        <v>1</v>
      </c>
      <c r="M205" s="2">
        <f t="shared" si="208"/>
        <v>1</v>
      </c>
      <c r="N205" s="2">
        <f t="shared" si="208"/>
        <v>1</v>
      </c>
      <c r="O205" s="2">
        <f t="shared" si="208"/>
        <v>1</v>
      </c>
      <c r="P205" s="2">
        <f t="shared" si="208"/>
        <v>1</v>
      </c>
      <c r="Q205" s="2">
        <f t="shared" si="3"/>
        <v>1</v>
      </c>
      <c r="R205" s="2">
        <f>IF(ISERROR(VLOOKUP(A205, 'Project Reference'!A:A, 1, FALSE)), 0, 1)</f>
        <v>1</v>
      </c>
      <c r="S205" s="2">
        <f>IFERROR(__xludf.DUMMYFUNCTION("IF(AND(REGEXMATCH(D205, B205), REGEXMATCH(D205, C205)), 1, 0)"),1.0)</f>
        <v>1</v>
      </c>
      <c r="T205" s="2">
        <f t="shared" si="4"/>
        <v>1</v>
      </c>
      <c r="U205" s="2">
        <f t="shared" si="5"/>
        <v>1</v>
      </c>
      <c r="V205" s="2">
        <f t="shared" si="6"/>
        <v>1</v>
      </c>
    </row>
    <row r="206" ht="14.25" customHeight="1">
      <c r="A206" s="2" t="s">
        <v>203</v>
      </c>
      <c r="B206" s="2" t="s">
        <v>30</v>
      </c>
      <c r="C206" s="2" t="s">
        <v>39</v>
      </c>
      <c r="D206" s="8" t="s">
        <v>590</v>
      </c>
      <c r="E206" s="6">
        <v>45028.0</v>
      </c>
      <c r="F206" s="6">
        <v>45097.0</v>
      </c>
      <c r="G206" s="7">
        <v>5.67827038E8</v>
      </c>
      <c r="H206" s="8" t="s">
        <v>581</v>
      </c>
      <c r="I206" s="2">
        <f t="shared" ref="I206:P206" si="209">IF(ISBLANK(A206)=TRUE,0,1)</f>
        <v>1</v>
      </c>
      <c r="J206" s="2">
        <f t="shared" si="209"/>
        <v>1</v>
      </c>
      <c r="K206" s="2">
        <f t="shared" si="209"/>
        <v>1</v>
      </c>
      <c r="L206" s="2">
        <f t="shared" si="209"/>
        <v>1</v>
      </c>
      <c r="M206" s="2">
        <f t="shared" si="209"/>
        <v>1</v>
      </c>
      <c r="N206" s="2">
        <f t="shared" si="209"/>
        <v>1</v>
      </c>
      <c r="O206" s="2">
        <f t="shared" si="209"/>
        <v>1</v>
      </c>
      <c r="P206" s="2">
        <f t="shared" si="209"/>
        <v>1</v>
      </c>
      <c r="Q206" s="2">
        <f t="shared" si="3"/>
        <v>1</v>
      </c>
      <c r="R206" s="2">
        <f>IF(ISERROR(VLOOKUP(A206, 'Project Reference'!A:A, 1, FALSE)), 0, 1)</f>
        <v>1</v>
      </c>
      <c r="S206" s="2">
        <f>IFERROR(__xludf.DUMMYFUNCTION("IF(AND(REGEXMATCH(D206, B206), REGEXMATCH(D206, C206)), 1, 0)"),1.0)</f>
        <v>1</v>
      </c>
      <c r="T206" s="2">
        <f t="shared" si="4"/>
        <v>1</v>
      </c>
      <c r="U206" s="2">
        <f t="shared" si="5"/>
        <v>1</v>
      </c>
      <c r="V206" s="2">
        <f t="shared" si="6"/>
        <v>1</v>
      </c>
    </row>
    <row r="207" ht="14.25" customHeight="1">
      <c r="A207" s="2" t="s">
        <v>204</v>
      </c>
      <c r="B207" s="2" t="s">
        <v>18</v>
      </c>
      <c r="C207" s="2" t="s">
        <v>48</v>
      </c>
      <c r="D207" s="8" t="s">
        <v>629</v>
      </c>
      <c r="E207" s="6">
        <v>45031.0</v>
      </c>
      <c r="F207" s="6">
        <v>45211.0</v>
      </c>
      <c r="G207" s="7">
        <v>7.38261394E9</v>
      </c>
      <c r="H207" s="2" t="s">
        <v>21</v>
      </c>
      <c r="I207" s="2">
        <f t="shared" ref="I207:P207" si="210">IF(ISBLANK(A207)=TRUE,0,1)</f>
        <v>1</v>
      </c>
      <c r="J207" s="2">
        <f t="shared" si="210"/>
        <v>1</v>
      </c>
      <c r="K207" s="2">
        <f t="shared" si="210"/>
        <v>1</v>
      </c>
      <c r="L207" s="2">
        <f t="shared" si="210"/>
        <v>1</v>
      </c>
      <c r="M207" s="2">
        <f t="shared" si="210"/>
        <v>1</v>
      </c>
      <c r="N207" s="2">
        <f t="shared" si="210"/>
        <v>1</v>
      </c>
      <c r="O207" s="2">
        <f t="shared" si="210"/>
        <v>1</v>
      </c>
      <c r="P207" s="2">
        <f t="shared" si="210"/>
        <v>1</v>
      </c>
      <c r="Q207" s="2">
        <f t="shared" si="3"/>
        <v>1</v>
      </c>
      <c r="R207" s="2">
        <f>IF(ISERROR(VLOOKUP(A207, 'Project Reference'!A:A, 1, FALSE)), 0, 1)</f>
        <v>1</v>
      </c>
      <c r="S207" s="2">
        <f>IFERROR(__xludf.DUMMYFUNCTION("IF(AND(REGEXMATCH(D207, B207), REGEXMATCH(D207, C207)), 1, 0)"),1.0)</f>
        <v>1</v>
      </c>
      <c r="T207" s="2">
        <f t="shared" si="4"/>
        <v>1</v>
      </c>
      <c r="U207" s="2">
        <f t="shared" si="5"/>
        <v>1</v>
      </c>
      <c r="V207" s="2">
        <f t="shared" si="6"/>
        <v>1</v>
      </c>
    </row>
    <row r="208" ht="14.25" customHeight="1">
      <c r="A208" s="2" t="s">
        <v>205</v>
      </c>
      <c r="B208" s="2" t="s">
        <v>18</v>
      </c>
      <c r="C208" s="2" t="s">
        <v>39</v>
      </c>
      <c r="D208" s="8" t="s">
        <v>577</v>
      </c>
      <c r="E208" s="6">
        <v>45031.0</v>
      </c>
      <c r="F208" s="6">
        <v>45123.0</v>
      </c>
      <c r="G208" s="7">
        <v>3.840273247E9</v>
      </c>
      <c r="H208" s="2" t="s">
        <v>33</v>
      </c>
      <c r="I208" s="2">
        <f t="shared" ref="I208:P208" si="211">IF(ISBLANK(A208)=TRUE,0,1)</f>
        <v>1</v>
      </c>
      <c r="J208" s="2">
        <f t="shared" si="211"/>
        <v>1</v>
      </c>
      <c r="K208" s="2">
        <f t="shared" si="211"/>
        <v>1</v>
      </c>
      <c r="L208" s="2">
        <f t="shared" si="211"/>
        <v>1</v>
      </c>
      <c r="M208" s="2">
        <f t="shared" si="211"/>
        <v>1</v>
      </c>
      <c r="N208" s="2">
        <f t="shared" si="211"/>
        <v>1</v>
      </c>
      <c r="O208" s="2">
        <f t="shared" si="211"/>
        <v>1</v>
      </c>
      <c r="P208" s="2">
        <f t="shared" si="211"/>
        <v>1</v>
      </c>
      <c r="Q208" s="2">
        <f t="shared" si="3"/>
        <v>1</v>
      </c>
      <c r="R208" s="2">
        <f>IF(ISERROR(VLOOKUP(A208, 'Project Reference'!A:A, 1, FALSE)), 0, 1)</f>
        <v>1</v>
      </c>
      <c r="S208" s="2">
        <f>IFERROR(__xludf.DUMMYFUNCTION("IF(AND(REGEXMATCH(D208, B208), REGEXMATCH(D208, C208)), 1, 0)"),1.0)</f>
        <v>1</v>
      </c>
      <c r="T208" s="2">
        <f t="shared" si="4"/>
        <v>1</v>
      </c>
      <c r="U208" s="2">
        <f t="shared" si="5"/>
        <v>1</v>
      </c>
      <c r="V208" s="2">
        <f t="shared" si="6"/>
        <v>1</v>
      </c>
    </row>
    <row r="209" ht="14.25" customHeight="1">
      <c r="A209" s="2" t="s">
        <v>206</v>
      </c>
      <c r="B209" s="2" t="s">
        <v>12</v>
      </c>
      <c r="C209" s="2" t="s">
        <v>31</v>
      </c>
      <c r="D209" s="8" t="s">
        <v>593</v>
      </c>
      <c r="E209" s="6">
        <v>45033.0</v>
      </c>
      <c r="F209" s="6">
        <v>45370.0</v>
      </c>
      <c r="G209" s="7">
        <v>5.10276507E8</v>
      </c>
      <c r="H209" s="2" t="s">
        <v>44</v>
      </c>
      <c r="I209" s="2">
        <f t="shared" ref="I209:P209" si="212">IF(ISBLANK(A209)=TRUE,0,1)</f>
        <v>1</v>
      </c>
      <c r="J209" s="2">
        <f t="shared" si="212"/>
        <v>1</v>
      </c>
      <c r="K209" s="2">
        <f t="shared" si="212"/>
        <v>1</v>
      </c>
      <c r="L209" s="2">
        <f t="shared" si="212"/>
        <v>1</v>
      </c>
      <c r="M209" s="2">
        <f t="shared" si="212"/>
        <v>1</v>
      </c>
      <c r="N209" s="2">
        <f t="shared" si="212"/>
        <v>1</v>
      </c>
      <c r="O209" s="2">
        <f t="shared" si="212"/>
        <v>1</v>
      </c>
      <c r="P209" s="2">
        <f t="shared" si="212"/>
        <v>1</v>
      </c>
      <c r="Q209" s="2">
        <f t="shared" si="3"/>
        <v>1</v>
      </c>
      <c r="R209" s="2">
        <f>IF(ISERROR(VLOOKUP(A209, 'Project Reference'!A:A, 1, FALSE)), 0, 1)</f>
        <v>1</v>
      </c>
      <c r="S209" s="2">
        <f>IFERROR(__xludf.DUMMYFUNCTION("IF(AND(REGEXMATCH(D209, B209), REGEXMATCH(D209, C209)), 1, 0)"),1.0)</f>
        <v>1</v>
      </c>
      <c r="T209" s="2">
        <f t="shared" si="4"/>
        <v>1</v>
      </c>
      <c r="U209" s="2">
        <f t="shared" si="5"/>
        <v>1</v>
      </c>
      <c r="V209" s="2">
        <f t="shared" si="6"/>
        <v>1</v>
      </c>
    </row>
    <row r="210" ht="14.25" customHeight="1">
      <c r="A210" s="2" t="s">
        <v>207</v>
      </c>
      <c r="B210" s="2" t="s">
        <v>12</v>
      </c>
      <c r="C210" s="2" t="s">
        <v>36</v>
      </c>
      <c r="D210" s="8" t="s">
        <v>578</v>
      </c>
      <c r="E210" s="6">
        <v>45033.0</v>
      </c>
      <c r="F210" s="6">
        <v>45291.0</v>
      </c>
      <c r="G210" s="7">
        <v>8.06848236E8</v>
      </c>
      <c r="H210" s="2" t="s">
        <v>67</v>
      </c>
      <c r="I210" s="2">
        <f t="shared" ref="I210:P210" si="213">IF(ISBLANK(A210)=TRUE,0,1)</f>
        <v>1</v>
      </c>
      <c r="J210" s="2">
        <f t="shared" si="213"/>
        <v>1</v>
      </c>
      <c r="K210" s="2">
        <f t="shared" si="213"/>
        <v>1</v>
      </c>
      <c r="L210" s="2">
        <f t="shared" si="213"/>
        <v>1</v>
      </c>
      <c r="M210" s="2">
        <f t="shared" si="213"/>
        <v>1</v>
      </c>
      <c r="N210" s="2">
        <f t="shared" si="213"/>
        <v>1</v>
      </c>
      <c r="O210" s="2">
        <f t="shared" si="213"/>
        <v>1</v>
      </c>
      <c r="P210" s="2">
        <f t="shared" si="213"/>
        <v>1</v>
      </c>
      <c r="Q210" s="2">
        <f t="shared" si="3"/>
        <v>1</v>
      </c>
      <c r="R210" s="2">
        <f>IF(ISERROR(VLOOKUP(A210, 'Project Reference'!A:A, 1, FALSE)), 0, 1)</f>
        <v>1</v>
      </c>
      <c r="S210" s="2">
        <f>IFERROR(__xludf.DUMMYFUNCTION("IF(AND(REGEXMATCH(D210, B210), REGEXMATCH(D210, C210)), 1, 0)"),1.0)</f>
        <v>1</v>
      </c>
      <c r="T210" s="2">
        <f t="shared" si="4"/>
        <v>1</v>
      </c>
      <c r="U210" s="2">
        <f t="shared" si="5"/>
        <v>1</v>
      </c>
      <c r="V210" s="2">
        <f t="shared" si="6"/>
        <v>1</v>
      </c>
    </row>
    <row r="211" ht="14.25" customHeight="1">
      <c r="A211" s="2" t="s">
        <v>208</v>
      </c>
      <c r="B211" s="2" t="s">
        <v>60</v>
      </c>
      <c r="C211" s="2" t="s">
        <v>48</v>
      </c>
      <c r="D211" s="8" t="s">
        <v>622</v>
      </c>
      <c r="E211" s="6">
        <v>45034.0</v>
      </c>
      <c r="F211" s="6">
        <v>45257.0</v>
      </c>
      <c r="G211" s="7">
        <v>3.687967195E9</v>
      </c>
      <c r="H211" s="2" t="s">
        <v>33</v>
      </c>
      <c r="I211" s="2">
        <f t="shared" ref="I211:P211" si="214">IF(ISBLANK(A211)=TRUE,0,1)</f>
        <v>1</v>
      </c>
      <c r="J211" s="2">
        <f t="shared" si="214"/>
        <v>1</v>
      </c>
      <c r="K211" s="2">
        <f t="shared" si="214"/>
        <v>1</v>
      </c>
      <c r="L211" s="2">
        <f t="shared" si="214"/>
        <v>1</v>
      </c>
      <c r="M211" s="2">
        <f t="shared" si="214"/>
        <v>1</v>
      </c>
      <c r="N211" s="2">
        <f t="shared" si="214"/>
        <v>1</v>
      </c>
      <c r="O211" s="2">
        <f t="shared" si="214"/>
        <v>1</v>
      </c>
      <c r="P211" s="2">
        <f t="shared" si="214"/>
        <v>1</v>
      </c>
      <c r="Q211" s="2">
        <f t="shared" si="3"/>
        <v>1</v>
      </c>
      <c r="R211" s="2">
        <f>IF(ISERROR(VLOOKUP(A211, 'Project Reference'!A:A, 1, FALSE)), 0, 1)</f>
        <v>1</v>
      </c>
      <c r="S211" s="2">
        <f>IFERROR(__xludf.DUMMYFUNCTION("IF(AND(REGEXMATCH(D211, B211), REGEXMATCH(D211, C211)), 1, 0)"),1.0)</f>
        <v>1</v>
      </c>
      <c r="T211" s="2">
        <f t="shared" si="4"/>
        <v>1</v>
      </c>
      <c r="U211" s="2">
        <f t="shared" si="5"/>
        <v>1</v>
      </c>
      <c r="V211" s="2">
        <f t="shared" si="6"/>
        <v>1</v>
      </c>
    </row>
    <row r="212" ht="14.25" customHeight="1">
      <c r="A212" s="2" t="s">
        <v>210</v>
      </c>
      <c r="B212" s="2" t="s">
        <v>35</v>
      </c>
      <c r="C212" s="2" t="s">
        <v>13</v>
      </c>
      <c r="D212" s="2" t="s">
        <v>78</v>
      </c>
      <c r="E212" s="6">
        <v>45035.0</v>
      </c>
      <c r="F212" s="6">
        <v>45297.0</v>
      </c>
      <c r="G212" s="7">
        <v>6.03531905E8</v>
      </c>
      <c r="H212" s="8" t="s">
        <v>573</v>
      </c>
      <c r="I212" s="2">
        <f t="shared" ref="I212:P212" si="215">IF(ISBLANK(A212)=TRUE,0,1)</f>
        <v>1</v>
      </c>
      <c r="J212" s="2">
        <f t="shared" si="215"/>
        <v>1</v>
      </c>
      <c r="K212" s="2">
        <f t="shared" si="215"/>
        <v>1</v>
      </c>
      <c r="L212" s="2">
        <f t="shared" si="215"/>
        <v>1</v>
      </c>
      <c r="M212" s="2">
        <f t="shared" si="215"/>
        <v>1</v>
      </c>
      <c r="N212" s="2">
        <f t="shared" si="215"/>
        <v>1</v>
      </c>
      <c r="O212" s="2">
        <f t="shared" si="215"/>
        <v>1</v>
      </c>
      <c r="P212" s="2">
        <f t="shared" si="215"/>
        <v>1</v>
      </c>
      <c r="Q212" s="2">
        <f t="shared" si="3"/>
        <v>1</v>
      </c>
      <c r="R212" s="2">
        <f>IF(ISERROR(VLOOKUP(A212, 'Project Reference'!A:A, 1, FALSE)), 0, 1)</f>
        <v>1</v>
      </c>
      <c r="S212" s="2">
        <f>IFERROR(__xludf.DUMMYFUNCTION("IF(AND(REGEXMATCH(D212, B212), REGEXMATCH(D212, C212)), 1, 0)"),1.0)</f>
        <v>1</v>
      </c>
      <c r="T212" s="2">
        <f t="shared" si="4"/>
        <v>1</v>
      </c>
      <c r="U212" s="2">
        <f t="shared" si="5"/>
        <v>1</v>
      </c>
      <c r="V212" s="2">
        <f t="shared" si="6"/>
        <v>1</v>
      </c>
    </row>
    <row r="213" ht="14.25" customHeight="1">
      <c r="A213" s="2" t="s">
        <v>211</v>
      </c>
      <c r="B213" s="2" t="s">
        <v>35</v>
      </c>
      <c r="C213" s="2" t="s">
        <v>48</v>
      </c>
      <c r="D213" s="2" t="s">
        <v>49</v>
      </c>
      <c r="E213" s="6">
        <v>45035.0</v>
      </c>
      <c r="F213" s="6">
        <v>45269.0</v>
      </c>
      <c r="G213" s="7">
        <v>6.4873219E8</v>
      </c>
      <c r="H213" s="8" t="s">
        <v>581</v>
      </c>
      <c r="I213" s="2">
        <f t="shared" ref="I213:P213" si="216">IF(ISBLANK(A213)=TRUE,0,1)</f>
        <v>1</v>
      </c>
      <c r="J213" s="2">
        <f t="shared" si="216"/>
        <v>1</v>
      </c>
      <c r="K213" s="2">
        <f t="shared" si="216"/>
        <v>1</v>
      </c>
      <c r="L213" s="2">
        <f t="shared" si="216"/>
        <v>1</v>
      </c>
      <c r="M213" s="2">
        <f t="shared" si="216"/>
        <v>1</v>
      </c>
      <c r="N213" s="2">
        <f t="shared" si="216"/>
        <v>1</v>
      </c>
      <c r="O213" s="2">
        <f t="shared" si="216"/>
        <v>1</v>
      </c>
      <c r="P213" s="2">
        <f t="shared" si="216"/>
        <v>1</v>
      </c>
      <c r="Q213" s="2">
        <f t="shared" si="3"/>
        <v>1</v>
      </c>
      <c r="R213" s="2">
        <f>IF(ISERROR(VLOOKUP(A213, 'Project Reference'!A:A, 1, FALSE)), 0, 1)</f>
        <v>1</v>
      </c>
      <c r="S213" s="2">
        <f>IFERROR(__xludf.DUMMYFUNCTION("IF(AND(REGEXMATCH(D213, B213), REGEXMATCH(D213, C213)), 1, 0)"),1.0)</f>
        <v>1</v>
      </c>
      <c r="T213" s="2">
        <f t="shared" si="4"/>
        <v>1</v>
      </c>
      <c r="U213" s="2">
        <f t="shared" si="5"/>
        <v>1</v>
      </c>
      <c r="V213" s="2">
        <f t="shared" si="6"/>
        <v>1</v>
      </c>
    </row>
    <row r="214" ht="14.25" customHeight="1">
      <c r="A214" s="2" t="s">
        <v>212</v>
      </c>
      <c r="B214" s="2" t="s">
        <v>12</v>
      </c>
      <c r="C214" s="2" t="s">
        <v>48</v>
      </c>
      <c r="D214" s="8" t="s">
        <v>602</v>
      </c>
      <c r="E214" s="6">
        <v>45035.0</v>
      </c>
      <c r="F214" s="6">
        <v>45179.0</v>
      </c>
      <c r="G214" s="7">
        <v>8.72561312E8</v>
      </c>
      <c r="H214" s="2" t="s">
        <v>33</v>
      </c>
      <c r="I214" s="2">
        <f t="shared" ref="I214:P214" si="217">IF(ISBLANK(A214)=TRUE,0,1)</f>
        <v>1</v>
      </c>
      <c r="J214" s="2">
        <f t="shared" si="217"/>
        <v>1</v>
      </c>
      <c r="K214" s="2">
        <f t="shared" si="217"/>
        <v>1</v>
      </c>
      <c r="L214" s="2">
        <f t="shared" si="217"/>
        <v>1</v>
      </c>
      <c r="M214" s="2">
        <f t="shared" si="217"/>
        <v>1</v>
      </c>
      <c r="N214" s="2">
        <f t="shared" si="217"/>
        <v>1</v>
      </c>
      <c r="O214" s="2">
        <f t="shared" si="217"/>
        <v>1</v>
      </c>
      <c r="P214" s="2">
        <f t="shared" si="217"/>
        <v>1</v>
      </c>
      <c r="Q214" s="2">
        <f t="shared" si="3"/>
        <v>1</v>
      </c>
      <c r="R214" s="2">
        <f>IF(ISERROR(VLOOKUP(A214, 'Project Reference'!A:A, 1, FALSE)), 0, 1)</f>
        <v>1</v>
      </c>
      <c r="S214" s="2">
        <f>IFERROR(__xludf.DUMMYFUNCTION("IF(AND(REGEXMATCH(D214, B214), REGEXMATCH(D214, C214)), 1, 0)"),1.0)</f>
        <v>1</v>
      </c>
      <c r="T214" s="2">
        <f t="shared" si="4"/>
        <v>1</v>
      </c>
      <c r="U214" s="2">
        <f t="shared" si="5"/>
        <v>1</v>
      </c>
      <c r="V214" s="2">
        <f t="shared" si="6"/>
        <v>1</v>
      </c>
    </row>
    <row r="215" ht="14.25" customHeight="1">
      <c r="A215" s="2" t="s">
        <v>213</v>
      </c>
      <c r="B215" s="2" t="s">
        <v>35</v>
      </c>
      <c r="C215" s="2" t="s">
        <v>48</v>
      </c>
      <c r="D215" s="2" t="s">
        <v>49</v>
      </c>
      <c r="E215" s="6">
        <v>45036.0</v>
      </c>
      <c r="F215" s="6">
        <v>45119.0</v>
      </c>
      <c r="G215" s="7">
        <v>4.61667131E8</v>
      </c>
      <c r="H215" s="2" t="s">
        <v>50</v>
      </c>
      <c r="I215" s="2">
        <f t="shared" ref="I215:P215" si="218">IF(ISBLANK(A215)=TRUE,0,1)</f>
        <v>1</v>
      </c>
      <c r="J215" s="2">
        <f t="shared" si="218"/>
        <v>1</v>
      </c>
      <c r="K215" s="2">
        <f t="shared" si="218"/>
        <v>1</v>
      </c>
      <c r="L215" s="2">
        <f t="shared" si="218"/>
        <v>1</v>
      </c>
      <c r="M215" s="2">
        <f t="shared" si="218"/>
        <v>1</v>
      </c>
      <c r="N215" s="2">
        <f t="shared" si="218"/>
        <v>1</v>
      </c>
      <c r="O215" s="2">
        <f t="shared" si="218"/>
        <v>1</v>
      </c>
      <c r="P215" s="2">
        <f t="shared" si="218"/>
        <v>1</v>
      </c>
      <c r="Q215" s="2">
        <f t="shared" si="3"/>
        <v>1</v>
      </c>
      <c r="R215" s="2">
        <f>IF(ISERROR(VLOOKUP(A215, 'Project Reference'!A:A, 1, FALSE)), 0, 1)</f>
        <v>1</v>
      </c>
      <c r="S215" s="2">
        <f>IFERROR(__xludf.DUMMYFUNCTION("IF(AND(REGEXMATCH(D215, B215), REGEXMATCH(D215, C215)), 1, 0)"),1.0)</f>
        <v>1</v>
      </c>
      <c r="T215" s="2">
        <f t="shared" si="4"/>
        <v>1</v>
      </c>
      <c r="U215" s="2">
        <f t="shared" si="5"/>
        <v>1</v>
      </c>
      <c r="V215" s="2">
        <f t="shared" si="6"/>
        <v>1</v>
      </c>
    </row>
    <row r="216" ht="14.25" customHeight="1">
      <c r="A216" s="2" t="s">
        <v>215</v>
      </c>
      <c r="B216" s="2" t="s">
        <v>12</v>
      </c>
      <c r="C216" s="2" t="s">
        <v>39</v>
      </c>
      <c r="D216" s="8" t="s">
        <v>591</v>
      </c>
      <c r="E216" s="6">
        <v>45037.0</v>
      </c>
      <c r="F216" s="6">
        <v>45384.0</v>
      </c>
      <c r="G216" s="7">
        <v>3.39042702E8</v>
      </c>
      <c r="H216" s="2" t="s">
        <v>67</v>
      </c>
      <c r="I216" s="2">
        <f t="shared" ref="I216:P216" si="219">IF(ISBLANK(A216)=TRUE,0,1)</f>
        <v>1</v>
      </c>
      <c r="J216" s="2">
        <f t="shared" si="219"/>
        <v>1</v>
      </c>
      <c r="K216" s="2">
        <f t="shared" si="219"/>
        <v>1</v>
      </c>
      <c r="L216" s="2">
        <f t="shared" si="219"/>
        <v>1</v>
      </c>
      <c r="M216" s="2">
        <f t="shared" si="219"/>
        <v>1</v>
      </c>
      <c r="N216" s="2">
        <f t="shared" si="219"/>
        <v>1</v>
      </c>
      <c r="O216" s="2">
        <f t="shared" si="219"/>
        <v>1</v>
      </c>
      <c r="P216" s="2">
        <f t="shared" si="219"/>
        <v>1</v>
      </c>
      <c r="Q216" s="2">
        <f t="shared" si="3"/>
        <v>1</v>
      </c>
      <c r="R216" s="2">
        <f>IF(ISERROR(VLOOKUP(A216, 'Project Reference'!A:A, 1, FALSE)), 0, 1)</f>
        <v>1</v>
      </c>
      <c r="S216" s="2">
        <f>IFERROR(__xludf.DUMMYFUNCTION("IF(AND(REGEXMATCH(D216, B216), REGEXMATCH(D216, C216)), 1, 0)"),1.0)</f>
        <v>1</v>
      </c>
      <c r="T216" s="2">
        <f t="shared" si="4"/>
        <v>1</v>
      </c>
      <c r="U216" s="2">
        <f t="shared" si="5"/>
        <v>1</v>
      </c>
      <c r="V216" s="2">
        <f t="shared" si="6"/>
        <v>1</v>
      </c>
    </row>
    <row r="217" ht="14.25" customHeight="1">
      <c r="A217" s="2" t="s">
        <v>216</v>
      </c>
      <c r="B217" s="2" t="s">
        <v>18</v>
      </c>
      <c r="C217" s="2" t="s">
        <v>42</v>
      </c>
      <c r="D217" s="8" t="s">
        <v>621</v>
      </c>
      <c r="E217" s="6">
        <v>45038.0</v>
      </c>
      <c r="F217" s="6">
        <v>45308.0</v>
      </c>
      <c r="G217" s="7">
        <v>9.295259236E9</v>
      </c>
      <c r="H217" s="2" t="s">
        <v>21</v>
      </c>
      <c r="I217" s="2">
        <f t="shared" ref="I217:P217" si="220">IF(ISBLANK(A217)=TRUE,0,1)</f>
        <v>1</v>
      </c>
      <c r="J217" s="2">
        <f t="shared" si="220"/>
        <v>1</v>
      </c>
      <c r="K217" s="2">
        <f t="shared" si="220"/>
        <v>1</v>
      </c>
      <c r="L217" s="2">
        <f t="shared" si="220"/>
        <v>1</v>
      </c>
      <c r="M217" s="2">
        <f t="shared" si="220"/>
        <v>1</v>
      </c>
      <c r="N217" s="2">
        <f t="shared" si="220"/>
        <v>1</v>
      </c>
      <c r="O217" s="2">
        <f t="shared" si="220"/>
        <v>1</v>
      </c>
      <c r="P217" s="2">
        <f t="shared" si="220"/>
        <v>1</v>
      </c>
      <c r="Q217" s="2">
        <f t="shared" si="3"/>
        <v>1</v>
      </c>
      <c r="R217" s="2">
        <f>IF(ISERROR(VLOOKUP(A217, 'Project Reference'!A:A, 1, FALSE)), 0, 1)</f>
        <v>1</v>
      </c>
      <c r="S217" s="2">
        <f>IFERROR(__xludf.DUMMYFUNCTION("IF(AND(REGEXMATCH(D217, B217), REGEXMATCH(D217, C217)), 1, 0)"),1.0)</f>
        <v>1</v>
      </c>
      <c r="T217" s="2">
        <f t="shared" si="4"/>
        <v>1</v>
      </c>
      <c r="U217" s="2">
        <f t="shared" si="5"/>
        <v>1</v>
      </c>
      <c r="V217" s="2">
        <f t="shared" si="6"/>
        <v>1</v>
      </c>
    </row>
    <row r="218" ht="14.25" customHeight="1">
      <c r="A218" s="2" t="s">
        <v>217</v>
      </c>
      <c r="B218" s="2" t="s">
        <v>18</v>
      </c>
      <c r="C218" s="2" t="s">
        <v>31</v>
      </c>
      <c r="D218" s="8" t="s">
        <v>636</v>
      </c>
      <c r="E218" s="6">
        <v>45038.0</v>
      </c>
      <c r="F218" s="6">
        <v>45333.0</v>
      </c>
      <c r="G218" s="7">
        <v>7.601913991E9</v>
      </c>
      <c r="H218" s="2" t="s">
        <v>44</v>
      </c>
      <c r="I218" s="2">
        <f t="shared" ref="I218:P218" si="221">IF(ISBLANK(A218)=TRUE,0,1)</f>
        <v>1</v>
      </c>
      <c r="J218" s="2">
        <f t="shared" si="221"/>
        <v>1</v>
      </c>
      <c r="K218" s="2">
        <f t="shared" si="221"/>
        <v>1</v>
      </c>
      <c r="L218" s="2">
        <f t="shared" si="221"/>
        <v>1</v>
      </c>
      <c r="M218" s="2">
        <f t="shared" si="221"/>
        <v>1</v>
      </c>
      <c r="N218" s="2">
        <f t="shared" si="221"/>
        <v>1</v>
      </c>
      <c r="O218" s="2">
        <f t="shared" si="221"/>
        <v>1</v>
      </c>
      <c r="P218" s="2">
        <f t="shared" si="221"/>
        <v>1</v>
      </c>
      <c r="Q218" s="2">
        <f t="shared" si="3"/>
        <v>1</v>
      </c>
      <c r="R218" s="2">
        <f>IF(ISERROR(VLOOKUP(A218, 'Project Reference'!A:A, 1, FALSE)), 0, 1)</f>
        <v>1</v>
      </c>
      <c r="S218" s="2">
        <f>IFERROR(__xludf.DUMMYFUNCTION("IF(AND(REGEXMATCH(D218, B218), REGEXMATCH(D218, C218)), 1, 0)"),1.0)</f>
        <v>1</v>
      </c>
      <c r="T218" s="2">
        <f t="shared" si="4"/>
        <v>1</v>
      </c>
      <c r="U218" s="2">
        <f t="shared" si="5"/>
        <v>1</v>
      </c>
      <c r="V218" s="2">
        <f t="shared" si="6"/>
        <v>1</v>
      </c>
    </row>
    <row r="219" ht="14.25" customHeight="1">
      <c r="A219" s="2" t="s">
        <v>218</v>
      </c>
      <c r="B219" s="2" t="s">
        <v>12</v>
      </c>
      <c r="C219" s="2" t="s">
        <v>31</v>
      </c>
      <c r="D219" s="8" t="s">
        <v>593</v>
      </c>
      <c r="E219" s="6">
        <v>45039.0</v>
      </c>
      <c r="F219" s="6">
        <v>45306.0</v>
      </c>
      <c r="G219" s="7">
        <v>3.07072675E8</v>
      </c>
      <c r="H219" s="2" t="s">
        <v>44</v>
      </c>
      <c r="I219" s="2">
        <f t="shared" ref="I219:P219" si="222">IF(ISBLANK(A219)=TRUE,0,1)</f>
        <v>1</v>
      </c>
      <c r="J219" s="2">
        <f t="shared" si="222"/>
        <v>1</v>
      </c>
      <c r="K219" s="2">
        <f t="shared" si="222"/>
        <v>1</v>
      </c>
      <c r="L219" s="2">
        <f t="shared" si="222"/>
        <v>1</v>
      </c>
      <c r="M219" s="2">
        <f t="shared" si="222"/>
        <v>1</v>
      </c>
      <c r="N219" s="2">
        <f t="shared" si="222"/>
        <v>1</v>
      </c>
      <c r="O219" s="2">
        <f t="shared" si="222"/>
        <v>1</v>
      </c>
      <c r="P219" s="2">
        <f t="shared" si="222"/>
        <v>1</v>
      </c>
      <c r="Q219" s="2">
        <f t="shared" si="3"/>
        <v>1</v>
      </c>
      <c r="R219" s="2">
        <f>IF(ISERROR(VLOOKUP(A219, 'Project Reference'!A:A, 1, FALSE)), 0, 1)</f>
        <v>1</v>
      </c>
      <c r="S219" s="2">
        <f>IFERROR(__xludf.DUMMYFUNCTION("IF(AND(REGEXMATCH(D219, B219), REGEXMATCH(D219, C219)), 1, 0)"),1.0)</f>
        <v>1</v>
      </c>
      <c r="T219" s="2">
        <f t="shared" si="4"/>
        <v>1</v>
      </c>
      <c r="U219" s="2">
        <f t="shared" si="5"/>
        <v>1</v>
      </c>
      <c r="V219" s="2">
        <f t="shared" si="6"/>
        <v>1</v>
      </c>
    </row>
    <row r="220" ht="14.25" customHeight="1">
      <c r="A220" s="2" t="s">
        <v>219</v>
      </c>
      <c r="B220" s="2" t="s">
        <v>30</v>
      </c>
      <c r="C220" s="2" t="s">
        <v>36</v>
      </c>
      <c r="D220" s="8" t="s">
        <v>639</v>
      </c>
      <c r="E220" s="6">
        <v>45039.0</v>
      </c>
      <c r="F220" s="6">
        <v>45274.0</v>
      </c>
      <c r="G220" s="7">
        <v>3.190510162E9</v>
      </c>
      <c r="H220" s="2" t="s">
        <v>67</v>
      </c>
      <c r="I220" s="2">
        <f t="shared" ref="I220:P220" si="223">IF(ISBLANK(A220)=TRUE,0,1)</f>
        <v>1</v>
      </c>
      <c r="J220" s="2">
        <f t="shared" si="223"/>
        <v>1</v>
      </c>
      <c r="K220" s="2">
        <f t="shared" si="223"/>
        <v>1</v>
      </c>
      <c r="L220" s="2">
        <f t="shared" si="223"/>
        <v>1</v>
      </c>
      <c r="M220" s="2">
        <f t="shared" si="223"/>
        <v>1</v>
      </c>
      <c r="N220" s="2">
        <f t="shared" si="223"/>
        <v>1</v>
      </c>
      <c r="O220" s="2">
        <f t="shared" si="223"/>
        <v>1</v>
      </c>
      <c r="P220" s="2">
        <f t="shared" si="223"/>
        <v>1</v>
      </c>
      <c r="Q220" s="2">
        <f t="shared" si="3"/>
        <v>1</v>
      </c>
      <c r="R220" s="2">
        <f>IF(ISERROR(VLOOKUP(A220, 'Project Reference'!A:A, 1, FALSE)), 0, 1)</f>
        <v>1</v>
      </c>
      <c r="S220" s="2">
        <f>IFERROR(__xludf.DUMMYFUNCTION("IF(AND(REGEXMATCH(D220, B220), REGEXMATCH(D220, C220)), 1, 0)"),1.0)</f>
        <v>1</v>
      </c>
      <c r="T220" s="2">
        <f t="shared" si="4"/>
        <v>1</v>
      </c>
      <c r="U220" s="2">
        <f t="shared" si="5"/>
        <v>1</v>
      </c>
      <c r="V220" s="2">
        <f t="shared" si="6"/>
        <v>1</v>
      </c>
    </row>
    <row r="221" ht="14.25" customHeight="1">
      <c r="A221" s="2" t="s">
        <v>220</v>
      </c>
      <c r="B221" s="2" t="s">
        <v>35</v>
      </c>
      <c r="C221" s="2" t="s">
        <v>42</v>
      </c>
      <c r="D221" s="2" t="s">
        <v>69</v>
      </c>
      <c r="E221" s="6">
        <v>45041.0</v>
      </c>
      <c r="F221" s="6">
        <v>45102.0</v>
      </c>
      <c r="G221" s="7">
        <v>7.24043833E8</v>
      </c>
      <c r="H221" s="2" t="s">
        <v>67</v>
      </c>
      <c r="I221" s="2">
        <f t="shared" ref="I221:P221" si="224">IF(ISBLANK(A221)=TRUE,0,1)</f>
        <v>1</v>
      </c>
      <c r="J221" s="2">
        <f t="shared" si="224"/>
        <v>1</v>
      </c>
      <c r="K221" s="2">
        <f t="shared" si="224"/>
        <v>1</v>
      </c>
      <c r="L221" s="2">
        <f t="shared" si="224"/>
        <v>1</v>
      </c>
      <c r="M221" s="2">
        <f t="shared" si="224"/>
        <v>1</v>
      </c>
      <c r="N221" s="2">
        <f t="shared" si="224"/>
        <v>1</v>
      </c>
      <c r="O221" s="2">
        <f t="shared" si="224"/>
        <v>1</v>
      </c>
      <c r="P221" s="2">
        <f t="shared" si="224"/>
        <v>1</v>
      </c>
      <c r="Q221" s="2">
        <f t="shared" si="3"/>
        <v>1</v>
      </c>
      <c r="R221" s="2">
        <f>IF(ISERROR(VLOOKUP(A221, 'Project Reference'!A:A, 1, FALSE)), 0, 1)</f>
        <v>1</v>
      </c>
      <c r="S221" s="2">
        <f>IFERROR(__xludf.DUMMYFUNCTION("IF(AND(REGEXMATCH(D221, B221), REGEXMATCH(D221, C221)), 1, 0)"),1.0)</f>
        <v>1</v>
      </c>
      <c r="T221" s="2">
        <f t="shared" si="4"/>
        <v>1</v>
      </c>
      <c r="U221" s="2">
        <f t="shared" si="5"/>
        <v>1</v>
      </c>
      <c r="V221" s="2">
        <f t="shared" si="6"/>
        <v>1</v>
      </c>
    </row>
    <row r="222" ht="14.25" customHeight="1">
      <c r="A222" s="2" t="s">
        <v>221</v>
      </c>
      <c r="B222" s="2" t="s">
        <v>60</v>
      </c>
      <c r="C222" s="2" t="s">
        <v>24</v>
      </c>
      <c r="D222" s="8" t="s">
        <v>640</v>
      </c>
      <c r="E222" s="6">
        <v>45041.0</v>
      </c>
      <c r="F222" s="6">
        <v>45359.0</v>
      </c>
      <c r="G222" s="7">
        <v>3.094852115E9</v>
      </c>
      <c r="H222" s="2" t="s">
        <v>50</v>
      </c>
      <c r="I222" s="2">
        <f t="shared" ref="I222:P222" si="225">IF(ISBLANK(A222)=TRUE,0,1)</f>
        <v>1</v>
      </c>
      <c r="J222" s="2">
        <f t="shared" si="225"/>
        <v>1</v>
      </c>
      <c r="K222" s="2">
        <f t="shared" si="225"/>
        <v>1</v>
      </c>
      <c r="L222" s="2">
        <f t="shared" si="225"/>
        <v>1</v>
      </c>
      <c r="M222" s="2">
        <f t="shared" si="225"/>
        <v>1</v>
      </c>
      <c r="N222" s="2">
        <f t="shared" si="225"/>
        <v>1</v>
      </c>
      <c r="O222" s="2">
        <f t="shared" si="225"/>
        <v>1</v>
      </c>
      <c r="P222" s="2">
        <f t="shared" si="225"/>
        <v>1</v>
      </c>
      <c r="Q222" s="2">
        <f t="shared" si="3"/>
        <v>1</v>
      </c>
      <c r="R222" s="2">
        <f>IF(ISERROR(VLOOKUP(A222, 'Project Reference'!A:A, 1, FALSE)), 0, 1)</f>
        <v>1</v>
      </c>
      <c r="S222" s="2">
        <f>IFERROR(__xludf.DUMMYFUNCTION("IF(AND(REGEXMATCH(D222, B222), REGEXMATCH(D222, C222)), 1, 0)"),1.0)</f>
        <v>1</v>
      </c>
      <c r="T222" s="2">
        <f t="shared" si="4"/>
        <v>1</v>
      </c>
      <c r="U222" s="2">
        <f t="shared" si="5"/>
        <v>1</v>
      </c>
      <c r="V222" s="2">
        <f t="shared" si="6"/>
        <v>1</v>
      </c>
    </row>
    <row r="223" ht="14.25" customHeight="1">
      <c r="A223" s="2" t="s">
        <v>223</v>
      </c>
      <c r="B223" s="2" t="s">
        <v>30</v>
      </c>
      <c r="C223" s="2" t="s">
        <v>48</v>
      </c>
      <c r="D223" s="8" t="s">
        <v>615</v>
      </c>
      <c r="E223" s="6">
        <v>45045.0</v>
      </c>
      <c r="F223" s="6">
        <v>45394.0</v>
      </c>
      <c r="G223" s="7">
        <v>5.094791554E9</v>
      </c>
      <c r="H223" s="2" t="s">
        <v>44</v>
      </c>
      <c r="I223" s="2">
        <f t="shared" ref="I223:P223" si="226">IF(ISBLANK(A223)=TRUE,0,1)</f>
        <v>1</v>
      </c>
      <c r="J223" s="2">
        <f t="shared" si="226"/>
        <v>1</v>
      </c>
      <c r="K223" s="2">
        <f t="shared" si="226"/>
        <v>1</v>
      </c>
      <c r="L223" s="2">
        <f t="shared" si="226"/>
        <v>1</v>
      </c>
      <c r="M223" s="2">
        <f t="shared" si="226"/>
        <v>1</v>
      </c>
      <c r="N223" s="2">
        <f t="shared" si="226"/>
        <v>1</v>
      </c>
      <c r="O223" s="2">
        <f t="shared" si="226"/>
        <v>1</v>
      </c>
      <c r="P223" s="2">
        <f t="shared" si="226"/>
        <v>1</v>
      </c>
      <c r="Q223" s="2">
        <f t="shared" si="3"/>
        <v>1</v>
      </c>
      <c r="R223" s="2">
        <f>IF(ISERROR(VLOOKUP(A223, 'Project Reference'!A:A, 1, FALSE)), 0, 1)</f>
        <v>1</v>
      </c>
      <c r="S223" s="2">
        <f>IFERROR(__xludf.DUMMYFUNCTION("IF(AND(REGEXMATCH(D223, B223), REGEXMATCH(D223, C223)), 1, 0)"),1.0)</f>
        <v>1</v>
      </c>
      <c r="T223" s="2">
        <f t="shared" si="4"/>
        <v>1</v>
      </c>
      <c r="U223" s="2">
        <f t="shared" si="5"/>
        <v>1</v>
      </c>
      <c r="V223" s="2">
        <f t="shared" si="6"/>
        <v>1</v>
      </c>
    </row>
    <row r="224" ht="14.25" customHeight="1">
      <c r="A224" s="2" t="s">
        <v>225</v>
      </c>
      <c r="B224" s="2" t="s">
        <v>18</v>
      </c>
      <c r="C224" s="2" t="s">
        <v>13</v>
      </c>
      <c r="D224" s="8" t="s">
        <v>580</v>
      </c>
      <c r="E224" s="6">
        <v>45045.0</v>
      </c>
      <c r="F224" s="6">
        <v>45376.0</v>
      </c>
      <c r="G224" s="7">
        <v>1.692019622E9</v>
      </c>
      <c r="H224" s="2" t="s">
        <v>21</v>
      </c>
      <c r="I224" s="2">
        <f t="shared" ref="I224:P224" si="227">IF(ISBLANK(A224)=TRUE,0,1)</f>
        <v>1</v>
      </c>
      <c r="J224" s="2">
        <f t="shared" si="227"/>
        <v>1</v>
      </c>
      <c r="K224" s="2">
        <f t="shared" si="227"/>
        <v>1</v>
      </c>
      <c r="L224" s="2">
        <f t="shared" si="227"/>
        <v>1</v>
      </c>
      <c r="M224" s="2">
        <f t="shared" si="227"/>
        <v>1</v>
      </c>
      <c r="N224" s="2">
        <f t="shared" si="227"/>
        <v>1</v>
      </c>
      <c r="O224" s="2">
        <f t="shared" si="227"/>
        <v>1</v>
      </c>
      <c r="P224" s="2">
        <f t="shared" si="227"/>
        <v>1</v>
      </c>
      <c r="Q224" s="2">
        <f t="shared" si="3"/>
        <v>1</v>
      </c>
      <c r="R224" s="2">
        <f>IF(ISERROR(VLOOKUP(A224, 'Project Reference'!A:A, 1, FALSE)), 0, 1)</f>
        <v>1</v>
      </c>
      <c r="S224" s="2">
        <f>IFERROR(__xludf.DUMMYFUNCTION("IF(AND(REGEXMATCH(D224, B224), REGEXMATCH(D224, C224)), 1, 0)"),1.0)</f>
        <v>1</v>
      </c>
      <c r="T224" s="2">
        <f t="shared" si="4"/>
        <v>1</v>
      </c>
      <c r="U224" s="2">
        <f t="shared" si="5"/>
        <v>1</v>
      </c>
      <c r="V224" s="2">
        <f t="shared" si="6"/>
        <v>1</v>
      </c>
    </row>
    <row r="225" ht="14.25" customHeight="1">
      <c r="A225" s="2" t="s">
        <v>226</v>
      </c>
      <c r="B225" s="2" t="s">
        <v>60</v>
      </c>
      <c r="C225" s="2" t="s">
        <v>24</v>
      </c>
      <c r="D225" s="8" t="s">
        <v>640</v>
      </c>
      <c r="E225" s="6">
        <v>45045.0</v>
      </c>
      <c r="F225" s="6">
        <v>45404.0</v>
      </c>
      <c r="G225" s="7">
        <v>4.909765412E9</v>
      </c>
      <c r="H225" s="8" t="s">
        <v>581</v>
      </c>
      <c r="I225" s="2">
        <f t="shared" ref="I225:P225" si="228">IF(ISBLANK(A225)=TRUE,0,1)</f>
        <v>1</v>
      </c>
      <c r="J225" s="2">
        <f t="shared" si="228"/>
        <v>1</v>
      </c>
      <c r="K225" s="2">
        <f t="shared" si="228"/>
        <v>1</v>
      </c>
      <c r="L225" s="2">
        <f t="shared" si="228"/>
        <v>1</v>
      </c>
      <c r="M225" s="2">
        <f t="shared" si="228"/>
        <v>1</v>
      </c>
      <c r="N225" s="2">
        <f t="shared" si="228"/>
        <v>1</v>
      </c>
      <c r="O225" s="2">
        <f t="shared" si="228"/>
        <v>1</v>
      </c>
      <c r="P225" s="2">
        <f t="shared" si="228"/>
        <v>1</v>
      </c>
      <c r="Q225" s="2">
        <f t="shared" si="3"/>
        <v>1</v>
      </c>
      <c r="R225" s="2">
        <f>IF(ISERROR(VLOOKUP(A225, 'Project Reference'!A:A, 1, FALSE)), 0, 1)</f>
        <v>1</v>
      </c>
      <c r="S225" s="2">
        <f>IFERROR(__xludf.DUMMYFUNCTION("IF(AND(REGEXMATCH(D225, B225), REGEXMATCH(D225, C225)), 1, 0)"),1.0)</f>
        <v>1</v>
      </c>
      <c r="T225" s="2">
        <f t="shared" si="4"/>
        <v>1</v>
      </c>
      <c r="U225" s="2">
        <f t="shared" si="5"/>
        <v>1</v>
      </c>
      <c r="V225" s="2">
        <f t="shared" si="6"/>
        <v>1</v>
      </c>
    </row>
    <row r="226" ht="14.25" customHeight="1">
      <c r="A226" s="2" t="s">
        <v>227</v>
      </c>
      <c r="B226" s="2" t="s">
        <v>60</v>
      </c>
      <c r="C226" s="2" t="s">
        <v>24</v>
      </c>
      <c r="D226" s="8" t="s">
        <v>640</v>
      </c>
      <c r="E226" s="6">
        <v>45045.0</v>
      </c>
      <c r="F226" s="6">
        <v>45150.0</v>
      </c>
      <c r="G226" s="7">
        <v>3.396315626E9</v>
      </c>
      <c r="H226" s="2" t="s">
        <v>33</v>
      </c>
      <c r="I226" s="2">
        <f t="shared" ref="I226:P226" si="229">IF(ISBLANK(A226)=TRUE,0,1)</f>
        <v>1</v>
      </c>
      <c r="J226" s="2">
        <f t="shared" si="229"/>
        <v>1</v>
      </c>
      <c r="K226" s="2">
        <f t="shared" si="229"/>
        <v>1</v>
      </c>
      <c r="L226" s="2">
        <f t="shared" si="229"/>
        <v>1</v>
      </c>
      <c r="M226" s="2">
        <f t="shared" si="229"/>
        <v>1</v>
      </c>
      <c r="N226" s="2">
        <f t="shared" si="229"/>
        <v>1</v>
      </c>
      <c r="O226" s="2">
        <f t="shared" si="229"/>
        <v>1</v>
      </c>
      <c r="P226" s="2">
        <f t="shared" si="229"/>
        <v>1</v>
      </c>
      <c r="Q226" s="2">
        <f t="shared" si="3"/>
        <v>1</v>
      </c>
      <c r="R226" s="2">
        <f>IF(ISERROR(VLOOKUP(A226, 'Project Reference'!A:A, 1, FALSE)), 0, 1)</f>
        <v>1</v>
      </c>
      <c r="S226" s="2">
        <f>IFERROR(__xludf.DUMMYFUNCTION("IF(AND(REGEXMATCH(D226, B226), REGEXMATCH(D226, C226)), 1, 0)"),1.0)</f>
        <v>1</v>
      </c>
      <c r="T226" s="2">
        <f t="shared" si="4"/>
        <v>1</v>
      </c>
      <c r="U226" s="2">
        <f t="shared" si="5"/>
        <v>1</v>
      </c>
      <c r="V226" s="2">
        <f t="shared" si="6"/>
        <v>1</v>
      </c>
    </row>
    <row r="227" ht="14.25" customHeight="1">
      <c r="A227" s="2" t="s">
        <v>231</v>
      </c>
      <c r="B227" s="2" t="s">
        <v>12</v>
      </c>
      <c r="C227" s="2" t="s">
        <v>39</v>
      </c>
      <c r="D227" s="8" t="s">
        <v>591</v>
      </c>
      <c r="E227" s="6">
        <v>45052.0</v>
      </c>
      <c r="F227" s="6">
        <v>45253.0</v>
      </c>
      <c r="G227" s="7">
        <v>4.84231869E8</v>
      </c>
      <c r="H227" s="2" t="s">
        <v>44</v>
      </c>
      <c r="I227" s="2">
        <f t="shared" ref="I227:P227" si="230">IF(ISBLANK(A227)=TRUE,0,1)</f>
        <v>1</v>
      </c>
      <c r="J227" s="2">
        <f t="shared" si="230"/>
        <v>1</v>
      </c>
      <c r="K227" s="2">
        <f t="shared" si="230"/>
        <v>1</v>
      </c>
      <c r="L227" s="2">
        <f t="shared" si="230"/>
        <v>1</v>
      </c>
      <c r="M227" s="2">
        <f t="shared" si="230"/>
        <v>1</v>
      </c>
      <c r="N227" s="2">
        <f t="shared" si="230"/>
        <v>1</v>
      </c>
      <c r="O227" s="2">
        <f t="shared" si="230"/>
        <v>1</v>
      </c>
      <c r="P227" s="2">
        <f t="shared" si="230"/>
        <v>1</v>
      </c>
      <c r="Q227" s="2">
        <f t="shared" si="3"/>
        <v>1</v>
      </c>
      <c r="R227" s="2">
        <f>IF(ISERROR(VLOOKUP(A227, 'Project Reference'!A:A, 1, FALSE)), 0, 1)</f>
        <v>1</v>
      </c>
      <c r="S227" s="2">
        <f>IFERROR(__xludf.DUMMYFUNCTION("IF(AND(REGEXMATCH(D227, B227), REGEXMATCH(D227, C227)), 1, 0)"),1.0)</f>
        <v>1</v>
      </c>
      <c r="T227" s="2">
        <f t="shared" si="4"/>
        <v>1</v>
      </c>
      <c r="U227" s="2">
        <f t="shared" si="5"/>
        <v>1</v>
      </c>
      <c r="V227" s="2">
        <f t="shared" si="6"/>
        <v>1</v>
      </c>
    </row>
    <row r="228" ht="14.25" customHeight="1">
      <c r="A228" s="2" t="s">
        <v>232</v>
      </c>
      <c r="B228" s="2" t="s">
        <v>60</v>
      </c>
      <c r="C228" s="2" t="s">
        <v>36</v>
      </c>
      <c r="D228" s="8" t="s">
        <v>597</v>
      </c>
      <c r="E228" s="6">
        <v>45053.0</v>
      </c>
      <c r="F228" s="6">
        <v>45321.0</v>
      </c>
      <c r="G228" s="7">
        <v>1.552182554E9</v>
      </c>
      <c r="H228" s="2" t="s">
        <v>67</v>
      </c>
      <c r="I228" s="2">
        <f t="shared" ref="I228:P228" si="231">IF(ISBLANK(A228)=TRUE,0,1)</f>
        <v>1</v>
      </c>
      <c r="J228" s="2">
        <f t="shared" si="231"/>
        <v>1</v>
      </c>
      <c r="K228" s="2">
        <f t="shared" si="231"/>
        <v>1</v>
      </c>
      <c r="L228" s="2">
        <f t="shared" si="231"/>
        <v>1</v>
      </c>
      <c r="M228" s="2">
        <f t="shared" si="231"/>
        <v>1</v>
      </c>
      <c r="N228" s="2">
        <f t="shared" si="231"/>
        <v>1</v>
      </c>
      <c r="O228" s="2">
        <f t="shared" si="231"/>
        <v>1</v>
      </c>
      <c r="P228" s="2">
        <f t="shared" si="231"/>
        <v>1</v>
      </c>
      <c r="Q228" s="2">
        <f t="shared" si="3"/>
        <v>1</v>
      </c>
      <c r="R228" s="2">
        <f>IF(ISERROR(VLOOKUP(A228, 'Project Reference'!A:A, 1, FALSE)), 0, 1)</f>
        <v>1</v>
      </c>
      <c r="S228" s="2">
        <f>IFERROR(__xludf.DUMMYFUNCTION("IF(AND(REGEXMATCH(D228, B228), REGEXMATCH(D228, C228)), 1, 0)"),1.0)</f>
        <v>1</v>
      </c>
      <c r="T228" s="2">
        <f t="shared" si="4"/>
        <v>1</v>
      </c>
      <c r="U228" s="2">
        <f t="shared" si="5"/>
        <v>1</v>
      </c>
      <c r="V228" s="2">
        <f t="shared" si="6"/>
        <v>1</v>
      </c>
    </row>
    <row r="229" ht="14.25" customHeight="1">
      <c r="A229" s="2" t="s">
        <v>233</v>
      </c>
      <c r="B229" s="2" t="s">
        <v>35</v>
      </c>
      <c r="C229" s="2" t="s">
        <v>31</v>
      </c>
      <c r="D229" s="2" t="s">
        <v>91</v>
      </c>
      <c r="E229" s="6">
        <v>45053.0</v>
      </c>
      <c r="F229" s="6">
        <v>45410.0</v>
      </c>
      <c r="G229" s="7">
        <v>2.12901636E8</v>
      </c>
      <c r="H229" s="2" t="s">
        <v>33</v>
      </c>
      <c r="I229" s="2">
        <f t="shared" ref="I229:P229" si="232">IF(ISBLANK(A229)=TRUE,0,1)</f>
        <v>1</v>
      </c>
      <c r="J229" s="2">
        <f t="shared" si="232"/>
        <v>1</v>
      </c>
      <c r="K229" s="2">
        <f t="shared" si="232"/>
        <v>1</v>
      </c>
      <c r="L229" s="2">
        <f t="shared" si="232"/>
        <v>1</v>
      </c>
      <c r="M229" s="2">
        <f t="shared" si="232"/>
        <v>1</v>
      </c>
      <c r="N229" s="2">
        <f t="shared" si="232"/>
        <v>1</v>
      </c>
      <c r="O229" s="2">
        <f t="shared" si="232"/>
        <v>1</v>
      </c>
      <c r="P229" s="2">
        <f t="shared" si="232"/>
        <v>1</v>
      </c>
      <c r="Q229" s="2">
        <f t="shared" si="3"/>
        <v>1</v>
      </c>
      <c r="R229" s="2">
        <f>IF(ISERROR(VLOOKUP(A229, 'Project Reference'!A:A, 1, FALSE)), 0, 1)</f>
        <v>1</v>
      </c>
      <c r="S229" s="2">
        <f>IFERROR(__xludf.DUMMYFUNCTION("IF(AND(REGEXMATCH(D229, B229), REGEXMATCH(D229, C229)), 1, 0)"),1.0)</f>
        <v>1</v>
      </c>
      <c r="T229" s="2">
        <f t="shared" si="4"/>
        <v>1</v>
      </c>
      <c r="U229" s="2">
        <f t="shared" si="5"/>
        <v>1</v>
      </c>
      <c r="V229" s="2">
        <f t="shared" si="6"/>
        <v>1</v>
      </c>
    </row>
    <row r="230" ht="14.25" customHeight="1">
      <c r="A230" s="2" t="s">
        <v>234</v>
      </c>
      <c r="B230" s="2" t="s">
        <v>12</v>
      </c>
      <c r="C230" s="2" t="s">
        <v>31</v>
      </c>
      <c r="D230" s="8" t="s">
        <v>593</v>
      </c>
      <c r="E230" s="6">
        <v>45055.0</v>
      </c>
      <c r="F230" s="6">
        <v>44950.0</v>
      </c>
      <c r="G230" s="7">
        <v>8.62295964E8</v>
      </c>
      <c r="H230" s="2" t="s">
        <v>67</v>
      </c>
      <c r="I230" s="2">
        <f t="shared" ref="I230:P230" si="233">IF(ISBLANK(A230)=TRUE,0,1)</f>
        <v>1</v>
      </c>
      <c r="J230" s="2">
        <f t="shared" si="233"/>
        <v>1</v>
      </c>
      <c r="K230" s="2">
        <f t="shared" si="233"/>
        <v>1</v>
      </c>
      <c r="L230" s="2">
        <f t="shared" si="233"/>
        <v>1</v>
      </c>
      <c r="M230" s="2">
        <f t="shared" si="233"/>
        <v>1</v>
      </c>
      <c r="N230" s="2">
        <f t="shared" si="233"/>
        <v>1</v>
      </c>
      <c r="O230" s="2">
        <f t="shared" si="233"/>
        <v>1</v>
      </c>
      <c r="P230" s="2">
        <f t="shared" si="233"/>
        <v>1</v>
      </c>
      <c r="Q230" s="2">
        <f t="shared" si="3"/>
        <v>1</v>
      </c>
      <c r="R230" s="2">
        <f>IF(ISERROR(VLOOKUP(A230, 'Project Reference'!A:A, 1, FALSE)), 0, 1)</f>
        <v>1</v>
      </c>
      <c r="S230" s="2">
        <f>IFERROR(__xludf.DUMMYFUNCTION("IF(AND(REGEXMATCH(D230, B230), REGEXMATCH(D230, C230)), 1, 0)"),1.0)</f>
        <v>1</v>
      </c>
      <c r="T230" s="2">
        <f t="shared" si="4"/>
        <v>1</v>
      </c>
      <c r="U230" s="2">
        <f t="shared" si="5"/>
        <v>0</v>
      </c>
      <c r="V230" s="2">
        <f t="shared" si="6"/>
        <v>1</v>
      </c>
    </row>
    <row r="231" ht="14.25" customHeight="1">
      <c r="A231" s="2" t="s">
        <v>235</v>
      </c>
      <c r="B231" s="2" t="s">
        <v>35</v>
      </c>
      <c r="C231" s="2" t="s">
        <v>36</v>
      </c>
      <c r="D231" s="2" t="s">
        <v>37</v>
      </c>
      <c r="E231" s="6">
        <v>45055.0</v>
      </c>
      <c r="F231" s="6">
        <v>45273.0</v>
      </c>
      <c r="G231" s="7">
        <v>6.36437813E8</v>
      </c>
      <c r="H231" s="8" t="s">
        <v>581</v>
      </c>
      <c r="I231" s="2">
        <f t="shared" ref="I231:P231" si="234">IF(ISBLANK(A231)=TRUE,0,1)</f>
        <v>1</v>
      </c>
      <c r="J231" s="2">
        <f t="shared" si="234"/>
        <v>1</v>
      </c>
      <c r="K231" s="2">
        <f t="shared" si="234"/>
        <v>1</v>
      </c>
      <c r="L231" s="2">
        <f t="shared" si="234"/>
        <v>1</v>
      </c>
      <c r="M231" s="2">
        <f t="shared" si="234"/>
        <v>1</v>
      </c>
      <c r="N231" s="2">
        <f t="shared" si="234"/>
        <v>1</v>
      </c>
      <c r="O231" s="2">
        <f t="shared" si="234"/>
        <v>1</v>
      </c>
      <c r="P231" s="2">
        <f t="shared" si="234"/>
        <v>1</v>
      </c>
      <c r="Q231" s="2">
        <f t="shared" si="3"/>
        <v>1</v>
      </c>
      <c r="R231" s="2">
        <f>IF(ISERROR(VLOOKUP(A231, 'Project Reference'!A:A, 1, FALSE)), 0, 1)</f>
        <v>1</v>
      </c>
      <c r="S231" s="2">
        <f>IFERROR(__xludf.DUMMYFUNCTION("IF(AND(REGEXMATCH(D231, B231), REGEXMATCH(D231, C231)), 1, 0)"),1.0)</f>
        <v>1</v>
      </c>
      <c r="T231" s="2">
        <f t="shared" si="4"/>
        <v>1</v>
      </c>
      <c r="U231" s="2">
        <f t="shared" si="5"/>
        <v>1</v>
      </c>
      <c r="V231" s="2">
        <f t="shared" si="6"/>
        <v>1</v>
      </c>
    </row>
    <row r="232" ht="14.25" customHeight="1">
      <c r="A232" s="2" t="s">
        <v>237</v>
      </c>
      <c r="B232" s="2" t="s">
        <v>30</v>
      </c>
      <c r="C232" s="2" t="s">
        <v>31</v>
      </c>
      <c r="D232" s="8" t="s">
        <v>595</v>
      </c>
      <c r="E232" s="6">
        <v>45056.0</v>
      </c>
      <c r="F232" s="6">
        <v>45364.0</v>
      </c>
      <c r="G232" s="7">
        <v>5.097478222E9</v>
      </c>
      <c r="H232" s="2" t="s">
        <v>44</v>
      </c>
      <c r="I232" s="2">
        <f t="shared" ref="I232:P232" si="235">IF(ISBLANK(A232)=TRUE,0,1)</f>
        <v>1</v>
      </c>
      <c r="J232" s="2">
        <f t="shared" si="235"/>
        <v>1</v>
      </c>
      <c r="K232" s="2">
        <f t="shared" si="235"/>
        <v>1</v>
      </c>
      <c r="L232" s="2">
        <f t="shared" si="235"/>
        <v>1</v>
      </c>
      <c r="M232" s="2">
        <f t="shared" si="235"/>
        <v>1</v>
      </c>
      <c r="N232" s="2">
        <f t="shared" si="235"/>
        <v>1</v>
      </c>
      <c r="O232" s="2">
        <f t="shared" si="235"/>
        <v>1</v>
      </c>
      <c r="P232" s="2">
        <f t="shared" si="235"/>
        <v>1</v>
      </c>
      <c r="Q232" s="2">
        <f t="shared" si="3"/>
        <v>1</v>
      </c>
      <c r="R232" s="2">
        <f>IF(ISERROR(VLOOKUP(A232, 'Project Reference'!A:A, 1, FALSE)), 0, 1)</f>
        <v>1</v>
      </c>
      <c r="S232" s="2">
        <f>IFERROR(__xludf.DUMMYFUNCTION("IF(AND(REGEXMATCH(D232, B232), REGEXMATCH(D232, C232)), 1, 0)"),1.0)</f>
        <v>1</v>
      </c>
      <c r="T232" s="2">
        <f t="shared" si="4"/>
        <v>1</v>
      </c>
      <c r="U232" s="2">
        <f t="shared" si="5"/>
        <v>1</v>
      </c>
      <c r="V232" s="2">
        <f t="shared" si="6"/>
        <v>1</v>
      </c>
    </row>
    <row r="233" ht="14.25" customHeight="1">
      <c r="A233" s="2" t="s">
        <v>238</v>
      </c>
      <c r="B233" s="2" t="s">
        <v>30</v>
      </c>
      <c r="C233" s="2" t="s">
        <v>24</v>
      </c>
      <c r="D233" s="8" t="s">
        <v>612</v>
      </c>
      <c r="E233" s="6">
        <v>45056.0</v>
      </c>
      <c r="F233" s="6">
        <v>45387.0</v>
      </c>
      <c r="G233" s="7">
        <v>6.825404228E9</v>
      </c>
      <c r="H233" s="8" t="s">
        <v>581</v>
      </c>
      <c r="I233" s="2">
        <f t="shared" ref="I233:P233" si="236">IF(ISBLANK(A233)=TRUE,0,1)</f>
        <v>1</v>
      </c>
      <c r="J233" s="2">
        <f t="shared" si="236"/>
        <v>1</v>
      </c>
      <c r="K233" s="2">
        <f t="shared" si="236"/>
        <v>1</v>
      </c>
      <c r="L233" s="2">
        <f t="shared" si="236"/>
        <v>1</v>
      </c>
      <c r="M233" s="2">
        <f t="shared" si="236"/>
        <v>1</v>
      </c>
      <c r="N233" s="2">
        <f t="shared" si="236"/>
        <v>1</v>
      </c>
      <c r="O233" s="2">
        <f t="shared" si="236"/>
        <v>1</v>
      </c>
      <c r="P233" s="2">
        <f t="shared" si="236"/>
        <v>1</v>
      </c>
      <c r="Q233" s="2">
        <f t="shared" si="3"/>
        <v>1</v>
      </c>
      <c r="R233" s="2">
        <f>IF(ISERROR(VLOOKUP(A233, 'Project Reference'!A:A, 1, FALSE)), 0, 1)</f>
        <v>1</v>
      </c>
      <c r="S233" s="2">
        <f>IFERROR(__xludf.DUMMYFUNCTION("IF(AND(REGEXMATCH(D233, B233), REGEXMATCH(D233, C233)), 1, 0)"),1.0)</f>
        <v>1</v>
      </c>
      <c r="T233" s="2">
        <f t="shared" si="4"/>
        <v>1</v>
      </c>
      <c r="U233" s="2">
        <f t="shared" si="5"/>
        <v>1</v>
      </c>
      <c r="V233" s="2">
        <f t="shared" si="6"/>
        <v>1</v>
      </c>
    </row>
    <row r="234" ht="14.25" customHeight="1">
      <c r="A234" s="2" t="s">
        <v>239</v>
      </c>
      <c r="B234" s="2" t="s">
        <v>35</v>
      </c>
      <c r="C234" s="2" t="s">
        <v>24</v>
      </c>
      <c r="D234" s="2" t="s">
        <v>133</v>
      </c>
      <c r="E234" s="6">
        <v>45057.0</v>
      </c>
      <c r="F234" s="6">
        <v>45337.0</v>
      </c>
      <c r="G234" s="7">
        <v>7.11908536E8</v>
      </c>
      <c r="H234" s="8" t="s">
        <v>573</v>
      </c>
      <c r="I234" s="2">
        <f t="shared" ref="I234:P234" si="237">IF(ISBLANK(A234)=TRUE,0,1)</f>
        <v>1</v>
      </c>
      <c r="J234" s="2">
        <f t="shared" si="237"/>
        <v>1</v>
      </c>
      <c r="K234" s="2">
        <f t="shared" si="237"/>
        <v>1</v>
      </c>
      <c r="L234" s="2">
        <f t="shared" si="237"/>
        <v>1</v>
      </c>
      <c r="M234" s="2">
        <f t="shared" si="237"/>
        <v>1</v>
      </c>
      <c r="N234" s="2">
        <f t="shared" si="237"/>
        <v>1</v>
      </c>
      <c r="O234" s="2">
        <f t="shared" si="237"/>
        <v>1</v>
      </c>
      <c r="P234" s="2">
        <f t="shared" si="237"/>
        <v>1</v>
      </c>
      <c r="Q234" s="2">
        <f t="shared" si="3"/>
        <v>1</v>
      </c>
      <c r="R234" s="2">
        <f>IF(ISERROR(VLOOKUP(A234, 'Project Reference'!A:A, 1, FALSE)), 0, 1)</f>
        <v>1</v>
      </c>
      <c r="S234" s="2">
        <f>IFERROR(__xludf.DUMMYFUNCTION("IF(AND(REGEXMATCH(D234, B234), REGEXMATCH(D234, C234)), 1, 0)"),1.0)</f>
        <v>1</v>
      </c>
      <c r="T234" s="2">
        <f t="shared" si="4"/>
        <v>1</v>
      </c>
      <c r="U234" s="2">
        <f t="shared" si="5"/>
        <v>1</v>
      </c>
      <c r="V234" s="2">
        <f t="shared" si="6"/>
        <v>1</v>
      </c>
    </row>
    <row r="235" ht="14.25" customHeight="1">
      <c r="A235" s="2" t="s">
        <v>240</v>
      </c>
      <c r="B235" s="2" t="s">
        <v>60</v>
      </c>
      <c r="C235" s="2" t="s">
        <v>36</v>
      </c>
      <c r="D235" s="8" t="s">
        <v>597</v>
      </c>
      <c r="E235" s="6">
        <v>45057.0</v>
      </c>
      <c r="F235" s="6">
        <v>45261.0</v>
      </c>
      <c r="G235" s="7">
        <v>4.488626883E9</v>
      </c>
      <c r="H235" s="2" t="s">
        <v>21</v>
      </c>
      <c r="I235" s="2">
        <f t="shared" ref="I235:P235" si="238">IF(ISBLANK(A235)=TRUE,0,1)</f>
        <v>1</v>
      </c>
      <c r="J235" s="2">
        <f t="shared" si="238"/>
        <v>1</v>
      </c>
      <c r="K235" s="2">
        <f t="shared" si="238"/>
        <v>1</v>
      </c>
      <c r="L235" s="2">
        <f t="shared" si="238"/>
        <v>1</v>
      </c>
      <c r="M235" s="2">
        <f t="shared" si="238"/>
        <v>1</v>
      </c>
      <c r="N235" s="2">
        <f t="shared" si="238"/>
        <v>1</v>
      </c>
      <c r="O235" s="2">
        <f t="shared" si="238"/>
        <v>1</v>
      </c>
      <c r="P235" s="2">
        <f t="shared" si="238"/>
        <v>1</v>
      </c>
      <c r="Q235" s="2">
        <f t="shared" si="3"/>
        <v>1</v>
      </c>
      <c r="R235" s="2">
        <f>IF(ISERROR(VLOOKUP(A235, 'Project Reference'!A:A, 1, FALSE)), 0, 1)</f>
        <v>1</v>
      </c>
      <c r="S235" s="2">
        <f>IFERROR(__xludf.DUMMYFUNCTION("IF(AND(REGEXMATCH(D235, B235), REGEXMATCH(D235, C235)), 1, 0)"),1.0)</f>
        <v>1</v>
      </c>
      <c r="T235" s="2">
        <f t="shared" si="4"/>
        <v>1</v>
      </c>
      <c r="U235" s="2">
        <f t="shared" si="5"/>
        <v>1</v>
      </c>
      <c r="V235" s="2">
        <f t="shared" si="6"/>
        <v>1</v>
      </c>
    </row>
    <row r="236" ht="14.25" customHeight="1">
      <c r="A236" s="2" t="s">
        <v>241</v>
      </c>
      <c r="B236" s="2" t="s">
        <v>12</v>
      </c>
      <c r="C236" s="2" t="s">
        <v>31</v>
      </c>
      <c r="D236" s="8" t="s">
        <v>593</v>
      </c>
      <c r="E236" s="6">
        <v>45058.0</v>
      </c>
      <c r="F236" s="6">
        <v>45145.0</v>
      </c>
      <c r="G236" s="7">
        <v>8.33760455E8</v>
      </c>
      <c r="H236" s="2" t="s">
        <v>50</v>
      </c>
      <c r="I236" s="2">
        <f t="shared" ref="I236:P236" si="239">IF(ISBLANK(A236)=TRUE,0,1)</f>
        <v>1</v>
      </c>
      <c r="J236" s="2">
        <f t="shared" si="239"/>
        <v>1</v>
      </c>
      <c r="K236" s="2">
        <f t="shared" si="239"/>
        <v>1</v>
      </c>
      <c r="L236" s="2">
        <f t="shared" si="239"/>
        <v>1</v>
      </c>
      <c r="M236" s="2">
        <f t="shared" si="239"/>
        <v>1</v>
      </c>
      <c r="N236" s="2">
        <f t="shared" si="239"/>
        <v>1</v>
      </c>
      <c r="O236" s="2">
        <f t="shared" si="239"/>
        <v>1</v>
      </c>
      <c r="P236" s="2">
        <f t="shared" si="239"/>
        <v>1</v>
      </c>
      <c r="Q236" s="2">
        <f t="shared" si="3"/>
        <v>1</v>
      </c>
      <c r="R236" s="2">
        <f>IF(ISERROR(VLOOKUP(A236, 'Project Reference'!A:A, 1, FALSE)), 0, 1)</f>
        <v>1</v>
      </c>
      <c r="S236" s="2">
        <f>IFERROR(__xludf.DUMMYFUNCTION("IF(AND(REGEXMATCH(D236, B236), REGEXMATCH(D236, C236)), 1, 0)"),1.0)</f>
        <v>1</v>
      </c>
      <c r="T236" s="2">
        <f t="shared" si="4"/>
        <v>1</v>
      </c>
      <c r="U236" s="2">
        <f t="shared" si="5"/>
        <v>1</v>
      </c>
      <c r="V236" s="2">
        <f t="shared" si="6"/>
        <v>1</v>
      </c>
    </row>
    <row r="237" ht="14.25" customHeight="1">
      <c r="A237" s="2" t="s">
        <v>242</v>
      </c>
      <c r="B237" s="2" t="s">
        <v>12</v>
      </c>
      <c r="C237" s="2" t="s">
        <v>19</v>
      </c>
      <c r="D237" s="8" t="s">
        <v>631</v>
      </c>
      <c r="E237" s="6">
        <v>45059.0</v>
      </c>
      <c r="F237" s="6">
        <v>45390.0</v>
      </c>
      <c r="G237" s="7">
        <v>7.96873116E8</v>
      </c>
      <c r="H237" s="2" t="s">
        <v>33</v>
      </c>
      <c r="I237" s="2">
        <f t="shared" ref="I237:P237" si="240">IF(ISBLANK(A237)=TRUE,0,1)</f>
        <v>1</v>
      </c>
      <c r="J237" s="2">
        <f t="shared" si="240"/>
        <v>1</v>
      </c>
      <c r="K237" s="2">
        <f t="shared" si="240"/>
        <v>1</v>
      </c>
      <c r="L237" s="2">
        <f t="shared" si="240"/>
        <v>1</v>
      </c>
      <c r="M237" s="2">
        <f t="shared" si="240"/>
        <v>1</v>
      </c>
      <c r="N237" s="2">
        <f t="shared" si="240"/>
        <v>1</v>
      </c>
      <c r="O237" s="2">
        <f t="shared" si="240"/>
        <v>1</v>
      </c>
      <c r="P237" s="2">
        <f t="shared" si="240"/>
        <v>1</v>
      </c>
      <c r="Q237" s="2">
        <f t="shared" si="3"/>
        <v>1</v>
      </c>
      <c r="R237" s="2">
        <f>IF(ISERROR(VLOOKUP(A237, 'Project Reference'!A:A, 1, FALSE)), 0, 1)</f>
        <v>1</v>
      </c>
      <c r="S237" s="2">
        <f>IFERROR(__xludf.DUMMYFUNCTION("IF(AND(REGEXMATCH(D237, B237), REGEXMATCH(D237, C237)), 1, 0)"),1.0)</f>
        <v>1</v>
      </c>
      <c r="T237" s="2">
        <f t="shared" si="4"/>
        <v>1</v>
      </c>
      <c r="U237" s="2">
        <f t="shared" si="5"/>
        <v>1</v>
      </c>
      <c r="V237" s="2">
        <f t="shared" si="6"/>
        <v>1</v>
      </c>
    </row>
    <row r="238" ht="14.25" customHeight="1">
      <c r="A238" s="2" t="s">
        <v>243</v>
      </c>
      <c r="B238" s="2" t="s">
        <v>12</v>
      </c>
      <c r="C238" s="2" t="s">
        <v>48</v>
      </c>
      <c r="D238" s="8" t="s">
        <v>602</v>
      </c>
      <c r="E238" s="6">
        <v>45060.0</v>
      </c>
      <c r="F238" s="6">
        <v>45231.0</v>
      </c>
      <c r="G238" s="7">
        <v>2.65841157E8</v>
      </c>
      <c r="H238" s="2" t="s">
        <v>67</v>
      </c>
      <c r="I238" s="2">
        <f t="shared" ref="I238:P238" si="241">IF(ISBLANK(A238)=TRUE,0,1)</f>
        <v>1</v>
      </c>
      <c r="J238" s="2">
        <f t="shared" si="241"/>
        <v>1</v>
      </c>
      <c r="K238" s="2">
        <f t="shared" si="241"/>
        <v>1</v>
      </c>
      <c r="L238" s="2">
        <f t="shared" si="241"/>
        <v>1</v>
      </c>
      <c r="M238" s="2">
        <f t="shared" si="241"/>
        <v>1</v>
      </c>
      <c r="N238" s="2">
        <f t="shared" si="241"/>
        <v>1</v>
      </c>
      <c r="O238" s="2">
        <f t="shared" si="241"/>
        <v>1</v>
      </c>
      <c r="P238" s="2">
        <f t="shared" si="241"/>
        <v>1</v>
      </c>
      <c r="Q238" s="2">
        <f t="shared" si="3"/>
        <v>1</v>
      </c>
      <c r="R238" s="2">
        <f>IF(ISERROR(VLOOKUP(A238, 'Project Reference'!A:A, 1, FALSE)), 0, 1)</f>
        <v>1</v>
      </c>
      <c r="S238" s="2">
        <f>IFERROR(__xludf.DUMMYFUNCTION("IF(AND(REGEXMATCH(D238, B238), REGEXMATCH(D238, C238)), 1, 0)"),1.0)</f>
        <v>1</v>
      </c>
      <c r="T238" s="2">
        <f t="shared" si="4"/>
        <v>1</v>
      </c>
      <c r="U238" s="2">
        <f t="shared" si="5"/>
        <v>1</v>
      </c>
      <c r="V238" s="2">
        <f t="shared" si="6"/>
        <v>1</v>
      </c>
    </row>
    <row r="239" ht="14.25" customHeight="1">
      <c r="A239" s="2" t="s">
        <v>244</v>
      </c>
      <c r="B239" s="2" t="s">
        <v>30</v>
      </c>
      <c r="C239" s="2" t="s">
        <v>42</v>
      </c>
      <c r="D239" s="8" t="s">
        <v>632</v>
      </c>
      <c r="E239" s="6">
        <v>45061.0</v>
      </c>
      <c r="F239" s="6">
        <v>45294.0</v>
      </c>
      <c r="G239" s="7">
        <v>2.403144972E9</v>
      </c>
      <c r="H239" s="2" t="s">
        <v>67</v>
      </c>
      <c r="I239" s="2">
        <f t="shared" ref="I239:P239" si="242">IF(ISBLANK(A239)=TRUE,0,1)</f>
        <v>1</v>
      </c>
      <c r="J239" s="2">
        <f t="shared" si="242"/>
        <v>1</v>
      </c>
      <c r="K239" s="2">
        <f t="shared" si="242"/>
        <v>1</v>
      </c>
      <c r="L239" s="2">
        <f t="shared" si="242"/>
        <v>1</v>
      </c>
      <c r="M239" s="2">
        <f t="shared" si="242"/>
        <v>1</v>
      </c>
      <c r="N239" s="2">
        <f t="shared" si="242"/>
        <v>1</v>
      </c>
      <c r="O239" s="2">
        <f t="shared" si="242"/>
        <v>1</v>
      </c>
      <c r="P239" s="2">
        <f t="shared" si="242"/>
        <v>1</v>
      </c>
      <c r="Q239" s="2">
        <f t="shared" si="3"/>
        <v>1</v>
      </c>
      <c r="R239" s="2">
        <f>IF(ISERROR(VLOOKUP(A239, 'Project Reference'!A:A, 1, FALSE)), 0, 1)</f>
        <v>1</v>
      </c>
      <c r="S239" s="2">
        <f>IFERROR(__xludf.DUMMYFUNCTION("IF(AND(REGEXMATCH(D239, B239), REGEXMATCH(D239, C239)), 1, 0)"),1.0)</f>
        <v>1</v>
      </c>
      <c r="T239" s="2">
        <f t="shared" si="4"/>
        <v>1</v>
      </c>
      <c r="U239" s="2">
        <f t="shared" si="5"/>
        <v>1</v>
      </c>
      <c r="V239" s="2">
        <f t="shared" si="6"/>
        <v>1</v>
      </c>
    </row>
    <row r="240" ht="14.25" customHeight="1">
      <c r="A240" s="2" t="s">
        <v>245</v>
      </c>
      <c r="B240" s="2" t="s">
        <v>30</v>
      </c>
      <c r="C240" s="2" t="s">
        <v>42</v>
      </c>
      <c r="D240" s="8" t="s">
        <v>632</v>
      </c>
      <c r="E240" s="6">
        <v>45062.0</v>
      </c>
      <c r="F240" s="6">
        <v>45418.0</v>
      </c>
      <c r="G240" s="7">
        <v>2.353183969E9</v>
      </c>
      <c r="H240" s="2" t="s">
        <v>33</v>
      </c>
      <c r="I240" s="2">
        <f t="shared" ref="I240:P240" si="243">IF(ISBLANK(A240)=TRUE,0,1)</f>
        <v>1</v>
      </c>
      <c r="J240" s="2">
        <f t="shared" si="243"/>
        <v>1</v>
      </c>
      <c r="K240" s="2">
        <f t="shared" si="243"/>
        <v>1</v>
      </c>
      <c r="L240" s="2">
        <f t="shared" si="243"/>
        <v>1</v>
      </c>
      <c r="M240" s="2">
        <f t="shared" si="243"/>
        <v>1</v>
      </c>
      <c r="N240" s="2">
        <f t="shared" si="243"/>
        <v>1</v>
      </c>
      <c r="O240" s="2">
        <f t="shared" si="243"/>
        <v>1</v>
      </c>
      <c r="P240" s="2">
        <f t="shared" si="243"/>
        <v>1</v>
      </c>
      <c r="Q240" s="2">
        <f t="shared" si="3"/>
        <v>1</v>
      </c>
      <c r="R240" s="2">
        <f>IF(ISERROR(VLOOKUP(A240, 'Project Reference'!A:A, 1, FALSE)), 0, 1)</f>
        <v>1</v>
      </c>
      <c r="S240" s="2">
        <f>IFERROR(__xludf.DUMMYFUNCTION("IF(AND(REGEXMATCH(D240, B240), REGEXMATCH(D240, C240)), 1, 0)"),1.0)</f>
        <v>1</v>
      </c>
      <c r="T240" s="2">
        <f t="shared" si="4"/>
        <v>1</v>
      </c>
      <c r="U240" s="2">
        <f t="shared" si="5"/>
        <v>1</v>
      </c>
      <c r="V240" s="2">
        <f t="shared" si="6"/>
        <v>1</v>
      </c>
    </row>
    <row r="241" ht="14.25" customHeight="1">
      <c r="A241" s="2" t="s">
        <v>246</v>
      </c>
      <c r="B241" s="2" t="s">
        <v>30</v>
      </c>
      <c r="C241" s="2" t="s">
        <v>31</v>
      </c>
      <c r="D241" s="8" t="s">
        <v>585</v>
      </c>
      <c r="E241" s="6">
        <v>45063.0</v>
      </c>
      <c r="F241" s="6">
        <v>45233.0</v>
      </c>
      <c r="G241" s="7">
        <v>3.010188959E9</v>
      </c>
      <c r="H241" s="2" t="s">
        <v>33</v>
      </c>
      <c r="I241" s="2">
        <f t="shared" ref="I241:P241" si="244">IF(ISBLANK(A241)=TRUE,0,1)</f>
        <v>1</v>
      </c>
      <c r="J241" s="2">
        <f t="shared" si="244"/>
        <v>1</v>
      </c>
      <c r="K241" s="2">
        <f t="shared" si="244"/>
        <v>1</v>
      </c>
      <c r="L241" s="2">
        <f t="shared" si="244"/>
        <v>1</v>
      </c>
      <c r="M241" s="2">
        <f t="shared" si="244"/>
        <v>1</v>
      </c>
      <c r="N241" s="2">
        <f t="shared" si="244"/>
        <v>1</v>
      </c>
      <c r="O241" s="2">
        <f t="shared" si="244"/>
        <v>1</v>
      </c>
      <c r="P241" s="2">
        <f t="shared" si="244"/>
        <v>1</v>
      </c>
      <c r="Q241" s="2">
        <f t="shared" si="3"/>
        <v>1</v>
      </c>
      <c r="R241" s="2">
        <f>IF(ISERROR(VLOOKUP(A241, 'Project Reference'!A:A, 1, FALSE)), 0, 1)</f>
        <v>1</v>
      </c>
      <c r="S241" s="2">
        <f>IFERROR(__xludf.DUMMYFUNCTION("IF(AND(REGEXMATCH(D241, B241), REGEXMATCH(D241, C241)), 1, 0)"),1.0)</f>
        <v>1</v>
      </c>
      <c r="T241" s="2">
        <f t="shared" si="4"/>
        <v>1</v>
      </c>
      <c r="U241" s="2">
        <f t="shared" si="5"/>
        <v>1</v>
      </c>
      <c r="V241" s="2">
        <f t="shared" si="6"/>
        <v>1</v>
      </c>
    </row>
    <row r="242" ht="14.25" customHeight="1">
      <c r="A242" s="2" t="s">
        <v>247</v>
      </c>
      <c r="B242" s="2" t="s">
        <v>30</v>
      </c>
      <c r="C242" s="2" t="s">
        <v>31</v>
      </c>
      <c r="D242" s="8" t="s">
        <v>585</v>
      </c>
      <c r="E242" s="6">
        <v>45063.0</v>
      </c>
      <c r="F242" s="6">
        <v>45274.0</v>
      </c>
      <c r="G242" s="7">
        <v>3.270056272E9</v>
      </c>
      <c r="H242" s="8" t="s">
        <v>581</v>
      </c>
      <c r="I242" s="2">
        <f t="shared" ref="I242:P242" si="245">IF(ISBLANK(A242)=TRUE,0,1)</f>
        <v>1</v>
      </c>
      <c r="J242" s="2">
        <f t="shared" si="245"/>
        <v>1</v>
      </c>
      <c r="K242" s="2">
        <f t="shared" si="245"/>
        <v>1</v>
      </c>
      <c r="L242" s="2">
        <f t="shared" si="245"/>
        <v>1</v>
      </c>
      <c r="M242" s="2">
        <f t="shared" si="245"/>
        <v>1</v>
      </c>
      <c r="N242" s="2">
        <f t="shared" si="245"/>
        <v>1</v>
      </c>
      <c r="O242" s="2">
        <f t="shared" si="245"/>
        <v>1</v>
      </c>
      <c r="P242" s="2">
        <f t="shared" si="245"/>
        <v>1</v>
      </c>
      <c r="Q242" s="2">
        <f t="shared" si="3"/>
        <v>1</v>
      </c>
      <c r="R242" s="2">
        <f>IF(ISERROR(VLOOKUP(A242, 'Project Reference'!A:A, 1, FALSE)), 0, 1)</f>
        <v>1</v>
      </c>
      <c r="S242" s="2">
        <f>IFERROR(__xludf.DUMMYFUNCTION("IF(AND(REGEXMATCH(D242, B242), REGEXMATCH(D242, C242)), 1, 0)"),1.0)</f>
        <v>1</v>
      </c>
      <c r="T242" s="2">
        <f t="shared" si="4"/>
        <v>1</v>
      </c>
      <c r="U242" s="2">
        <f t="shared" si="5"/>
        <v>1</v>
      </c>
      <c r="V242" s="2">
        <f t="shared" si="6"/>
        <v>1</v>
      </c>
    </row>
    <row r="243" ht="14.25" customHeight="1">
      <c r="A243" s="2" t="s">
        <v>248</v>
      </c>
      <c r="B243" s="2" t="s">
        <v>60</v>
      </c>
      <c r="C243" s="2" t="s">
        <v>48</v>
      </c>
      <c r="D243" s="8" t="s">
        <v>625</v>
      </c>
      <c r="E243" s="6">
        <v>45063.0</v>
      </c>
      <c r="F243" s="6">
        <v>45376.0</v>
      </c>
      <c r="G243" s="7">
        <v>2.737545275E9</v>
      </c>
      <c r="H243" s="2" t="s">
        <v>21</v>
      </c>
      <c r="I243" s="2">
        <f t="shared" ref="I243:P243" si="246">IF(ISBLANK(A243)=TRUE,0,1)</f>
        <v>1</v>
      </c>
      <c r="J243" s="2">
        <f t="shared" si="246"/>
        <v>1</v>
      </c>
      <c r="K243" s="2">
        <f t="shared" si="246"/>
        <v>1</v>
      </c>
      <c r="L243" s="2">
        <f t="shared" si="246"/>
        <v>1</v>
      </c>
      <c r="M243" s="2">
        <f t="shared" si="246"/>
        <v>1</v>
      </c>
      <c r="N243" s="2">
        <f t="shared" si="246"/>
        <v>1</v>
      </c>
      <c r="O243" s="2">
        <f t="shared" si="246"/>
        <v>1</v>
      </c>
      <c r="P243" s="2">
        <f t="shared" si="246"/>
        <v>1</v>
      </c>
      <c r="Q243" s="2">
        <f t="shared" si="3"/>
        <v>1</v>
      </c>
      <c r="R243" s="2">
        <f>IF(ISERROR(VLOOKUP(A243, 'Project Reference'!A:A, 1, FALSE)), 0, 1)</f>
        <v>1</v>
      </c>
      <c r="S243" s="2">
        <f>IFERROR(__xludf.DUMMYFUNCTION("IF(AND(REGEXMATCH(D243, B243), REGEXMATCH(D243, C243)), 1, 0)"),1.0)</f>
        <v>1</v>
      </c>
      <c r="T243" s="2">
        <f t="shared" si="4"/>
        <v>1</v>
      </c>
      <c r="U243" s="2">
        <f t="shared" si="5"/>
        <v>1</v>
      </c>
      <c r="V243" s="2">
        <f t="shared" si="6"/>
        <v>1</v>
      </c>
    </row>
    <row r="244" ht="14.25" customHeight="1">
      <c r="A244" s="2" t="s">
        <v>249</v>
      </c>
      <c r="B244" s="2" t="s">
        <v>35</v>
      </c>
      <c r="C244" s="2" t="s">
        <v>39</v>
      </c>
      <c r="D244" s="2" t="s">
        <v>145</v>
      </c>
      <c r="E244" s="6">
        <v>45063.0</v>
      </c>
      <c r="F244" s="6">
        <v>45215.0</v>
      </c>
      <c r="G244" s="7">
        <v>4.35396392E8</v>
      </c>
      <c r="H244" s="2" t="s">
        <v>21</v>
      </c>
      <c r="I244" s="2">
        <f t="shared" ref="I244:P244" si="247">IF(ISBLANK(A244)=TRUE,0,1)</f>
        <v>1</v>
      </c>
      <c r="J244" s="2">
        <f t="shared" si="247"/>
        <v>1</v>
      </c>
      <c r="K244" s="2">
        <f t="shared" si="247"/>
        <v>1</v>
      </c>
      <c r="L244" s="2">
        <f t="shared" si="247"/>
        <v>1</v>
      </c>
      <c r="M244" s="2">
        <f t="shared" si="247"/>
        <v>1</v>
      </c>
      <c r="N244" s="2">
        <f t="shared" si="247"/>
        <v>1</v>
      </c>
      <c r="O244" s="2">
        <f t="shared" si="247"/>
        <v>1</v>
      </c>
      <c r="P244" s="2">
        <f t="shared" si="247"/>
        <v>1</v>
      </c>
      <c r="Q244" s="2">
        <f t="shared" si="3"/>
        <v>1</v>
      </c>
      <c r="R244" s="2">
        <f>IF(ISERROR(VLOOKUP(A244, 'Project Reference'!A:A, 1, FALSE)), 0, 1)</f>
        <v>1</v>
      </c>
      <c r="S244" s="2">
        <f>IFERROR(__xludf.DUMMYFUNCTION("IF(AND(REGEXMATCH(D244, B244), REGEXMATCH(D244, C244)), 1, 0)"),1.0)</f>
        <v>1</v>
      </c>
      <c r="T244" s="2">
        <f t="shared" si="4"/>
        <v>1</v>
      </c>
      <c r="U244" s="2">
        <f t="shared" si="5"/>
        <v>1</v>
      </c>
      <c r="V244" s="2">
        <f t="shared" si="6"/>
        <v>1</v>
      </c>
    </row>
    <row r="245" ht="14.25" customHeight="1">
      <c r="A245" s="2" t="s">
        <v>250</v>
      </c>
      <c r="B245" s="2" t="s">
        <v>12</v>
      </c>
      <c r="C245" s="2" t="s">
        <v>13</v>
      </c>
      <c r="D245" s="8" t="s">
        <v>605</v>
      </c>
      <c r="E245" s="6">
        <v>45064.0</v>
      </c>
      <c r="F245" s="6">
        <v>45199.0</v>
      </c>
      <c r="G245" s="7">
        <v>8.62972191E8</v>
      </c>
      <c r="H245" s="8" t="s">
        <v>573</v>
      </c>
      <c r="I245" s="2">
        <f t="shared" ref="I245:P245" si="248">IF(ISBLANK(A245)=TRUE,0,1)</f>
        <v>1</v>
      </c>
      <c r="J245" s="2">
        <f t="shared" si="248"/>
        <v>1</v>
      </c>
      <c r="K245" s="2">
        <f t="shared" si="248"/>
        <v>1</v>
      </c>
      <c r="L245" s="2">
        <f t="shared" si="248"/>
        <v>1</v>
      </c>
      <c r="M245" s="2">
        <f t="shared" si="248"/>
        <v>1</v>
      </c>
      <c r="N245" s="2">
        <f t="shared" si="248"/>
        <v>1</v>
      </c>
      <c r="O245" s="2">
        <f t="shared" si="248"/>
        <v>1</v>
      </c>
      <c r="P245" s="2">
        <f t="shared" si="248"/>
        <v>1</v>
      </c>
      <c r="Q245" s="2">
        <f t="shared" si="3"/>
        <v>1</v>
      </c>
      <c r="R245" s="2">
        <f>IF(ISERROR(VLOOKUP(A245, 'Project Reference'!A:A, 1, FALSE)), 0, 1)</f>
        <v>1</v>
      </c>
      <c r="S245" s="2">
        <f>IFERROR(__xludf.DUMMYFUNCTION("IF(AND(REGEXMATCH(D245, B245), REGEXMATCH(D245, C245)), 1, 0)"),1.0)</f>
        <v>1</v>
      </c>
      <c r="T245" s="2">
        <f t="shared" si="4"/>
        <v>1</v>
      </c>
      <c r="U245" s="2">
        <f t="shared" si="5"/>
        <v>1</v>
      </c>
      <c r="V245" s="2">
        <f t="shared" si="6"/>
        <v>1</v>
      </c>
    </row>
    <row r="246" ht="14.25" customHeight="1">
      <c r="A246" s="2" t="s">
        <v>251</v>
      </c>
      <c r="B246" s="2" t="s">
        <v>35</v>
      </c>
      <c r="C246" s="2" t="s">
        <v>39</v>
      </c>
      <c r="D246" s="2" t="s">
        <v>145</v>
      </c>
      <c r="E246" s="6">
        <v>45066.0</v>
      </c>
      <c r="F246" s="6">
        <v>45101.0</v>
      </c>
      <c r="G246" s="7">
        <v>5.40011263E8</v>
      </c>
      <c r="H246" s="2" t="s">
        <v>21</v>
      </c>
      <c r="I246" s="2">
        <f t="shared" ref="I246:P246" si="249">IF(ISBLANK(A246)=TRUE,0,1)</f>
        <v>1</v>
      </c>
      <c r="J246" s="2">
        <f t="shared" si="249"/>
        <v>1</v>
      </c>
      <c r="K246" s="2">
        <f t="shared" si="249"/>
        <v>1</v>
      </c>
      <c r="L246" s="2">
        <f t="shared" si="249"/>
        <v>1</v>
      </c>
      <c r="M246" s="2">
        <f t="shared" si="249"/>
        <v>1</v>
      </c>
      <c r="N246" s="2">
        <f t="shared" si="249"/>
        <v>1</v>
      </c>
      <c r="O246" s="2">
        <f t="shared" si="249"/>
        <v>1</v>
      </c>
      <c r="P246" s="2">
        <f t="shared" si="249"/>
        <v>1</v>
      </c>
      <c r="Q246" s="2">
        <f t="shared" si="3"/>
        <v>1</v>
      </c>
      <c r="R246" s="2">
        <f>IF(ISERROR(VLOOKUP(A246, 'Project Reference'!A:A, 1, FALSE)), 0, 1)</f>
        <v>1</v>
      </c>
      <c r="S246" s="2">
        <f>IFERROR(__xludf.DUMMYFUNCTION("IF(AND(REGEXMATCH(D246, B246), REGEXMATCH(D246, C246)), 1, 0)"),1.0)</f>
        <v>1</v>
      </c>
      <c r="T246" s="2">
        <f t="shared" si="4"/>
        <v>1</v>
      </c>
      <c r="U246" s="2">
        <f t="shared" si="5"/>
        <v>1</v>
      </c>
      <c r="V246" s="2">
        <f t="shared" si="6"/>
        <v>1</v>
      </c>
    </row>
    <row r="247" ht="14.25" customHeight="1">
      <c r="A247" s="2" t="s">
        <v>252</v>
      </c>
      <c r="B247" s="2" t="s">
        <v>30</v>
      </c>
      <c r="C247" s="2" t="s">
        <v>42</v>
      </c>
      <c r="D247" s="8" t="s">
        <v>632</v>
      </c>
      <c r="E247" s="6">
        <v>45068.0</v>
      </c>
      <c r="F247" s="6">
        <v>45110.0</v>
      </c>
      <c r="G247" s="7">
        <v>1.029500364E9</v>
      </c>
      <c r="H247" s="2" t="s">
        <v>50</v>
      </c>
      <c r="I247" s="2">
        <f t="shared" ref="I247:P247" si="250">IF(ISBLANK(A247)=TRUE,0,1)</f>
        <v>1</v>
      </c>
      <c r="J247" s="2">
        <f t="shared" si="250"/>
        <v>1</v>
      </c>
      <c r="K247" s="2">
        <f t="shared" si="250"/>
        <v>1</v>
      </c>
      <c r="L247" s="2">
        <f t="shared" si="250"/>
        <v>1</v>
      </c>
      <c r="M247" s="2">
        <f t="shared" si="250"/>
        <v>1</v>
      </c>
      <c r="N247" s="2">
        <f t="shared" si="250"/>
        <v>1</v>
      </c>
      <c r="O247" s="2">
        <f t="shared" si="250"/>
        <v>1</v>
      </c>
      <c r="P247" s="2">
        <f t="shared" si="250"/>
        <v>1</v>
      </c>
      <c r="Q247" s="2">
        <f t="shared" si="3"/>
        <v>1</v>
      </c>
      <c r="R247" s="2">
        <f>IF(ISERROR(VLOOKUP(A247, 'Project Reference'!A:A, 1, FALSE)), 0, 1)</f>
        <v>1</v>
      </c>
      <c r="S247" s="2">
        <f>IFERROR(__xludf.DUMMYFUNCTION("IF(AND(REGEXMATCH(D247, B247), REGEXMATCH(D247, C247)), 1, 0)"),1.0)</f>
        <v>1</v>
      </c>
      <c r="T247" s="2">
        <f t="shared" si="4"/>
        <v>1</v>
      </c>
      <c r="U247" s="2">
        <f t="shared" si="5"/>
        <v>1</v>
      </c>
      <c r="V247" s="2">
        <f t="shared" si="6"/>
        <v>1</v>
      </c>
    </row>
    <row r="248" ht="14.25" customHeight="1">
      <c r="A248" s="2" t="s">
        <v>253</v>
      </c>
      <c r="B248" s="2" t="s">
        <v>12</v>
      </c>
      <c r="C248" s="2" t="s">
        <v>19</v>
      </c>
      <c r="D248" s="8" t="s">
        <v>631</v>
      </c>
      <c r="E248" s="6">
        <v>45069.0</v>
      </c>
      <c r="F248" s="6">
        <v>45337.0</v>
      </c>
      <c r="G248" s="7">
        <v>6.41123605E8</v>
      </c>
      <c r="H248" s="2" t="s">
        <v>44</v>
      </c>
      <c r="I248" s="2">
        <f t="shared" ref="I248:P248" si="251">IF(ISBLANK(A248)=TRUE,0,1)</f>
        <v>1</v>
      </c>
      <c r="J248" s="2">
        <f t="shared" si="251"/>
        <v>1</v>
      </c>
      <c r="K248" s="2">
        <f t="shared" si="251"/>
        <v>1</v>
      </c>
      <c r="L248" s="2">
        <f t="shared" si="251"/>
        <v>1</v>
      </c>
      <c r="M248" s="2">
        <f t="shared" si="251"/>
        <v>1</v>
      </c>
      <c r="N248" s="2">
        <f t="shared" si="251"/>
        <v>1</v>
      </c>
      <c r="O248" s="2">
        <f t="shared" si="251"/>
        <v>1</v>
      </c>
      <c r="P248" s="2">
        <f t="shared" si="251"/>
        <v>1</v>
      </c>
      <c r="Q248" s="2">
        <f t="shared" si="3"/>
        <v>1</v>
      </c>
      <c r="R248" s="2">
        <f>IF(ISERROR(VLOOKUP(A248, 'Project Reference'!A:A, 1, FALSE)), 0, 1)</f>
        <v>1</v>
      </c>
      <c r="S248" s="2">
        <f>IFERROR(__xludf.DUMMYFUNCTION("IF(AND(REGEXMATCH(D248, B248), REGEXMATCH(D248, C248)), 1, 0)"),1.0)</f>
        <v>1</v>
      </c>
      <c r="T248" s="2">
        <f t="shared" si="4"/>
        <v>1</v>
      </c>
      <c r="U248" s="2">
        <f t="shared" si="5"/>
        <v>1</v>
      </c>
      <c r="V248" s="2">
        <f t="shared" si="6"/>
        <v>1</v>
      </c>
    </row>
    <row r="249" ht="14.25" customHeight="1">
      <c r="A249" s="2" t="s">
        <v>254</v>
      </c>
      <c r="B249" s="2" t="s">
        <v>60</v>
      </c>
      <c r="C249" s="2" t="s">
        <v>31</v>
      </c>
      <c r="D249" s="8" t="s">
        <v>599</v>
      </c>
      <c r="E249" s="6">
        <v>45070.0</v>
      </c>
      <c r="F249" s="6">
        <v>45413.0</v>
      </c>
      <c r="G249" s="7">
        <v>3.739543587E9</v>
      </c>
      <c r="H249" s="2" t="s">
        <v>33</v>
      </c>
      <c r="I249" s="2">
        <f t="shared" ref="I249:P249" si="252">IF(ISBLANK(A249)=TRUE,0,1)</f>
        <v>1</v>
      </c>
      <c r="J249" s="2">
        <f t="shared" si="252"/>
        <v>1</v>
      </c>
      <c r="K249" s="2">
        <f t="shared" si="252"/>
        <v>1</v>
      </c>
      <c r="L249" s="2">
        <f t="shared" si="252"/>
        <v>1</v>
      </c>
      <c r="M249" s="2">
        <f t="shared" si="252"/>
        <v>1</v>
      </c>
      <c r="N249" s="2">
        <f t="shared" si="252"/>
        <v>1</v>
      </c>
      <c r="O249" s="2">
        <f t="shared" si="252"/>
        <v>1</v>
      </c>
      <c r="P249" s="2">
        <f t="shared" si="252"/>
        <v>1</v>
      </c>
      <c r="Q249" s="2">
        <f t="shared" si="3"/>
        <v>1</v>
      </c>
      <c r="R249" s="2">
        <f>IF(ISERROR(VLOOKUP(A249, 'Project Reference'!A:A, 1, FALSE)), 0, 1)</f>
        <v>1</v>
      </c>
      <c r="S249" s="2">
        <f>IFERROR(__xludf.DUMMYFUNCTION("IF(AND(REGEXMATCH(D249, B249), REGEXMATCH(D249, C249)), 1, 0)"),1.0)</f>
        <v>1</v>
      </c>
      <c r="T249" s="2">
        <f t="shared" si="4"/>
        <v>1</v>
      </c>
      <c r="U249" s="2">
        <f t="shared" si="5"/>
        <v>1</v>
      </c>
      <c r="V249" s="2">
        <f t="shared" si="6"/>
        <v>1</v>
      </c>
    </row>
    <row r="250" ht="14.25" customHeight="1">
      <c r="A250" s="2" t="s">
        <v>255</v>
      </c>
      <c r="B250" s="2" t="s">
        <v>18</v>
      </c>
      <c r="C250" s="2" t="s">
        <v>36</v>
      </c>
      <c r="D250" s="8" t="s">
        <v>634</v>
      </c>
      <c r="E250" s="6">
        <v>45072.0</v>
      </c>
      <c r="F250" s="6">
        <v>45108.0</v>
      </c>
      <c r="G250" s="7">
        <v>1.989239519E9</v>
      </c>
      <c r="H250" s="2" t="s">
        <v>67</v>
      </c>
      <c r="I250" s="2">
        <f t="shared" ref="I250:P250" si="253">IF(ISBLANK(A250)=TRUE,0,1)</f>
        <v>1</v>
      </c>
      <c r="J250" s="2">
        <f t="shared" si="253"/>
        <v>1</v>
      </c>
      <c r="K250" s="2">
        <f t="shared" si="253"/>
        <v>1</v>
      </c>
      <c r="L250" s="2">
        <f t="shared" si="253"/>
        <v>1</v>
      </c>
      <c r="M250" s="2">
        <f t="shared" si="253"/>
        <v>1</v>
      </c>
      <c r="N250" s="2">
        <f t="shared" si="253"/>
        <v>1</v>
      </c>
      <c r="O250" s="2">
        <f t="shared" si="253"/>
        <v>1</v>
      </c>
      <c r="P250" s="2">
        <f t="shared" si="253"/>
        <v>1</v>
      </c>
      <c r="Q250" s="2">
        <f t="shared" si="3"/>
        <v>1</v>
      </c>
      <c r="R250" s="2">
        <f>IF(ISERROR(VLOOKUP(A250, 'Project Reference'!A:A, 1, FALSE)), 0, 1)</f>
        <v>1</v>
      </c>
      <c r="S250" s="2">
        <f>IFERROR(__xludf.DUMMYFUNCTION("IF(AND(REGEXMATCH(D250, B250), REGEXMATCH(D250, C250)), 1, 0)"),1.0)</f>
        <v>1</v>
      </c>
      <c r="T250" s="2">
        <f t="shared" si="4"/>
        <v>1</v>
      </c>
      <c r="U250" s="2">
        <f t="shared" si="5"/>
        <v>1</v>
      </c>
      <c r="V250" s="2">
        <f t="shared" si="6"/>
        <v>1</v>
      </c>
    </row>
    <row r="251" ht="14.25" customHeight="1">
      <c r="A251" s="2" t="s">
        <v>256</v>
      </c>
      <c r="B251" s="2" t="s">
        <v>12</v>
      </c>
      <c r="C251" s="2" t="s">
        <v>48</v>
      </c>
      <c r="D251" s="8" t="s">
        <v>602</v>
      </c>
      <c r="E251" s="6">
        <v>45072.0</v>
      </c>
      <c r="F251" s="6">
        <v>45310.0</v>
      </c>
      <c r="G251" s="7">
        <v>7.51081465E8</v>
      </c>
      <c r="H251" s="2" t="s">
        <v>21</v>
      </c>
      <c r="I251" s="2">
        <f t="shared" ref="I251:P251" si="254">IF(ISBLANK(A251)=TRUE,0,1)</f>
        <v>1</v>
      </c>
      <c r="J251" s="2">
        <f t="shared" si="254"/>
        <v>1</v>
      </c>
      <c r="K251" s="2">
        <f t="shared" si="254"/>
        <v>1</v>
      </c>
      <c r="L251" s="2">
        <f t="shared" si="254"/>
        <v>1</v>
      </c>
      <c r="M251" s="2">
        <f t="shared" si="254"/>
        <v>1</v>
      </c>
      <c r="N251" s="2">
        <f t="shared" si="254"/>
        <v>1</v>
      </c>
      <c r="O251" s="2">
        <f t="shared" si="254"/>
        <v>1</v>
      </c>
      <c r="P251" s="2">
        <f t="shared" si="254"/>
        <v>1</v>
      </c>
      <c r="Q251" s="2">
        <f t="shared" si="3"/>
        <v>1</v>
      </c>
      <c r="R251" s="2">
        <f>IF(ISERROR(VLOOKUP(A251, 'Project Reference'!A:A, 1, FALSE)), 0, 1)</f>
        <v>1</v>
      </c>
      <c r="S251" s="2">
        <f>IFERROR(__xludf.DUMMYFUNCTION("IF(AND(REGEXMATCH(D251, B251), REGEXMATCH(D251, C251)), 1, 0)"),1.0)</f>
        <v>1</v>
      </c>
      <c r="T251" s="2">
        <f t="shared" si="4"/>
        <v>1</v>
      </c>
      <c r="U251" s="2">
        <f t="shared" si="5"/>
        <v>1</v>
      </c>
      <c r="V251" s="2">
        <f t="shared" si="6"/>
        <v>1</v>
      </c>
    </row>
    <row r="252" ht="14.25" customHeight="1">
      <c r="A252" s="2" t="s">
        <v>257</v>
      </c>
      <c r="B252" s="2" t="s">
        <v>35</v>
      </c>
      <c r="C252" s="2" t="s">
        <v>48</v>
      </c>
      <c r="D252" s="2" t="s">
        <v>49</v>
      </c>
      <c r="E252" s="6">
        <v>45073.0</v>
      </c>
      <c r="F252" s="6">
        <v>45400.0</v>
      </c>
      <c r="G252" s="7">
        <v>3.96170576E8</v>
      </c>
      <c r="H252" s="2" t="s">
        <v>50</v>
      </c>
      <c r="I252" s="2">
        <f t="shared" ref="I252:P252" si="255">IF(ISBLANK(A252)=TRUE,0,1)</f>
        <v>1</v>
      </c>
      <c r="J252" s="2">
        <f t="shared" si="255"/>
        <v>1</v>
      </c>
      <c r="K252" s="2">
        <f t="shared" si="255"/>
        <v>1</v>
      </c>
      <c r="L252" s="2">
        <f t="shared" si="255"/>
        <v>1</v>
      </c>
      <c r="M252" s="2">
        <f t="shared" si="255"/>
        <v>1</v>
      </c>
      <c r="N252" s="2">
        <f t="shared" si="255"/>
        <v>1</v>
      </c>
      <c r="O252" s="2">
        <f t="shared" si="255"/>
        <v>1</v>
      </c>
      <c r="P252" s="2">
        <f t="shared" si="255"/>
        <v>1</v>
      </c>
      <c r="Q252" s="2">
        <f t="shared" si="3"/>
        <v>1</v>
      </c>
      <c r="R252" s="2">
        <f>IF(ISERROR(VLOOKUP(A252, 'Project Reference'!A:A, 1, FALSE)), 0, 1)</f>
        <v>1</v>
      </c>
      <c r="S252" s="2">
        <f>IFERROR(__xludf.DUMMYFUNCTION("IF(AND(REGEXMATCH(D252, B252), REGEXMATCH(D252, C252)), 1, 0)"),1.0)</f>
        <v>1</v>
      </c>
      <c r="T252" s="2">
        <f t="shared" si="4"/>
        <v>1</v>
      </c>
      <c r="U252" s="2">
        <f t="shared" si="5"/>
        <v>1</v>
      </c>
      <c r="V252" s="2">
        <f t="shared" si="6"/>
        <v>1</v>
      </c>
    </row>
    <row r="253" ht="14.25" customHeight="1">
      <c r="A253" s="2" t="s">
        <v>258</v>
      </c>
      <c r="B253" s="2" t="s">
        <v>60</v>
      </c>
      <c r="C253" s="2" t="s">
        <v>36</v>
      </c>
      <c r="D253" s="8" t="s">
        <v>597</v>
      </c>
      <c r="E253" s="6">
        <v>45073.0</v>
      </c>
      <c r="F253" s="6">
        <v>45368.0</v>
      </c>
      <c r="G253" s="7">
        <v>3.86727841E9</v>
      </c>
      <c r="H253" s="2" t="s">
        <v>67</v>
      </c>
      <c r="I253" s="2">
        <f t="shared" ref="I253:P253" si="256">IF(ISBLANK(A253)=TRUE,0,1)</f>
        <v>1</v>
      </c>
      <c r="J253" s="2">
        <f t="shared" si="256"/>
        <v>1</v>
      </c>
      <c r="K253" s="2">
        <f t="shared" si="256"/>
        <v>1</v>
      </c>
      <c r="L253" s="2">
        <f t="shared" si="256"/>
        <v>1</v>
      </c>
      <c r="M253" s="2">
        <f t="shared" si="256"/>
        <v>1</v>
      </c>
      <c r="N253" s="2">
        <f t="shared" si="256"/>
        <v>1</v>
      </c>
      <c r="O253" s="2">
        <f t="shared" si="256"/>
        <v>1</v>
      </c>
      <c r="P253" s="2">
        <f t="shared" si="256"/>
        <v>1</v>
      </c>
      <c r="Q253" s="2">
        <f t="shared" si="3"/>
        <v>1</v>
      </c>
      <c r="R253" s="2">
        <f>IF(ISERROR(VLOOKUP(A253, 'Project Reference'!A:A, 1, FALSE)), 0, 1)</f>
        <v>1</v>
      </c>
      <c r="S253" s="2">
        <f>IFERROR(__xludf.DUMMYFUNCTION("IF(AND(REGEXMATCH(D253, B253), REGEXMATCH(D253, C253)), 1, 0)"),1.0)</f>
        <v>1</v>
      </c>
      <c r="T253" s="2">
        <f t="shared" si="4"/>
        <v>1</v>
      </c>
      <c r="U253" s="2">
        <f t="shared" si="5"/>
        <v>1</v>
      </c>
      <c r="V253" s="2">
        <f t="shared" si="6"/>
        <v>1</v>
      </c>
    </row>
    <row r="254" ht="14.25" customHeight="1">
      <c r="A254" s="2" t="s">
        <v>259</v>
      </c>
      <c r="B254" s="2" t="s">
        <v>18</v>
      </c>
      <c r="C254" s="2" t="s">
        <v>39</v>
      </c>
      <c r="D254" s="8" t="s">
        <v>577</v>
      </c>
      <c r="E254" s="6">
        <v>45074.0</v>
      </c>
      <c r="F254" s="6">
        <v>45326.0</v>
      </c>
      <c r="G254" s="7">
        <v>1.475452617E9</v>
      </c>
      <c r="H254" s="2" t="s">
        <v>21</v>
      </c>
      <c r="I254" s="2">
        <f t="shared" ref="I254:P254" si="257">IF(ISBLANK(A254)=TRUE,0,1)</f>
        <v>1</v>
      </c>
      <c r="J254" s="2">
        <f t="shared" si="257"/>
        <v>1</v>
      </c>
      <c r="K254" s="2">
        <f t="shared" si="257"/>
        <v>1</v>
      </c>
      <c r="L254" s="2">
        <f t="shared" si="257"/>
        <v>1</v>
      </c>
      <c r="M254" s="2">
        <f t="shared" si="257"/>
        <v>1</v>
      </c>
      <c r="N254" s="2">
        <f t="shared" si="257"/>
        <v>1</v>
      </c>
      <c r="O254" s="2">
        <f t="shared" si="257"/>
        <v>1</v>
      </c>
      <c r="P254" s="2">
        <f t="shared" si="257"/>
        <v>1</v>
      </c>
      <c r="Q254" s="2">
        <f t="shared" si="3"/>
        <v>1</v>
      </c>
      <c r="R254" s="2">
        <f>IF(ISERROR(VLOOKUP(A254, 'Project Reference'!A:A, 1, FALSE)), 0, 1)</f>
        <v>1</v>
      </c>
      <c r="S254" s="2">
        <f>IFERROR(__xludf.DUMMYFUNCTION("IF(AND(REGEXMATCH(D254, B254), REGEXMATCH(D254, C254)), 1, 0)"),1.0)</f>
        <v>1</v>
      </c>
      <c r="T254" s="2">
        <f t="shared" si="4"/>
        <v>1</v>
      </c>
      <c r="U254" s="2">
        <f t="shared" si="5"/>
        <v>1</v>
      </c>
      <c r="V254" s="2">
        <f t="shared" si="6"/>
        <v>1</v>
      </c>
    </row>
    <row r="255" ht="14.25" customHeight="1">
      <c r="A255" s="2" t="s">
        <v>261</v>
      </c>
      <c r="B255" s="2" t="s">
        <v>35</v>
      </c>
      <c r="C255" s="2" t="s">
        <v>31</v>
      </c>
      <c r="D255" s="2" t="s">
        <v>91</v>
      </c>
      <c r="E255" s="6">
        <v>45074.0</v>
      </c>
      <c r="F255" s="6">
        <v>45215.0</v>
      </c>
      <c r="G255" s="7">
        <v>4.67726708E8</v>
      </c>
      <c r="H255" s="8" t="s">
        <v>573</v>
      </c>
      <c r="I255" s="2">
        <f t="shared" ref="I255:P255" si="258">IF(ISBLANK(A255)=TRUE,0,1)</f>
        <v>1</v>
      </c>
      <c r="J255" s="2">
        <f t="shared" si="258"/>
        <v>1</v>
      </c>
      <c r="K255" s="2">
        <f t="shared" si="258"/>
        <v>1</v>
      </c>
      <c r="L255" s="2">
        <f t="shared" si="258"/>
        <v>1</v>
      </c>
      <c r="M255" s="2">
        <f t="shared" si="258"/>
        <v>1</v>
      </c>
      <c r="N255" s="2">
        <f t="shared" si="258"/>
        <v>1</v>
      </c>
      <c r="O255" s="2">
        <f t="shared" si="258"/>
        <v>1</v>
      </c>
      <c r="P255" s="2">
        <f t="shared" si="258"/>
        <v>1</v>
      </c>
      <c r="Q255" s="2">
        <f t="shared" si="3"/>
        <v>1</v>
      </c>
      <c r="R255" s="2">
        <f>IF(ISERROR(VLOOKUP(A255, 'Project Reference'!A:A, 1, FALSE)), 0, 1)</f>
        <v>1</v>
      </c>
      <c r="S255" s="2">
        <f>IFERROR(__xludf.DUMMYFUNCTION("IF(AND(REGEXMATCH(D255, B255), REGEXMATCH(D255, C255)), 1, 0)"),1.0)</f>
        <v>1</v>
      </c>
      <c r="T255" s="2">
        <f t="shared" si="4"/>
        <v>1</v>
      </c>
      <c r="U255" s="2">
        <f t="shared" si="5"/>
        <v>1</v>
      </c>
      <c r="V255" s="2">
        <f t="shared" si="6"/>
        <v>1</v>
      </c>
    </row>
    <row r="256" ht="14.25" customHeight="1">
      <c r="A256" s="2" t="s">
        <v>262</v>
      </c>
      <c r="B256" s="2" t="s">
        <v>30</v>
      </c>
      <c r="C256" s="2" t="s">
        <v>31</v>
      </c>
      <c r="D256" s="8" t="s">
        <v>595</v>
      </c>
      <c r="E256" s="6">
        <v>45075.0</v>
      </c>
      <c r="F256" s="6">
        <v>45276.0</v>
      </c>
      <c r="G256" s="7">
        <v>3.277415006E9</v>
      </c>
      <c r="H256" s="2" t="s">
        <v>33</v>
      </c>
      <c r="I256" s="2">
        <f t="shared" ref="I256:P256" si="259">IF(ISBLANK(A256)=TRUE,0,1)</f>
        <v>1</v>
      </c>
      <c r="J256" s="2">
        <f t="shared" si="259"/>
        <v>1</v>
      </c>
      <c r="K256" s="2">
        <f t="shared" si="259"/>
        <v>1</v>
      </c>
      <c r="L256" s="2">
        <f t="shared" si="259"/>
        <v>1</v>
      </c>
      <c r="M256" s="2">
        <f t="shared" si="259"/>
        <v>1</v>
      </c>
      <c r="N256" s="2">
        <f t="shared" si="259"/>
        <v>1</v>
      </c>
      <c r="O256" s="2">
        <f t="shared" si="259"/>
        <v>1</v>
      </c>
      <c r="P256" s="2">
        <f t="shared" si="259"/>
        <v>1</v>
      </c>
      <c r="Q256" s="2">
        <f t="shared" si="3"/>
        <v>1</v>
      </c>
      <c r="R256" s="2">
        <f>IF(ISERROR(VLOOKUP(A256, 'Project Reference'!A:A, 1, FALSE)), 0, 1)</f>
        <v>1</v>
      </c>
      <c r="S256" s="2">
        <f>IFERROR(__xludf.DUMMYFUNCTION("IF(AND(REGEXMATCH(D256, B256), REGEXMATCH(D256, C256)), 1, 0)"),1.0)</f>
        <v>1</v>
      </c>
      <c r="T256" s="2">
        <f t="shared" si="4"/>
        <v>1</v>
      </c>
      <c r="U256" s="2">
        <f t="shared" si="5"/>
        <v>1</v>
      </c>
      <c r="V256" s="2">
        <f t="shared" si="6"/>
        <v>1</v>
      </c>
    </row>
    <row r="257" ht="14.25" customHeight="1">
      <c r="A257" s="2" t="s">
        <v>263</v>
      </c>
      <c r="B257" s="2" t="s">
        <v>35</v>
      </c>
      <c r="C257" s="2" t="s">
        <v>31</v>
      </c>
      <c r="D257" s="2" t="s">
        <v>91</v>
      </c>
      <c r="E257" s="6">
        <v>45076.0</v>
      </c>
      <c r="F257" s="6">
        <v>45355.0</v>
      </c>
      <c r="G257" s="7">
        <v>6.36468503E8</v>
      </c>
      <c r="H257" s="8" t="s">
        <v>581</v>
      </c>
      <c r="I257" s="2">
        <f t="shared" ref="I257:P257" si="260">IF(ISBLANK(A257)=TRUE,0,1)</f>
        <v>1</v>
      </c>
      <c r="J257" s="2">
        <f t="shared" si="260"/>
        <v>1</v>
      </c>
      <c r="K257" s="2">
        <f t="shared" si="260"/>
        <v>1</v>
      </c>
      <c r="L257" s="2">
        <f t="shared" si="260"/>
        <v>1</v>
      </c>
      <c r="M257" s="2">
        <f t="shared" si="260"/>
        <v>1</v>
      </c>
      <c r="N257" s="2">
        <f t="shared" si="260"/>
        <v>1</v>
      </c>
      <c r="O257" s="2">
        <f t="shared" si="260"/>
        <v>1</v>
      </c>
      <c r="P257" s="2">
        <f t="shared" si="260"/>
        <v>1</v>
      </c>
      <c r="Q257" s="2">
        <f t="shared" si="3"/>
        <v>1</v>
      </c>
      <c r="R257" s="2">
        <f>IF(ISERROR(VLOOKUP(A257, 'Project Reference'!A:A, 1, FALSE)), 0, 1)</f>
        <v>1</v>
      </c>
      <c r="S257" s="2">
        <f>IFERROR(__xludf.DUMMYFUNCTION("IF(AND(REGEXMATCH(D257, B257), REGEXMATCH(D257, C257)), 1, 0)"),1.0)</f>
        <v>1</v>
      </c>
      <c r="T257" s="2">
        <f t="shared" si="4"/>
        <v>1</v>
      </c>
      <c r="U257" s="2">
        <f t="shared" si="5"/>
        <v>1</v>
      </c>
      <c r="V257" s="2">
        <f t="shared" si="6"/>
        <v>1</v>
      </c>
    </row>
    <row r="258" ht="14.25" customHeight="1">
      <c r="A258" s="2" t="s">
        <v>267</v>
      </c>
      <c r="B258" s="2" t="s">
        <v>30</v>
      </c>
      <c r="C258" s="2" t="s">
        <v>39</v>
      </c>
      <c r="D258" s="8" t="s">
        <v>590</v>
      </c>
      <c r="E258" s="6">
        <v>45080.0</v>
      </c>
      <c r="F258" s="6">
        <v>45423.0</v>
      </c>
      <c r="G258" s="7">
        <v>6.557069994E9</v>
      </c>
      <c r="H258" s="2" t="s">
        <v>33</v>
      </c>
      <c r="I258" s="2">
        <f t="shared" ref="I258:P258" si="261">IF(ISBLANK(A258)=TRUE,0,1)</f>
        <v>1</v>
      </c>
      <c r="J258" s="2">
        <f t="shared" si="261"/>
        <v>1</v>
      </c>
      <c r="K258" s="2">
        <f t="shared" si="261"/>
        <v>1</v>
      </c>
      <c r="L258" s="2">
        <f t="shared" si="261"/>
        <v>1</v>
      </c>
      <c r="M258" s="2">
        <f t="shared" si="261"/>
        <v>1</v>
      </c>
      <c r="N258" s="2">
        <f t="shared" si="261"/>
        <v>1</v>
      </c>
      <c r="O258" s="2">
        <f t="shared" si="261"/>
        <v>1</v>
      </c>
      <c r="P258" s="2">
        <f t="shared" si="261"/>
        <v>1</v>
      </c>
      <c r="Q258" s="2">
        <f t="shared" si="3"/>
        <v>1</v>
      </c>
      <c r="R258" s="2">
        <f>IF(ISERROR(VLOOKUP(A258, 'Project Reference'!A:A, 1, FALSE)), 0, 1)</f>
        <v>1</v>
      </c>
      <c r="S258" s="2">
        <f>IFERROR(__xludf.DUMMYFUNCTION("IF(AND(REGEXMATCH(D258, B258), REGEXMATCH(D258, C258)), 1, 0)"),1.0)</f>
        <v>1</v>
      </c>
      <c r="T258" s="2">
        <f t="shared" si="4"/>
        <v>1</v>
      </c>
      <c r="U258" s="2">
        <f t="shared" si="5"/>
        <v>1</v>
      </c>
      <c r="V258" s="2">
        <f t="shared" si="6"/>
        <v>1</v>
      </c>
    </row>
    <row r="259" ht="14.25" customHeight="1">
      <c r="A259" s="2" t="s">
        <v>268</v>
      </c>
      <c r="B259" s="2" t="s">
        <v>60</v>
      </c>
      <c r="C259" s="2" t="s">
        <v>19</v>
      </c>
      <c r="D259" s="8" t="s">
        <v>616</v>
      </c>
      <c r="E259" s="6">
        <v>45081.0</v>
      </c>
      <c r="F259" s="6">
        <v>45393.0</v>
      </c>
      <c r="G259" s="7">
        <v>4.526013687E9</v>
      </c>
      <c r="H259" s="2" t="s">
        <v>67</v>
      </c>
      <c r="I259" s="2">
        <f t="shared" ref="I259:P259" si="262">IF(ISBLANK(A259)=TRUE,0,1)</f>
        <v>1</v>
      </c>
      <c r="J259" s="2">
        <f t="shared" si="262"/>
        <v>1</v>
      </c>
      <c r="K259" s="2">
        <f t="shared" si="262"/>
        <v>1</v>
      </c>
      <c r="L259" s="2">
        <f t="shared" si="262"/>
        <v>1</v>
      </c>
      <c r="M259" s="2">
        <f t="shared" si="262"/>
        <v>1</v>
      </c>
      <c r="N259" s="2">
        <f t="shared" si="262"/>
        <v>1</v>
      </c>
      <c r="O259" s="2">
        <f t="shared" si="262"/>
        <v>1</v>
      </c>
      <c r="P259" s="2">
        <f t="shared" si="262"/>
        <v>1</v>
      </c>
      <c r="Q259" s="2">
        <f t="shared" si="3"/>
        <v>1</v>
      </c>
      <c r="R259" s="2">
        <f>IF(ISERROR(VLOOKUP(A259, 'Project Reference'!A:A, 1, FALSE)), 0, 1)</f>
        <v>1</v>
      </c>
      <c r="S259" s="2">
        <f>IFERROR(__xludf.DUMMYFUNCTION("IF(AND(REGEXMATCH(D259, B259), REGEXMATCH(D259, C259)), 1, 0)"),1.0)</f>
        <v>1</v>
      </c>
      <c r="T259" s="2">
        <f t="shared" si="4"/>
        <v>1</v>
      </c>
      <c r="U259" s="2">
        <f t="shared" si="5"/>
        <v>1</v>
      </c>
      <c r="V259" s="2">
        <f t="shared" si="6"/>
        <v>1</v>
      </c>
    </row>
    <row r="260" ht="14.25" customHeight="1">
      <c r="A260" s="2" t="s">
        <v>269</v>
      </c>
      <c r="B260" s="2" t="s">
        <v>60</v>
      </c>
      <c r="C260" s="2" t="s">
        <v>36</v>
      </c>
      <c r="D260" s="8" t="s">
        <v>597</v>
      </c>
      <c r="E260" s="6">
        <v>45081.0</v>
      </c>
      <c r="F260" s="6">
        <v>45336.0</v>
      </c>
      <c r="G260" s="7">
        <v>1.746655E9</v>
      </c>
      <c r="H260" s="2" t="s">
        <v>44</v>
      </c>
      <c r="I260" s="2">
        <f t="shared" ref="I260:P260" si="263">IF(ISBLANK(A260)=TRUE,0,1)</f>
        <v>1</v>
      </c>
      <c r="J260" s="2">
        <f t="shared" si="263"/>
        <v>1</v>
      </c>
      <c r="K260" s="2">
        <f t="shared" si="263"/>
        <v>1</v>
      </c>
      <c r="L260" s="2">
        <f t="shared" si="263"/>
        <v>1</v>
      </c>
      <c r="M260" s="2">
        <f t="shared" si="263"/>
        <v>1</v>
      </c>
      <c r="N260" s="2">
        <f t="shared" si="263"/>
        <v>1</v>
      </c>
      <c r="O260" s="2">
        <f t="shared" si="263"/>
        <v>1</v>
      </c>
      <c r="P260" s="2">
        <f t="shared" si="263"/>
        <v>1</v>
      </c>
      <c r="Q260" s="2">
        <f t="shared" si="3"/>
        <v>1</v>
      </c>
      <c r="R260" s="2">
        <f>IF(ISERROR(VLOOKUP(A260, 'Project Reference'!A:A, 1, FALSE)), 0, 1)</f>
        <v>1</v>
      </c>
      <c r="S260" s="2">
        <f>IFERROR(__xludf.DUMMYFUNCTION("IF(AND(REGEXMATCH(D260, B260), REGEXMATCH(D260, C260)), 1, 0)"),1.0)</f>
        <v>1</v>
      </c>
      <c r="T260" s="2">
        <f t="shared" si="4"/>
        <v>1</v>
      </c>
      <c r="U260" s="2">
        <f t="shared" si="5"/>
        <v>1</v>
      </c>
      <c r="V260" s="2">
        <f t="shared" si="6"/>
        <v>1</v>
      </c>
    </row>
    <row r="261" ht="14.25" customHeight="1">
      <c r="A261" s="2" t="s">
        <v>270</v>
      </c>
      <c r="B261" s="2" t="s">
        <v>30</v>
      </c>
      <c r="C261" s="2" t="s">
        <v>42</v>
      </c>
      <c r="D261" s="8" t="s">
        <v>632</v>
      </c>
      <c r="E261" s="6">
        <v>45081.0</v>
      </c>
      <c r="F261" s="6">
        <v>45151.0</v>
      </c>
      <c r="G261" s="7">
        <v>8.46453122E8</v>
      </c>
      <c r="H261" s="2" t="s">
        <v>50</v>
      </c>
      <c r="I261" s="2">
        <f t="shared" ref="I261:P261" si="264">IF(ISBLANK(A261)=TRUE,0,1)</f>
        <v>1</v>
      </c>
      <c r="J261" s="2">
        <f t="shared" si="264"/>
        <v>1</v>
      </c>
      <c r="K261" s="2">
        <f t="shared" si="264"/>
        <v>1</v>
      </c>
      <c r="L261" s="2">
        <f t="shared" si="264"/>
        <v>1</v>
      </c>
      <c r="M261" s="2">
        <f t="shared" si="264"/>
        <v>1</v>
      </c>
      <c r="N261" s="2">
        <f t="shared" si="264"/>
        <v>1</v>
      </c>
      <c r="O261" s="2">
        <f t="shared" si="264"/>
        <v>1</v>
      </c>
      <c r="P261" s="2">
        <f t="shared" si="264"/>
        <v>1</v>
      </c>
      <c r="Q261" s="2">
        <f t="shared" si="3"/>
        <v>1</v>
      </c>
      <c r="R261" s="2">
        <f>IF(ISERROR(VLOOKUP(A261, 'Project Reference'!A:A, 1, FALSE)), 0, 1)</f>
        <v>1</v>
      </c>
      <c r="S261" s="2">
        <f>IFERROR(__xludf.DUMMYFUNCTION("IF(AND(REGEXMATCH(D261, B261), REGEXMATCH(D261, C261)), 1, 0)"),1.0)</f>
        <v>1</v>
      </c>
      <c r="T261" s="2">
        <f t="shared" si="4"/>
        <v>1</v>
      </c>
      <c r="U261" s="2">
        <f t="shared" si="5"/>
        <v>1</v>
      </c>
      <c r="V261" s="2">
        <f t="shared" si="6"/>
        <v>1</v>
      </c>
    </row>
    <row r="262" ht="14.25" customHeight="1">
      <c r="A262" s="2" t="s">
        <v>271</v>
      </c>
      <c r="B262" s="2" t="s">
        <v>12</v>
      </c>
      <c r="C262" s="2" t="s">
        <v>19</v>
      </c>
      <c r="D262" s="8" t="s">
        <v>631</v>
      </c>
      <c r="E262" s="6">
        <v>45081.0</v>
      </c>
      <c r="F262" s="6">
        <v>45142.0</v>
      </c>
      <c r="G262" s="7">
        <v>2.03965243E8</v>
      </c>
      <c r="H262" s="2" t="s">
        <v>50</v>
      </c>
      <c r="I262" s="2">
        <f t="shared" ref="I262:P262" si="265">IF(ISBLANK(A262)=TRUE,0,1)</f>
        <v>1</v>
      </c>
      <c r="J262" s="2">
        <f t="shared" si="265"/>
        <v>1</v>
      </c>
      <c r="K262" s="2">
        <f t="shared" si="265"/>
        <v>1</v>
      </c>
      <c r="L262" s="2">
        <f t="shared" si="265"/>
        <v>1</v>
      </c>
      <c r="M262" s="2">
        <f t="shared" si="265"/>
        <v>1</v>
      </c>
      <c r="N262" s="2">
        <f t="shared" si="265"/>
        <v>1</v>
      </c>
      <c r="O262" s="2">
        <f t="shared" si="265"/>
        <v>1</v>
      </c>
      <c r="P262" s="2">
        <f t="shared" si="265"/>
        <v>1</v>
      </c>
      <c r="Q262" s="2">
        <f t="shared" si="3"/>
        <v>1</v>
      </c>
      <c r="R262" s="2">
        <f>IF(ISERROR(VLOOKUP(A262, 'Project Reference'!A:A, 1, FALSE)), 0, 1)</f>
        <v>1</v>
      </c>
      <c r="S262" s="2">
        <f>IFERROR(__xludf.DUMMYFUNCTION("IF(AND(REGEXMATCH(D262, B262), REGEXMATCH(D262, C262)), 1, 0)"),1.0)</f>
        <v>1</v>
      </c>
      <c r="T262" s="2">
        <f t="shared" si="4"/>
        <v>1</v>
      </c>
      <c r="U262" s="2">
        <f t="shared" si="5"/>
        <v>1</v>
      </c>
      <c r="V262" s="2">
        <f t="shared" si="6"/>
        <v>1</v>
      </c>
    </row>
    <row r="263" ht="14.25" customHeight="1">
      <c r="A263" s="2" t="s">
        <v>273</v>
      </c>
      <c r="B263" s="2" t="s">
        <v>60</v>
      </c>
      <c r="C263" s="2" t="s">
        <v>19</v>
      </c>
      <c r="D263" s="8" t="s">
        <v>616</v>
      </c>
      <c r="E263" s="6">
        <v>45082.0</v>
      </c>
      <c r="F263" s="6">
        <v>45410.0</v>
      </c>
      <c r="G263" s="7">
        <v>4.915550556E9</v>
      </c>
      <c r="H263" s="2" t="s">
        <v>21</v>
      </c>
      <c r="I263" s="2">
        <f t="shared" ref="I263:P263" si="266">IF(ISBLANK(A263)=TRUE,0,1)</f>
        <v>1</v>
      </c>
      <c r="J263" s="2">
        <f t="shared" si="266"/>
        <v>1</v>
      </c>
      <c r="K263" s="2">
        <f t="shared" si="266"/>
        <v>1</v>
      </c>
      <c r="L263" s="2">
        <f t="shared" si="266"/>
        <v>1</v>
      </c>
      <c r="M263" s="2">
        <f t="shared" si="266"/>
        <v>1</v>
      </c>
      <c r="N263" s="2">
        <f t="shared" si="266"/>
        <v>1</v>
      </c>
      <c r="O263" s="2">
        <f t="shared" si="266"/>
        <v>1</v>
      </c>
      <c r="P263" s="2">
        <f t="shared" si="266"/>
        <v>1</v>
      </c>
      <c r="Q263" s="2">
        <f t="shared" si="3"/>
        <v>1</v>
      </c>
      <c r="R263" s="2">
        <f>IF(ISERROR(VLOOKUP(A263, 'Project Reference'!A:A, 1, FALSE)), 0, 1)</f>
        <v>1</v>
      </c>
      <c r="S263" s="2">
        <f>IFERROR(__xludf.DUMMYFUNCTION("IF(AND(REGEXMATCH(D263, B263), REGEXMATCH(D263, C263)), 1, 0)"),1.0)</f>
        <v>1</v>
      </c>
      <c r="T263" s="2">
        <f t="shared" si="4"/>
        <v>1</v>
      </c>
      <c r="U263" s="2">
        <f t="shared" si="5"/>
        <v>1</v>
      </c>
      <c r="V263" s="2">
        <f t="shared" si="6"/>
        <v>1</v>
      </c>
    </row>
    <row r="264" ht="14.25" customHeight="1">
      <c r="A264" s="2" t="s">
        <v>274</v>
      </c>
      <c r="B264" s="2" t="s">
        <v>35</v>
      </c>
      <c r="C264" s="2" t="s">
        <v>13</v>
      </c>
      <c r="D264" s="2" t="s">
        <v>78</v>
      </c>
      <c r="E264" s="6">
        <v>45084.0</v>
      </c>
      <c r="F264" s="6">
        <v>45303.0</v>
      </c>
      <c r="G264" s="7">
        <v>4.90931117E8</v>
      </c>
      <c r="H264" s="2" t="s">
        <v>44</v>
      </c>
      <c r="I264" s="2">
        <f t="shared" ref="I264:P264" si="267">IF(ISBLANK(A264)=TRUE,0,1)</f>
        <v>1</v>
      </c>
      <c r="J264" s="2">
        <f t="shared" si="267"/>
        <v>1</v>
      </c>
      <c r="K264" s="2">
        <f t="shared" si="267"/>
        <v>1</v>
      </c>
      <c r="L264" s="2">
        <f t="shared" si="267"/>
        <v>1</v>
      </c>
      <c r="M264" s="2">
        <f t="shared" si="267"/>
        <v>1</v>
      </c>
      <c r="N264" s="2">
        <f t="shared" si="267"/>
        <v>1</v>
      </c>
      <c r="O264" s="2">
        <f t="shared" si="267"/>
        <v>1</v>
      </c>
      <c r="P264" s="2">
        <f t="shared" si="267"/>
        <v>1</v>
      </c>
      <c r="Q264" s="2">
        <f t="shared" si="3"/>
        <v>1</v>
      </c>
      <c r="R264" s="2">
        <f>IF(ISERROR(VLOOKUP(A264, 'Project Reference'!A:A, 1, FALSE)), 0, 1)</f>
        <v>1</v>
      </c>
      <c r="S264" s="2">
        <f>IFERROR(__xludf.DUMMYFUNCTION("IF(AND(REGEXMATCH(D264, B264), REGEXMATCH(D264, C264)), 1, 0)"),1.0)</f>
        <v>1</v>
      </c>
      <c r="T264" s="2">
        <f t="shared" si="4"/>
        <v>1</v>
      </c>
      <c r="U264" s="2">
        <f t="shared" si="5"/>
        <v>1</v>
      </c>
      <c r="V264" s="2">
        <f t="shared" si="6"/>
        <v>1</v>
      </c>
    </row>
    <row r="265" ht="14.25" customHeight="1">
      <c r="A265" s="2" t="s">
        <v>275</v>
      </c>
      <c r="B265" s="2" t="s">
        <v>35</v>
      </c>
      <c r="C265" s="2" t="s">
        <v>36</v>
      </c>
      <c r="D265" s="2" t="s">
        <v>37</v>
      </c>
      <c r="E265" s="6">
        <v>45084.0</v>
      </c>
      <c r="F265" s="6">
        <v>45379.0</v>
      </c>
      <c r="G265" s="7">
        <v>3.45656676E8</v>
      </c>
      <c r="H265" s="2" t="s">
        <v>44</v>
      </c>
      <c r="I265" s="2">
        <f t="shared" ref="I265:P265" si="268">IF(ISBLANK(A265)=TRUE,0,1)</f>
        <v>1</v>
      </c>
      <c r="J265" s="2">
        <f t="shared" si="268"/>
        <v>1</v>
      </c>
      <c r="K265" s="2">
        <f t="shared" si="268"/>
        <v>1</v>
      </c>
      <c r="L265" s="2">
        <f t="shared" si="268"/>
        <v>1</v>
      </c>
      <c r="M265" s="2">
        <f t="shared" si="268"/>
        <v>1</v>
      </c>
      <c r="N265" s="2">
        <f t="shared" si="268"/>
        <v>1</v>
      </c>
      <c r="O265" s="2">
        <f t="shared" si="268"/>
        <v>1</v>
      </c>
      <c r="P265" s="2">
        <f t="shared" si="268"/>
        <v>1</v>
      </c>
      <c r="Q265" s="2">
        <f t="shared" si="3"/>
        <v>1</v>
      </c>
      <c r="R265" s="2">
        <f>IF(ISERROR(VLOOKUP(A265, 'Project Reference'!A:A, 1, FALSE)), 0, 1)</f>
        <v>1</v>
      </c>
      <c r="S265" s="2">
        <f>IFERROR(__xludf.DUMMYFUNCTION("IF(AND(REGEXMATCH(D265, B265), REGEXMATCH(D265, C265)), 1, 0)"),1.0)</f>
        <v>1</v>
      </c>
      <c r="T265" s="2">
        <f t="shared" si="4"/>
        <v>1</v>
      </c>
      <c r="U265" s="2">
        <f t="shared" si="5"/>
        <v>1</v>
      </c>
      <c r="V265" s="2">
        <f t="shared" si="6"/>
        <v>1</v>
      </c>
    </row>
    <row r="266" ht="14.25" customHeight="1">
      <c r="A266" s="2" t="s">
        <v>276</v>
      </c>
      <c r="B266" s="2" t="s">
        <v>60</v>
      </c>
      <c r="C266" s="2" t="s">
        <v>31</v>
      </c>
      <c r="D266" s="8" t="s">
        <v>613</v>
      </c>
      <c r="E266" s="6">
        <v>45088.0</v>
      </c>
      <c r="F266" s="6">
        <v>45402.0</v>
      </c>
      <c r="G266" s="7">
        <v>2.994383941E9</v>
      </c>
      <c r="H266" s="2" t="s">
        <v>67</v>
      </c>
      <c r="I266" s="2">
        <f t="shared" ref="I266:P266" si="269">IF(ISBLANK(A266)=TRUE,0,1)</f>
        <v>1</v>
      </c>
      <c r="J266" s="2">
        <f t="shared" si="269"/>
        <v>1</v>
      </c>
      <c r="K266" s="2">
        <f t="shared" si="269"/>
        <v>1</v>
      </c>
      <c r="L266" s="2">
        <f t="shared" si="269"/>
        <v>1</v>
      </c>
      <c r="M266" s="2">
        <f t="shared" si="269"/>
        <v>1</v>
      </c>
      <c r="N266" s="2">
        <f t="shared" si="269"/>
        <v>1</v>
      </c>
      <c r="O266" s="2">
        <f t="shared" si="269"/>
        <v>1</v>
      </c>
      <c r="P266" s="2">
        <f t="shared" si="269"/>
        <v>1</v>
      </c>
      <c r="Q266" s="2">
        <f t="shared" si="3"/>
        <v>1</v>
      </c>
      <c r="R266" s="2">
        <f>IF(ISERROR(VLOOKUP(A266, 'Project Reference'!A:A, 1, FALSE)), 0, 1)</f>
        <v>1</v>
      </c>
      <c r="S266" s="2">
        <f>IFERROR(__xludf.DUMMYFUNCTION("IF(AND(REGEXMATCH(D266, B266), REGEXMATCH(D266, C266)), 1, 0)"),1.0)</f>
        <v>1</v>
      </c>
      <c r="T266" s="2">
        <f t="shared" si="4"/>
        <v>1</v>
      </c>
      <c r="U266" s="2">
        <f t="shared" si="5"/>
        <v>1</v>
      </c>
      <c r="V266" s="2">
        <f t="shared" si="6"/>
        <v>1</v>
      </c>
    </row>
    <row r="267" ht="14.25" customHeight="1">
      <c r="A267" s="2" t="s">
        <v>277</v>
      </c>
      <c r="B267" s="2" t="s">
        <v>18</v>
      </c>
      <c r="C267" s="2" t="s">
        <v>39</v>
      </c>
      <c r="D267" s="8" t="s">
        <v>577</v>
      </c>
      <c r="E267" s="6">
        <v>45088.0</v>
      </c>
      <c r="F267" s="6">
        <v>45259.0</v>
      </c>
      <c r="G267" s="7">
        <v>6.364217108E9</v>
      </c>
      <c r="H267" s="2" t="s">
        <v>50</v>
      </c>
      <c r="I267" s="2">
        <f t="shared" ref="I267:P267" si="270">IF(ISBLANK(A267)=TRUE,0,1)</f>
        <v>1</v>
      </c>
      <c r="J267" s="2">
        <f t="shared" si="270"/>
        <v>1</v>
      </c>
      <c r="K267" s="2">
        <f t="shared" si="270"/>
        <v>1</v>
      </c>
      <c r="L267" s="2">
        <f t="shared" si="270"/>
        <v>1</v>
      </c>
      <c r="M267" s="2">
        <f t="shared" si="270"/>
        <v>1</v>
      </c>
      <c r="N267" s="2">
        <f t="shared" si="270"/>
        <v>1</v>
      </c>
      <c r="O267" s="2">
        <f t="shared" si="270"/>
        <v>1</v>
      </c>
      <c r="P267" s="2">
        <f t="shared" si="270"/>
        <v>1</v>
      </c>
      <c r="Q267" s="2">
        <f t="shared" si="3"/>
        <v>1</v>
      </c>
      <c r="R267" s="2">
        <f>IF(ISERROR(VLOOKUP(A267, 'Project Reference'!A:A, 1, FALSE)), 0, 1)</f>
        <v>1</v>
      </c>
      <c r="S267" s="2">
        <f>IFERROR(__xludf.DUMMYFUNCTION("IF(AND(REGEXMATCH(D267, B267), REGEXMATCH(D267, C267)), 1, 0)"),1.0)</f>
        <v>1</v>
      </c>
      <c r="T267" s="2">
        <f t="shared" si="4"/>
        <v>1</v>
      </c>
      <c r="U267" s="2">
        <f t="shared" si="5"/>
        <v>1</v>
      </c>
      <c r="V267" s="2">
        <f t="shared" si="6"/>
        <v>1</v>
      </c>
    </row>
    <row r="268" ht="14.25" customHeight="1">
      <c r="A268" s="2" t="s">
        <v>278</v>
      </c>
      <c r="B268" s="2" t="s">
        <v>30</v>
      </c>
      <c r="C268" s="2" t="s">
        <v>31</v>
      </c>
      <c r="D268" s="8" t="s">
        <v>585</v>
      </c>
      <c r="E268" s="6">
        <v>45090.0</v>
      </c>
      <c r="F268" s="6">
        <v>45168.0</v>
      </c>
      <c r="G268" s="7">
        <v>3.757150419E9</v>
      </c>
      <c r="H268" s="2" t="s">
        <v>21</v>
      </c>
      <c r="I268" s="2">
        <f t="shared" ref="I268:P268" si="271">IF(ISBLANK(A268)=TRUE,0,1)</f>
        <v>1</v>
      </c>
      <c r="J268" s="2">
        <f t="shared" si="271"/>
        <v>1</v>
      </c>
      <c r="K268" s="2">
        <f t="shared" si="271"/>
        <v>1</v>
      </c>
      <c r="L268" s="2">
        <f t="shared" si="271"/>
        <v>1</v>
      </c>
      <c r="M268" s="2">
        <f t="shared" si="271"/>
        <v>1</v>
      </c>
      <c r="N268" s="2">
        <f t="shared" si="271"/>
        <v>1</v>
      </c>
      <c r="O268" s="2">
        <f t="shared" si="271"/>
        <v>1</v>
      </c>
      <c r="P268" s="2">
        <f t="shared" si="271"/>
        <v>1</v>
      </c>
      <c r="Q268" s="2">
        <f t="shared" si="3"/>
        <v>1</v>
      </c>
      <c r="R268" s="2">
        <f>IF(ISERROR(VLOOKUP(A268, 'Project Reference'!A:A, 1, FALSE)), 0, 1)</f>
        <v>1</v>
      </c>
      <c r="S268" s="2">
        <f>IFERROR(__xludf.DUMMYFUNCTION("IF(AND(REGEXMATCH(D268, B268), REGEXMATCH(D268, C268)), 1, 0)"),1.0)</f>
        <v>1</v>
      </c>
      <c r="T268" s="2">
        <f t="shared" si="4"/>
        <v>1</v>
      </c>
      <c r="U268" s="2">
        <f t="shared" si="5"/>
        <v>1</v>
      </c>
      <c r="V268" s="2">
        <f t="shared" si="6"/>
        <v>1</v>
      </c>
    </row>
    <row r="269" ht="14.25" customHeight="1">
      <c r="A269" s="2" t="s">
        <v>279</v>
      </c>
      <c r="B269" s="2" t="s">
        <v>30</v>
      </c>
      <c r="C269" s="2" t="s">
        <v>42</v>
      </c>
      <c r="D269" s="8" t="s">
        <v>632</v>
      </c>
      <c r="E269" s="6">
        <v>45090.0</v>
      </c>
      <c r="F269" s="6">
        <v>45220.0</v>
      </c>
      <c r="G269" s="7">
        <v>4.655083177E9</v>
      </c>
      <c r="H269" s="2" t="s">
        <v>67</v>
      </c>
      <c r="I269" s="2">
        <f t="shared" ref="I269:P269" si="272">IF(ISBLANK(A269)=TRUE,0,1)</f>
        <v>1</v>
      </c>
      <c r="J269" s="2">
        <f t="shared" si="272"/>
        <v>1</v>
      </c>
      <c r="K269" s="2">
        <f t="shared" si="272"/>
        <v>1</v>
      </c>
      <c r="L269" s="2">
        <f t="shared" si="272"/>
        <v>1</v>
      </c>
      <c r="M269" s="2">
        <f t="shared" si="272"/>
        <v>1</v>
      </c>
      <c r="N269" s="2">
        <f t="shared" si="272"/>
        <v>1</v>
      </c>
      <c r="O269" s="2">
        <f t="shared" si="272"/>
        <v>1</v>
      </c>
      <c r="P269" s="2">
        <f t="shared" si="272"/>
        <v>1</v>
      </c>
      <c r="Q269" s="2">
        <f t="shared" si="3"/>
        <v>1</v>
      </c>
      <c r="R269" s="2">
        <f>IF(ISERROR(VLOOKUP(A269, 'Project Reference'!A:A, 1, FALSE)), 0, 1)</f>
        <v>1</v>
      </c>
      <c r="S269" s="2">
        <f>IFERROR(__xludf.DUMMYFUNCTION("IF(AND(REGEXMATCH(D269, B269), REGEXMATCH(D269, C269)), 1, 0)"),1.0)</f>
        <v>1</v>
      </c>
      <c r="T269" s="2">
        <f t="shared" si="4"/>
        <v>1</v>
      </c>
      <c r="U269" s="2">
        <f t="shared" si="5"/>
        <v>1</v>
      </c>
      <c r="V269" s="2">
        <f t="shared" si="6"/>
        <v>1</v>
      </c>
    </row>
    <row r="270" ht="14.25" customHeight="1">
      <c r="A270" s="2" t="s">
        <v>280</v>
      </c>
      <c r="B270" s="2" t="s">
        <v>35</v>
      </c>
      <c r="C270" s="2" t="s">
        <v>36</v>
      </c>
      <c r="D270" s="2" t="s">
        <v>37</v>
      </c>
      <c r="E270" s="6">
        <v>45091.0</v>
      </c>
      <c r="F270" s="6">
        <v>45091.0</v>
      </c>
      <c r="G270" s="7">
        <v>6.12637613E8</v>
      </c>
      <c r="H270" s="2" t="s">
        <v>67</v>
      </c>
      <c r="I270" s="2">
        <f t="shared" ref="I270:P270" si="273">IF(ISBLANK(A270)=TRUE,0,1)</f>
        <v>1</v>
      </c>
      <c r="J270" s="2">
        <f t="shared" si="273"/>
        <v>1</v>
      </c>
      <c r="K270" s="2">
        <f t="shared" si="273"/>
        <v>1</v>
      </c>
      <c r="L270" s="2">
        <f t="shared" si="273"/>
        <v>1</v>
      </c>
      <c r="M270" s="2">
        <f t="shared" si="273"/>
        <v>1</v>
      </c>
      <c r="N270" s="2">
        <f t="shared" si="273"/>
        <v>1</v>
      </c>
      <c r="O270" s="2">
        <f t="shared" si="273"/>
        <v>1</v>
      </c>
      <c r="P270" s="2">
        <f t="shared" si="273"/>
        <v>1</v>
      </c>
      <c r="Q270" s="2">
        <f t="shared" si="3"/>
        <v>1</v>
      </c>
      <c r="R270" s="2">
        <f>IF(ISERROR(VLOOKUP(A270, 'Project Reference'!A:A, 1, FALSE)), 0, 1)</f>
        <v>1</v>
      </c>
      <c r="S270" s="2">
        <f>IFERROR(__xludf.DUMMYFUNCTION("IF(AND(REGEXMATCH(D270, B270), REGEXMATCH(D270, C270)), 1, 0)"),1.0)</f>
        <v>1</v>
      </c>
      <c r="T270" s="2">
        <f t="shared" si="4"/>
        <v>1</v>
      </c>
      <c r="U270" s="2">
        <f t="shared" si="5"/>
        <v>0</v>
      </c>
      <c r="V270" s="2">
        <f t="shared" si="6"/>
        <v>1</v>
      </c>
    </row>
    <row r="271" ht="14.25" customHeight="1">
      <c r="A271" s="2" t="s">
        <v>281</v>
      </c>
      <c r="B271" s="2" t="s">
        <v>30</v>
      </c>
      <c r="C271" s="2" t="s">
        <v>36</v>
      </c>
      <c r="D271" s="8" t="s">
        <v>639</v>
      </c>
      <c r="E271" s="6">
        <v>45093.0</v>
      </c>
      <c r="F271" s="6">
        <v>45425.0</v>
      </c>
      <c r="G271" s="7">
        <v>7.65288058E8</v>
      </c>
      <c r="H271" s="2" t="s">
        <v>44</v>
      </c>
      <c r="I271" s="2">
        <f t="shared" ref="I271:P271" si="274">IF(ISBLANK(A271)=TRUE,0,1)</f>
        <v>1</v>
      </c>
      <c r="J271" s="2">
        <f t="shared" si="274"/>
        <v>1</v>
      </c>
      <c r="K271" s="2">
        <f t="shared" si="274"/>
        <v>1</v>
      </c>
      <c r="L271" s="2">
        <f t="shared" si="274"/>
        <v>1</v>
      </c>
      <c r="M271" s="2">
        <f t="shared" si="274"/>
        <v>1</v>
      </c>
      <c r="N271" s="2">
        <f t="shared" si="274"/>
        <v>1</v>
      </c>
      <c r="O271" s="2">
        <f t="shared" si="274"/>
        <v>1</v>
      </c>
      <c r="P271" s="2">
        <f t="shared" si="274"/>
        <v>1</v>
      </c>
      <c r="Q271" s="2">
        <f t="shared" si="3"/>
        <v>1</v>
      </c>
      <c r="R271" s="2">
        <f>IF(ISERROR(VLOOKUP(A271, 'Project Reference'!A:A, 1, FALSE)), 0, 1)</f>
        <v>1</v>
      </c>
      <c r="S271" s="2">
        <f>IFERROR(__xludf.DUMMYFUNCTION("IF(AND(REGEXMATCH(D271, B271), REGEXMATCH(D271, C271)), 1, 0)"),1.0)</f>
        <v>1</v>
      </c>
      <c r="T271" s="2">
        <f t="shared" si="4"/>
        <v>1</v>
      </c>
      <c r="U271" s="2">
        <f t="shared" si="5"/>
        <v>1</v>
      </c>
      <c r="V271" s="2">
        <f t="shared" si="6"/>
        <v>1</v>
      </c>
    </row>
    <row r="272" ht="14.25" customHeight="1">
      <c r="A272" s="2" t="s">
        <v>282</v>
      </c>
      <c r="B272" s="2" t="s">
        <v>12</v>
      </c>
      <c r="C272" s="2" t="s">
        <v>24</v>
      </c>
      <c r="D272" s="8" t="s">
        <v>610</v>
      </c>
      <c r="E272" s="6">
        <v>45093.0</v>
      </c>
      <c r="F272" s="6">
        <v>45337.0</v>
      </c>
      <c r="G272" s="7">
        <v>9.96933795E8</v>
      </c>
      <c r="H272" s="2" t="s">
        <v>50</v>
      </c>
      <c r="I272" s="2">
        <f t="shared" ref="I272:P272" si="275">IF(ISBLANK(A272)=TRUE,0,1)</f>
        <v>1</v>
      </c>
      <c r="J272" s="2">
        <f t="shared" si="275"/>
        <v>1</v>
      </c>
      <c r="K272" s="2">
        <f t="shared" si="275"/>
        <v>1</v>
      </c>
      <c r="L272" s="2">
        <f t="shared" si="275"/>
        <v>1</v>
      </c>
      <c r="M272" s="2">
        <f t="shared" si="275"/>
        <v>1</v>
      </c>
      <c r="N272" s="2">
        <f t="shared" si="275"/>
        <v>1</v>
      </c>
      <c r="O272" s="2">
        <f t="shared" si="275"/>
        <v>1</v>
      </c>
      <c r="P272" s="2">
        <f t="shared" si="275"/>
        <v>1</v>
      </c>
      <c r="Q272" s="2">
        <f t="shared" si="3"/>
        <v>1</v>
      </c>
      <c r="R272" s="2">
        <f>IF(ISERROR(VLOOKUP(A272, 'Project Reference'!A:A, 1, FALSE)), 0, 1)</f>
        <v>1</v>
      </c>
      <c r="S272" s="2">
        <f>IFERROR(__xludf.DUMMYFUNCTION("IF(AND(REGEXMATCH(D272, B272), REGEXMATCH(D272, C272)), 1, 0)"),1.0)</f>
        <v>1</v>
      </c>
      <c r="T272" s="2">
        <f t="shared" si="4"/>
        <v>1</v>
      </c>
      <c r="U272" s="2">
        <f t="shared" si="5"/>
        <v>1</v>
      </c>
      <c r="V272" s="2">
        <f t="shared" si="6"/>
        <v>1</v>
      </c>
    </row>
    <row r="273" ht="14.25" customHeight="1">
      <c r="A273" s="2" t="s">
        <v>284</v>
      </c>
      <c r="B273" s="2" t="s">
        <v>30</v>
      </c>
      <c r="C273" s="2" t="s">
        <v>31</v>
      </c>
      <c r="D273" s="8" t="s">
        <v>595</v>
      </c>
      <c r="E273" s="6">
        <v>45093.0</v>
      </c>
      <c r="F273" s="6">
        <v>45383.0</v>
      </c>
      <c r="G273" s="7">
        <v>6.951220052E9</v>
      </c>
      <c r="H273" s="2" t="s">
        <v>44</v>
      </c>
      <c r="I273" s="2">
        <f t="shared" ref="I273:P273" si="276">IF(ISBLANK(A273)=TRUE,0,1)</f>
        <v>1</v>
      </c>
      <c r="J273" s="2">
        <f t="shared" si="276"/>
        <v>1</v>
      </c>
      <c r="K273" s="2">
        <f t="shared" si="276"/>
        <v>1</v>
      </c>
      <c r="L273" s="2">
        <f t="shared" si="276"/>
        <v>1</v>
      </c>
      <c r="M273" s="2">
        <f t="shared" si="276"/>
        <v>1</v>
      </c>
      <c r="N273" s="2">
        <f t="shared" si="276"/>
        <v>1</v>
      </c>
      <c r="O273" s="2">
        <f t="shared" si="276"/>
        <v>1</v>
      </c>
      <c r="P273" s="2">
        <f t="shared" si="276"/>
        <v>1</v>
      </c>
      <c r="Q273" s="2">
        <f t="shared" si="3"/>
        <v>1</v>
      </c>
      <c r="R273" s="2">
        <f>IF(ISERROR(VLOOKUP(A273, 'Project Reference'!A:A, 1, FALSE)), 0, 1)</f>
        <v>1</v>
      </c>
      <c r="S273" s="2">
        <f>IFERROR(__xludf.DUMMYFUNCTION("IF(AND(REGEXMATCH(D273, B273), REGEXMATCH(D273, C273)), 1, 0)"),1.0)</f>
        <v>1</v>
      </c>
      <c r="T273" s="2">
        <f t="shared" si="4"/>
        <v>1</v>
      </c>
      <c r="U273" s="2">
        <f t="shared" si="5"/>
        <v>1</v>
      </c>
      <c r="V273" s="2">
        <f t="shared" si="6"/>
        <v>1</v>
      </c>
    </row>
    <row r="274" ht="14.25" customHeight="1">
      <c r="A274" s="2" t="s">
        <v>286</v>
      </c>
      <c r="B274" s="2" t="s">
        <v>18</v>
      </c>
      <c r="C274" s="2" t="s">
        <v>42</v>
      </c>
      <c r="D274" s="8" t="s">
        <v>621</v>
      </c>
      <c r="E274" s="6">
        <v>45096.0</v>
      </c>
      <c r="F274" s="6">
        <v>45428.0</v>
      </c>
      <c r="G274" s="7">
        <v>1.258024298E9</v>
      </c>
      <c r="H274" s="8" t="s">
        <v>573</v>
      </c>
      <c r="I274" s="2">
        <f t="shared" ref="I274:P274" si="277">IF(ISBLANK(A274)=TRUE,0,1)</f>
        <v>1</v>
      </c>
      <c r="J274" s="2">
        <f t="shared" si="277"/>
        <v>1</v>
      </c>
      <c r="K274" s="2">
        <f t="shared" si="277"/>
        <v>1</v>
      </c>
      <c r="L274" s="2">
        <f t="shared" si="277"/>
        <v>1</v>
      </c>
      <c r="M274" s="2">
        <f t="shared" si="277"/>
        <v>1</v>
      </c>
      <c r="N274" s="2">
        <f t="shared" si="277"/>
        <v>1</v>
      </c>
      <c r="O274" s="2">
        <f t="shared" si="277"/>
        <v>1</v>
      </c>
      <c r="P274" s="2">
        <f t="shared" si="277"/>
        <v>1</v>
      </c>
      <c r="Q274" s="2">
        <f t="shared" si="3"/>
        <v>1</v>
      </c>
      <c r="R274" s="2">
        <f>IF(ISERROR(VLOOKUP(A274, 'Project Reference'!A:A, 1, FALSE)), 0, 1)</f>
        <v>1</v>
      </c>
      <c r="S274" s="2">
        <f>IFERROR(__xludf.DUMMYFUNCTION("IF(AND(REGEXMATCH(D274, B274), REGEXMATCH(D274, C274)), 1, 0)"),1.0)</f>
        <v>1</v>
      </c>
      <c r="T274" s="2">
        <f t="shared" si="4"/>
        <v>1</v>
      </c>
      <c r="U274" s="2">
        <f t="shared" si="5"/>
        <v>1</v>
      </c>
      <c r="V274" s="2">
        <f t="shared" si="6"/>
        <v>1</v>
      </c>
    </row>
    <row r="275" ht="14.25" customHeight="1">
      <c r="A275" s="2" t="s">
        <v>287</v>
      </c>
      <c r="B275" s="2" t="s">
        <v>35</v>
      </c>
      <c r="C275" s="2" t="s">
        <v>19</v>
      </c>
      <c r="D275" s="2" t="s">
        <v>97</v>
      </c>
      <c r="E275" s="6">
        <v>45096.0</v>
      </c>
      <c r="F275" s="6">
        <v>45199.0</v>
      </c>
      <c r="G275" s="7">
        <v>3.75761303E8</v>
      </c>
      <c r="H275" s="2" t="s">
        <v>21</v>
      </c>
      <c r="I275" s="2">
        <f t="shared" ref="I275:P275" si="278">IF(ISBLANK(A275)=TRUE,0,1)</f>
        <v>1</v>
      </c>
      <c r="J275" s="2">
        <f t="shared" si="278"/>
        <v>1</v>
      </c>
      <c r="K275" s="2">
        <f t="shared" si="278"/>
        <v>1</v>
      </c>
      <c r="L275" s="2">
        <f t="shared" si="278"/>
        <v>1</v>
      </c>
      <c r="M275" s="2">
        <f t="shared" si="278"/>
        <v>1</v>
      </c>
      <c r="N275" s="2">
        <f t="shared" si="278"/>
        <v>1</v>
      </c>
      <c r="O275" s="2">
        <f t="shared" si="278"/>
        <v>1</v>
      </c>
      <c r="P275" s="2">
        <f t="shared" si="278"/>
        <v>1</v>
      </c>
      <c r="Q275" s="2">
        <f t="shared" si="3"/>
        <v>1</v>
      </c>
      <c r="R275" s="2">
        <f>IF(ISERROR(VLOOKUP(A275, 'Project Reference'!A:A, 1, FALSE)), 0, 1)</f>
        <v>1</v>
      </c>
      <c r="S275" s="2">
        <f>IFERROR(__xludf.DUMMYFUNCTION("IF(AND(REGEXMATCH(D275, B275), REGEXMATCH(D275, C275)), 1, 0)"),1.0)</f>
        <v>1</v>
      </c>
      <c r="T275" s="2">
        <f t="shared" si="4"/>
        <v>1</v>
      </c>
      <c r="U275" s="2">
        <f t="shared" si="5"/>
        <v>1</v>
      </c>
      <c r="V275" s="2">
        <f t="shared" si="6"/>
        <v>1</v>
      </c>
    </row>
    <row r="276" ht="14.25" customHeight="1">
      <c r="A276" s="2" t="s">
        <v>288</v>
      </c>
      <c r="B276" s="2" t="s">
        <v>18</v>
      </c>
      <c r="C276" s="2" t="s">
        <v>24</v>
      </c>
      <c r="D276" s="8" t="s">
        <v>618</v>
      </c>
      <c r="E276" s="6">
        <v>45097.0</v>
      </c>
      <c r="F276" s="6">
        <v>45129.0</v>
      </c>
      <c r="G276" s="7">
        <v>6.540978129E9</v>
      </c>
      <c r="H276" s="2" t="s">
        <v>50</v>
      </c>
      <c r="I276" s="2">
        <f t="shared" ref="I276:P276" si="279">IF(ISBLANK(A276)=TRUE,0,1)</f>
        <v>1</v>
      </c>
      <c r="J276" s="2">
        <f t="shared" si="279"/>
        <v>1</v>
      </c>
      <c r="K276" s="2">
        <f t="shared" si="279"/>
        <v>1</v>
      </c>
      <c r="L276" s="2">
        <f t="shared" si="279"/>
        <v>1</v>
      </c>
      <c r="M276" s="2">
        <f t="shared" si="279"/>
        <v>1</v>
      </c>
      <c r="N276" s="2">
        <f t="shared" si="279"/>
        <v>1</v>
      </c>
      <c r="O276" s="2">
        <f t="shared" si="279"/>
        <v>1</v>
      </c>
      <c r="P276" s="2">
        <f t="shared" si="279"/>
        <v>1</v>
      </c>
      <c r="Q276" s="2">
        <f t="shared" si="3"/>
        <v>1</v>
      </c>
      <c r="R276" s="2">
        <f>IF(ISERROR(VLOOKUP(A276, 'Project Reference'!A:A, 1, FALSE)), 0, 1)</f>
        <v>1</v>
      </c>
      <c r="S276" s="2">
        <f>IFERROR(__xludf.DUMMYFUNCTION("IF(AND(REGEXMATCH(D276, B276), REGEXMATCH(D276, C276)), 1, 0)"),1.0)</f>
        <v>1</v>
      </c>
      <c r="T276" s="2">
        <f t="shared" si="4"/>
        <v>1</v>
      </c>
      <c r="U276" s="2">
        <f t="shared" si="5"/>
        <v>1</v>
      </c>
      <c r="V276" s="2">
        <f t="shared" si="6"/>
        <v>1</v>
      </c>
    </row>
    <row r="277" ht="14.25" customHeight="1">
      <c r="A277" s="2" t="s">
        <v>289</v>
      </c>
      <c r="B277" s="2" t="s">
        <v>35</v>
      </c>
      <c r="C277" s="2" t="s">
        <v>39</v>
      </c>
      <c r="D277" s="2" t="s">
        <v>145</v>
      </c>
      <c r="E277" s="6">
        <v>45098.0</v>
      </c>
      <c r="F277" s="6">
        <v>45142.0</v>
      </c>
      <c r="G277" s="7">
        <v>3.42017973E8</v>
      </c>
      <c r="H277" s="8" t="s">
        <v>581</v>
      </c>
      <c r="I277" s="2">
        <f t="shared" ref="I277:P277" si="280">IF(ISBLANK(A277)=TRUE,0,1)</f>
        <v>1</v>
      </c>
      <c r="J277" s="2">
        <f t="shared" si="280"/>
        <v>1</v>
      </c>
      <c r="K277" s="2">
        <f t="shared" si="280"/>
        <v>1</v>
      </c>
      <c r="L277" s="2">
        <f t="shared" si="280"/>
        <v>1</v>
      </c>
      <c r="M277" s="2">
        <f t="shared" si="280"/>
        <v>1</v>
      </c>
      <c r="N277" s="2">
        <f t="shared" si="280"/>
        <v>1</v>
      </c>
      <c r="O277" s="2">
        <f t="shared" si="280"/>
        <v>1</v>
      </c>
      <c r="P277" s="2">
        <f t="shared" si="280"/>
        <v>1</v>
      </c>
      <c r="Q277" s="2">
        <f t="shared" si="3"/>
        <v>1</v>
      </c>
      <c r="R277" s="2">
        <f>IF(ISERROR(VLOOKUP(A277, 'Project Reference'!A:A, 1, FALSE)), 0, 1)</f>
        <v>1</v>
      </c>
      <c r="S277" s="2">
        <f>IFERROR(__xludf.DUMMYFUNCTION("IF(AND(REGEXMATCH(D277, B277), REGEXMATCH(D277, C277)), 1, 0)"),1.0)</f>
        <v>1</v>
      </c>
      <c r="T277" s="2">
        <f t="shared" si="4"/>
        <v>1</v>
      </c>
      <c r="U277" s="2">
        <f t="shared" si="5"/>
        <v>1</v>
      </c>
      <c r="V277" s="2">
        <f t="shared" si="6"/>
        <v>1</v>
      </c>
    </row>
    <row r="278" ht="14.25" customHeight="1">
      <c r="A278" s="2" t="s">
        <v>290</v>
      </c>
      <c r="B278" s="2" t="s">
        <v>30</v>
      </c>
      <c r="C278" s="2" t="s">
        <v>31</v>
      </c>
      <c r="D278" s="8" t="s">
        <v>585</v>
      </c>
      <c r="E278" s="6">
        <v>45098.0</v>
      </c>
      <c r="F278" s="6">
        <v>45292.0</v>
      </c>
      <c r="G278" s="7">
        <v>4.806164886E9</v>
      </c>
      <c r="H278" s="8" t="s">
        <v>581</v>
      </c>
      <c r="I278" s="2">
        <f t="shared" ref="I278:P278" si="281">IF(ISBLANK(A278)=TRUE,0,1)</f>
        <v>1</v>
      </c>
      <c r="J278" s="2">
        <f t="shared" si="281"/>
        <v>1</v>
      </c>
      <c r="K278" s="2">
        <f t="shared" si="281"/>
        <v>1</v>
      </c>
      <c r="L278" s="2">
        <f t="shared" si="281"/>
        <v>1</v>
      </c>
      <c r="M278" s="2">
        <f t="shared" si="281"/>
        <v>1</v>
      </c>
      <c r="N278" s="2">
        <f t="shared" si="281"/>
        <v>1</v>
      </c>
      <c r="O278" s="2">
        <f t="shared" si="281"/>
        <v>1</v>
      </c>
      <c r="P278" s="2">
        <f t="shared" si="281"/>
        <v>1</v>
      </c>
      <c r="Q278" s="2">
        <f t="shared" si="3"/>
        <v>1</v>
      </c>
      <c r="R278" s="2">
        <f>IF(ISERROR(VLOOKUP(A278, 'Project Reference'!A:A, 1, FALSE)), 0, 1)</f>
        <v>1</v>
      </c>
      <c r="S278" s="2">
        <f>IFERROR(__xludf.DUMMYFUNCTION("IF(AND(REGEXMATCH(D278, B278), REGEXMATCH(D278, C278)), 1, 0)"),1.0)</f>
        <v>1</v>
      </c>
      <c r="T278" s="2">
        <f t="shared" si="4"/>
        <v>1</v>
      </c>
      <c r="U278" s="2">
        <f t="shared" si="5"/>
        <v>1</v>
      </c>
      <c r="V278" s="2">
        <f t="shared" si="6"/>
        <v>1</v>
      </c>
    </row>
    <row r="279" ht="14.25" customHeight="1">
      <c r="A279" s="2" t="s">
        <v>291</v>
      </c>
      <c r="B279" s="2" t="s">
        <v>18</v>
      </c>
      <c r="C279" s="2" t="s">
        <v>36</v>
      </c>
      <c r="D279" s="8" t="s">
        <v>634</v>
      </c>
      <c r="E279" s="6">
        <v>45099.0</v>
      </c>
      <c r="F279" s="6">
        <v>45385.0</v>
      </c>
      <c r="G279" s="7">
        <v>9.209856007E9</v>
      </c>
      <c r="H279" s="2" t="s">
        <v>21</v>
      </c>
      <c r="I279" s="2">
        <f t="shared" ref="I279:P279" si="282">IF(ISBLANK(A279)=TRUE,0,1)</f>
        <v>1</v>
      </c>
      <c r="J279" s="2">
        <f t="shared" si="282"/>
        <v>1</v>
      </c>
      <c r="K279" s="2">
        <f t="shared" si="282"/>
        <v>1</v>
      </c>
      <c r="L279" s="2">
        <f t="shared" si="282"/>
        <v>1</v>
      </c>
      <c r="M279" s="2">
        <f t="shared" si="282"/>
        <v>1</v>
      </c>
      <c r="N279" s="2">
        <f t="shared" si="282"/>
        <v>1</v>
      </c>
      <c r="O279" s="2">
        <f t="shared" si="282"/>
        <v>1</v>
      </c>
      <c r="P279" s="2">
        <f t="shared" si="282"/>
        <v>1</v>
      </c>
      <c r="Q279" s="2">
        <f t="shared" si="3"/>
        <v>1</v>
      </c>
      <c r="R279" s="2">
        <f>IF(ISERROR(VLOOKUP(A279, 'Project Reference'!A:A, 1, FALSE)), 0, 1)</f>
        <v>1</v>
      </c>
      <c r="S279" s="2">
        <f>IFERROR(__xludf.DUMMYFUNCTION("IF(AND(REGEXMATCH(D279, B279), REGEXMATCH(D279, C279)), 1, 0)"),1.0)</f>
        <v>1</v>
      </c>
      <c r="T279" s="2">
        <f t="shared" si="4"/>
        <v>1</v>
      </c>
      <c r="U279" s="2">
        <f t="shared" si="5"/>
        <v>1</v>
      </c>
      <c r="V279" s="2">
        <f t="shared" si="6"/>
        <v>1</v>
      </c>
    </row>
    <row r="280" ht="14.25" customHeight="1">
      <c r="A280" s="2" t="s">
        <v>292</v>
      </c>
      <c r="B280" s="2" t="s">
        <v>35</v>
      </c>
      <c r="C280" s="2" t="s">
        <v>19</v>
      </c>
      <c r="D280" s="2" t="s">
        <v>97</v>
      </c>
      <c r="E280" s="6">
        <v>45099.0</v>
      </c>
      <c r="F280" s="6">
        <v>45154.0</v>
      </c>
      <c r="G280" s="7">
        <v>2.69400319E8</v>
      </c>
      <c r="H280" s="2" t="s">
        <v>44</v>
      </c>
      <c r="I280" s="2">
        <f t="shared" ref="I280:P280" si="283">IF(ISBLANK(A280)=TRUE,0,1)</f>
        <v>1</v>
      </c>
      <c r="J280" s="2">
        <f t="shared" si="283"/>
        <v>1</v>
      </c>
      <c r="K280" s="2">
        <f t="shared" si="283"/>
        <v>1</v>
      </c>
      <c r="L280" s="2">
        <f t="shared" si="283"/>
        <v>1</v>
      </c>
      <c r="M280" s="2">
        <f t="shared" si="283"/>
        <v>1</v>
      </c>
      <c r="N280" s="2">
        <f t="shared" si="283"/>
        <v>1</v>
      </c>
      <c r="O280" s="2">
        <f t="shared" si="283"/>
        <v>1</v>
      </c>
      <c r="P280" s="2">
        <f t="shared" si="283"/>
        <v>1</v>
      </c>
      <c r="Q280" s="2">
        <f t="shared" si="3"/>
        <v>1</v>
      </c>
      <c r="R280" s="2">
        <f>IF(ISERROR(VLOOKUP(A280, 'Project Reference'!A:A, 1, FALSE)), 0, 1)</f>
        <v>1</v>
      </c>
      <c r="S280" s="2">
        <f>IFERROR(__xludf.DUMMYFUNCTION("IF(AND(REGEXMATCH(D280, B280), REGEXMATCH(D280, C280)), 1, 0)"),1.0)</f>
        <v>1</v>
      </c>
      <c r="T280" s="2">
        <f t="shared" si="4"/>
        <v>1</v>
      </c>
      <c r="U280" s="2">
        <f t="shared" si="5"/>
        <v>1</v>
      </c>
      <c r="V280" s="2">
        <f t="shared" si="6"/>
        <v>1</v>
      </c>
    </row>
    <row r="281" ht="14.25" customHeight="1">
      <c r="A281" s="2" t="s">
        <v>293</v>
      </c>
      <c r="B281" s="2" t="s">
        <v>18</v>
      </c>
      <c r="C281" s="2" t="s">
        <v>13</v>
      </c>
      <c r="D281" s="8" t="s">
        <v>580</v>
      </c>
      <c r="E281" s="6">
        <v>45099.0</v>
      </c>
      <c r="F281" s="6">
        <v>45245.0</v>
      </c>
      <c r="G281" s="7">
        <v>3.09898686E9</v>
      </c>
      <c r="H281" s="8" t="s">
        <v>573</v>
      </c>
      <c r="I281" s="2">
        <f t="shared" ref="I281:P281" si="284">IF(ISBLANK(A281)=TRUE,0,1)</f>
        <v>1</v>
      </c>
      <c r="J281" s="2">
        <f t="shared" si="284"/>
        <v>1</v>
      </c>
      <c r="K281" s="2">
        <f t="shared" si="284"/>
        <v>1</v>
      </c>
      <c r="L281" s="2">
        <f t="shared" si="284"/>
        <v>1</v>
      </c>
      <c r="M281" s="2">
        <f t="shared" si="284"/>
        <v>1</v>
      </c>
      <c r="N281" s="2">
        <f t="shared" si="284"/>
        <v>1</v>
      </c>
      <c r="O281" s="2">
        <f t="shared" si="284"/>
        <v>1</v>
      </c>
      <c r="P281" s="2">
        <f t="shared" si="284"/>
        <v>1</v>
      </c>
      <c r="Q281" s="2">
        <f t="shared" si="3"/>
        <v>1</v>
      </c>
      <c r="R281" s="2">
        <f>IF(ISERROR(VLOOKUP(A281, 'Project Reference'!A:A, 1, FALSE)), 0, 1)</f>
        <v>1</v>
      </c>
      <c r="S281" s="2">
        <f>IFERROR(__xludf.DUMMYFUNCTION("IF(AND(REGEXMATCH(D281, B281), REGEXMATCH(D281, C281)), 1, 0)"),1.0)</f>
        <v>1</v>
      </c>
      <c r="T281" s="2">
        <f t="shared" si="4"/>
        <v>1</v>
      </c>
      <c r="U281" s="2">
        <f t="shared" si="5"/>
        <v>1</v>
      </c>
      <c r="V281" s="2">
        <f t="shared" si="6"/>
        <v>1</v>
      </c>
    </row>
    <row r="282" ht="14.25" customHeight="1">
      <c r="A282" s="2" t="s">
        <v>294</v>
      </c>
      <c r="B282" s="2" t="s">
        <v>30</v>
      </c>
      <c r="C282" s="2" t="s">
        <v>48</v>
      </c>
      <c r="D282" s="8" t="s">
        <v>620</v>
      </c>
      <c r="E282" s="6">
        <v>45099.0</v>
      </c>
      <c r="F282" s="6">
        <v>45254.0</v>
      </c>
      <c r="G282" s="7">
        <v>2.873619122E9</v>
      </c>
      <c r="H282" s="8" t="s">
        <v>573</v>
      </c>
      <c r="I282" s="2">
        <f t="shared" ref="I282:P282" si="285">IF(ISBLANK(A282)=TRUE,0,1)</f>
        <v>1</v>
      </c>
      <c r="J282" s="2">
        <f t="shared" si="285"/>
        <v>1</v>
      </c>
      <c r="K282" s="2">
        <f t="shared" si="285"/>
        <v>1</v>
      </c>
      <c r="L282" s="2">
        <f t="shared" si="285"/>
        <v>1</v>
      </c>
      <c r="M282" s="2">
        <f t="shared" si="285"/>
        <v>1</v>
      </c>
      <c r="N282" s="2">
        <f t="shared" si="285"/>
        <v>1</v>
      </c>
      <c r="O282" s="2">
        <f t="shared" si="285"/>
        <v>1</v>
      </c>
      <c r="P282" s="2">
        <f t="shared" si="285"/>
        <v>1</v>
      </c>
      <c r="Q282" s="2">
        <f t="shared" si="3"/>
        <v>1</v>
      </c>
      <c r="R282" s="2">
        <f>IF(ISERROR(VLOOKUP(A282, 'Project Reference'!A:A, 1, FALSE)), 0, 1)</f>
        <v>1</v>
      </c>
      <c r="S282" s="2">
        <f>IFERROR(__xludf.DUMMYFUNCTION("IF(AND(REGEXMATCH(D282, B282), REGEXMATCH(D282, C282)), 1, 0)"),1.0)</f>
        <v>1</v>
      </c>
      <c r="T282" s="2">
        <f t="shared" si="4"/>
        <v>1</v>
      </c>
      <c r="U282" s="2">
        <f t="shared" si="5"/>
        <v>1</v>
      </c>
      <c r="V282" s="2">
        <f t="shared" si="6"/>
        <v>1</v>
      </c>
    </row>
    <row r="283" ht="14.25" customHeight="1">
      <c r="A283" s="2" t="s">
        <v>295</v>
      </c>
      <c r="B283" s="2" t="s">
        <v>35</v>
      </c>
      <c r="C283" s="2" t="s">
        <v>24</v>
      </c>
      <c r="D283" s="2" t="s">
        <v>133</v>
      </c>
      <c r="E283" s="6">
        <v>45101.0</v>
      </c>
      <c r="F283" s="6">
        <v>45138.0</v>
      </c>
      <c r="G283" s="7">
        <v>7.35575459E8</v>
      </c>
      <c r="H283" s="8" t="s">
        <v>581</v>
      </c>
      <c r="I283" s="2">
        <f t="shared" ref="I283:P283" si="286">IF(ISBLANK(A283)=TRUE,0,1)</f>
        <v>1</v>
      </c>
      <c r="J283" s="2">
        <f t="shared" si="286"/>
        <v>1</v>
      </c>
      <c r="K283" s="2">
        <f t="shared" si="286"/>
        <v>1</v>
      </c>
      <c r="L283" s="2">
        <f t="shared" si="286"/>
        <v>1</v>
      </c>
      <c r="M283" s="2">
        <f t="shared" si="286"/>
        <v>1</v>
      </c>
      <c r="N283" s="2">
        <f t="shared" si="286"/>
        <v>1</v>
      </c>
      <c r="O283" s="2">
        <f t="shared" si="286"/>
        <v>1</v>
      </c>
      <c r="P283" s="2">
        <f t="shared" si="286"/>
        <v>1</v>
      </c>
      <c r="Q283" s="2">
        <f t="shared" si="3"/>
        <v>1</v>
      </c>
      <c r="R283" s="2">
        <f>IF(ISERROR(VLOOKUP(A283, 'Project Reference'!A:A, 1, FALSE)), 0, 1)</f>
        <v>1</v>
      </c>
      <c r="S283" s="2">
        <f>IFERROR(__xludf.DUMMYFUNCTION("IF(AND(REGEXMATCH(D283, B283), REGEXMATCH(D283, C283)), 1, 0)"),1.0)</f>
        <v>1</v>
      </c>
      <c r="T283" s="2">
        <f t="shared" si="4"/>
        <v>1</v>
      </c>
      <c r="U283" s="2">
        <f t="shared" si="5"/>
        <v>1</v>
      </c>
      <c r="V283" s="2">
        <f t="shared" si="6"/>
        <v>1</v>
      </c>
    </row>
    <row r="284" ht="14.25" customHeight="1">
      <c r="A284" s="2" t="s">
        <v>296</v>
      </c>
      <c r="B284" s="2" t="s">
        <v>18</v>
      </c>
      <c r="C284" s="2" t="s">
        <v>42</v>
      </c>
      <c r="D284" s="8" t="s">
        <v>621</v>
      </c>
      <c r="E284" s="6">
        <v>45101.0</v>
      </c>
      <c r="F284" s="6">
        <v>45375.0</v>
      </c>
      <c r="G284" s="7">
        <v>2.354261081E9</v>
      </c>
      <c r="H284" s="8" t="s">
        <v>573</v>
      </c>
      <c r="I284" s="2">
        <f t="shared" ref="I284:P284" si="287">IF(ISBLANK(A284)=TRUE,0,1)</f>
        <v>1</v>
      </c>
      <c r="J284" s="2">
        <f t="shared" si="287"/>
        <v>1</v>
      </c>
      <c r="K284" s="2">
        <f t="shared" si="287"/>
        <v>1</v>
      </c>
      <c r="L284" s="2">
        <f t="shared" si="287"/>
        <v>1</v>
      </c>
      <c r="M284" s="2">
        <f t="shared" si="287"/>
        <v>1</v>
      </c>
      <c r="N284" s="2">
        <f t="shared" si="287"/>
        <v>1</v>
      </c>
      <c r="O284" s="2">
        <f t="shared" si="287"/>
        <v>1</v>
      </c>
      <c r="P284" s="2">
        <f t="shared" si="287"/>
        <v>1</v>
      </c>
      <c r="Q284" s="2">
        <f t="shared" si="3"/>
        <v>1</v>
      </c>
      <c r="R284" s="2">
        <f>IF(ISERROR(VLOOKUP(A284, 'Project Reference'!A:A, 1, FALSE)), 0, 1)</f>
        <v>1</v>
      </c>
      <c r="S284" s="2">
        <f>IFERROR(__xludf.DUMMYFUNCTION("IF(AND(REGEXMATCH(D284, B284), REGEXMATCH(D284, C284)), 1, 0)"),1.0)</f>
        <v>1</v>
      </c>
      <c r="T284" s="2">
        <f t="shared" si="4"/>
        <v>1</v>
      </c>
      <c r="U284" s="2">
        <f t="shared" si="5"/>
        <v>1</v>
      </c>
      <c r="V284" s="2">
        <f t="shared" si="6"/>
        <v>1</v>
      </c>
    </row>
    <row r="285" ht="14.25" customHeight="1">
      <c r="A285" s="2" t="s">
        <v>297</v>
      </c>
      <c r="B285" s="2" t="s">
        <v>30</v>
      </c>
      <c r="C285" s="2" t="s">
        <v>42</v>
      </c>
      <c r="D285" s="8" t="s">
        <v>632</v>
      </c>
      <c r="E285" s="6">
        <v>45102.0</v>
      </c>
      <c r="F285" s="6">
        <v>45324.0</v>
      </c>
      <c r="G285" s="7">
        <v>2.697497947E9</v>
      </c>
      <c r="H285" s="2" t="s">
        <v>21</v>
      </c>
      <c r="I285" s="2">
        <f t="shared" ref="I285:P285" si="288">IF(ISBLANK(A285)=TRUE,0,1)</f>
        <v>1</v>
      </c>
      <c r="J285" s="2">
        <f t="shared" si="288"/>
        <v>1</v>
      </c>
      <c r="K285" s="2">
        <f t="shared" si="288"/>
        <v>1</v>
      </c>
      <c r="L285" s="2">
        <f t="shared" si="288"/>
        <v>1</v>
      </c>
      <c r="M285" s="2">
        <f t="shared" si="288"/>
        <v>1</v>
      </c>
      <c r="N285" s="2">
        <f t="shared" si="288"/>
        <v>1</v>
      </c>
      <c r="O285" s="2">
        <f t="shared" si="288"/>
        <v>1</v>
      </c>
      <c r="P285" s="2">
        <f t="shared" si="288"/>
        <v>1</v>
      </c>
      <c r="Q285" s="2">
        <f t="shared" si="3"/>
        <v>1</v>
      </c>
      <c r="R285" s="2">
        <f>IF(ISERROR(VLOOKUP(A285, 'Project Reference'!A:A, 1, FALSE)), 0, 1)</f>
        <v>1</v>
      </c>
      <c r="S285" s="2">
        <f>IFERROR(__xludf.DUMMYFUNCTION("IF(AND(REGEXMATCH(D285, B285), REGEXMATCH(D285, C285)), 1, 0)"),1.0)</f>
        <v>1</v>
      </c>
      <c r="T285" s="2">
        <f t="shared" si="4"/>
        <v>1</v>
      </c>
      <c r="U285" s="2">
        <f t="shared" si="5"/>
        <v>1</v>
      </c>
      <c r="V285" s="2">
        <f t="shared" si="6"/>
        <v>1</v>
      </c>
    </row>
    <row r="286" ht="14.25" customHeight="1">
      <c r="A286" s="2" t="s">
        <v>298</v>
      </c>
      <c r="B286" s="2" t="s">
        <v>12</v>
      </c>
      <c r="C286" s="2" t="s">
        <v>13</v>
      </c>
      <c r="D286" s="8" t="s">
        <v>605</v>
      </c>
      <c r="E286" s="6">
        <v>45103.0</v>
      </c>
      <c r="F286" s="6">
        <v>45038.0</v>
      </c>
      <c r="G286" s="7">
        <v>2.77801695E8</v>
      </c>
      <c r="H286" s="8" t="s">
        <v>573</v>
      </c>
      <c r="I286" s="2">
        <f t="shared" ref="I286:P286" si="289">IF(ISBLANK(A286)=TRUE,0,1)</f>
        <v>1</v>
      </c>
      <c r="J286" s="2">
        <f t="shared" si="289"/>
        <v>1</v>
      </c>
      <c r="K286" s="2">
        <f t="shared" si="289"/>
        <v>1</v>
      </c>
      <c r="L286" s="2">
        <f t="shared" si="289"/>
        <v>1</v>
      </c>
      <c r="M286" s="2">
        <f t="shared" si="289"/>
        <v>1</v>
      </c>
      <c r="N286" s="2">
        <f t="shared" si="289"/>
        <v>1</v>
      </c>
      <c r="O286" s="2">
        <f t="shared" si="289"/>
        <v>1</v>
      </c>
      <c r="P286" s="2">
        <f t="shared" si="289"/>
        <v>1</v>
      </c>
      <c r="Q286" s="2">
        <f t="shared" si="3"/>
        <v>1</v>
      </c>
      <c r="R286" s="2">
        <f>IF(ISERROR(VLOOKUP(A286, 'Project Reference'!A:A, 1, FALSE)), 0, 1)</f>
        <v>1</v>
      </c>
      <c r="S286" s="2">
        <f>IFERROR(__xludf.DUMMYFUNCTION("IF(AND(REGEXMATCH(D286, B286), REGEXMATCH(D286, C286)), 1, 0)"),1.0)</f>
        <v>1</v>
      </c>
      <c r="T286" s="2">
        <f t="shared" si="4"/>
        <v>1</v>
      </c>
      <c r="U286" s="2">
        <f t="shared" si="5"/>
        <v>0</v>
      </c>
      <c r="V286" s="2">
        <f t="shared" si="6"/>
        <v>1</v>
      </c>
    </row>
    <row r="287" ht="14.25" customHeight="1">
      <c r="A287" s="2" t="s">
        <v>299</v>
      </c>
      <c r="B287" s="2" t="s">
        <v>18</v>
      </c>
      <c r="C287" s="2" t="s">
        <v>36</v>
      </c>
      <c r="D287" s="8" t="s">
        <v>634</v>
      </c>
      <c r="E287" s="6">
        <v>45104.0</v>
      </c>
      <c r="F287" s="6">
        <v>45195.0</v>
      </c>
      <c r="G287" s="7">
        <v>5.36537192E9</v>
      </c>
      <c r="H287" s="8" t="s">
        <v>581</v>
      </c>
      <c r="I287" s="2">
        <f t="shared" ref="I287:P287" si="290">IF(ISBLANK(A287)=TRUE,0,1)</f>
        <v>1</v>
      </c>
      <c r="J287" s="2">
        <f t="shared" si="290"/>
        <v>1</v>
      </c>
      <c r="K287" s="2">
        <f t="shared" si="290"/>
        <v>1</v>
      </c>
      <c r="L287" s="2">
        <f t="shared" si="290"/>
        <v>1</v>
      </c>
      <c r="M287" s="2">
        <f t="shared" si="290"/>
        <v>1</v>
      </c>
      <c r="N287" s="2">
        <f t="shared" si="290"/>
        <v>1</v>
      </c>
      <c r="O287" s="2">
        <f t="shared" si="290"/>
        <v>1</v>
      </c>
      <c r="P287" s="2">
        <f t="shared" si="290"/>
        <v>1</v>
      </c>
      <c r="Q287" s="2">
        <f t="shared" si="3"/>
        <v>1</v>
      </c>
      <c r="R287" s="2">
        <f>IF(ISERROR(VLOOKUP(A287, 'Project Reference'!A:A, 1, FALSE)), 0, 1)</f>
        <v>1</v>
      </c>
      <c r="S287" s="2">
        <f>IFERROR(__xludf.DUMMYFUNCTION("IF(AND(REGEXMATCH(D287, B287), REGEXMATCH(D287, C287)), 1, 0)"),1.0)</f>
        <v>1</v>
      </c>
      <c r="T287" s="2">
        <f t="shared" si="4"/>
        <v>1</v>
      </c>
      <c r="U287" s="2">
        <f t="shared" si="5"/>
        <v>1</v>
      </c>
      <c r="V287" s="2">
        <f t="shared" si="6"/>
        <v>1</v>
      </c>
    </row>
    <row r="288" ht="14.25" customHeight="1">
      <c r="A288" s="2" t="s">
        <v>300</v>
      </c>
      <c r="B288" s="2" t="s">
        <v>35</v>
      </c>
      <c r="C288" s="2" t="s">
        <v>48</v>
      </c>
      <c r="D288" s="2" t="s">
        <v>49</v>
      </c>
      <c r="E288" s="6">
        <v>45106.0</v>
      </c>
      <c r="F288" s="6">
        <v>45144.0</v>
      </c>
      <c r="G288" s="7">
        <v>7.37701834E8</v>
      </c>
      <c r="H288" s="2" t="s">
        <v>21</v>
      </c>
      <c r="I288" s="2">
        <f t="shared" ref="I288:P288" si="291">IF(ISBLANK(A288)=TRUE,0,1)</f>
        <v>1</v>
      </c>
      <c r="J288" s="2">
        <f t="shared" si="291"/>
        <v>1</v>
      </c>
      <c r="K288" s="2">
        <f t="shared" si="291"/>
        <v>1</v>
      </c>
      <c r="L288" s="2">
        <f t="shared" si="291"/>
        <v>1</v>
      </c>
      <c r="M288" s="2">
        <f t="shared" si="291"/>
        <v>1</v>
      </c>
      <c r="N288" s="2">
        <f t="shared" si="291"/>
        <v>1</v>
      </c>
      <c r="O288" s="2">
        <f t="shared" si="291"/>
        <v>1</v>
      </c>
      <c r="P288" s="2">
        <f t="shared" si="291"/>
        <v>1</v>
      </c>
      <c r="Q288" s="2">
        <f t="shared" si="3"/>
        <v>1</v>
      </c>
      <c r="R288" s="2">
        <f>IF(ISERROR(VLOOKUP(A288, 'Project Reference'!A:A, 1, FALSE)), 0, 1)</f>
        <v>1</v>
      </c>
      <c r="S288" s="2">
        <f>IFERROR(__xludf.DUMMYFUNCTION("IF(AND(REGEXMATCH(D288, B288), REGEXMATCH(D288, C288)), 1, 0)"),1.0)</f>
        <v>1</v>
      </c>
      <c r="T288" s="2">
        <f t="shared" si="4"/>
        <v>1</v>
      </c>
      <c r="U288" s="2">
        <f t="shared" si="5"/>
        <v>1</v>
      </c>
      <c r="V288" s="2">
        <f t="shared" si="6"/>
        <v>1</v>
      </c>
    </row>
    <row r="289" ht="14.25" customHeight="1">
      <c r="A289" s="2" t="s">
        <v>302</v>
      </c>
      <c r="B289" s="2" t="s">
        <v>35</v>
      </c>
      <c r="C289" s="2" t="s">
        <v>48</v>
      </c>
      <c r="D289" s="2" t="s">
        <v>49</v>
      </c>
      <c r="E289" s="6">
        <v>45107.0</v>
      </c>
      <c r="F289" s="6">
        <v>45221.0</v>
      </c>
      <c r="G289" s="7">
        <v>3.43573944E8</v>
      </c>
      <c r="H289" s="2" t="s">
        <v>50</v>
      </c>
      <c r="I289" s="2">
        <f t="shared" ref="I289:P289" si="292">IF(ISBLANK(A289)=TRUE,0,1)</f>
        <v>1</v>
      </c>
      <c r="J289" s="2">
        <f t="shared" si="292"/>
        <v>1</v>
      </c>
      <c r="K289" s="2">
        <f t="shared" si="292"/>
        <v>1</v>
      </c>
      <c r="L289" s="2">
        <f t="shared" si="292"/>
        <v>1</v>
      </c>
      <c r="M289" s="2">
        <f t="shared" si="292"/>
        <v>1</v>
      </c>
      <c r="N289" s="2">
        <f t="shared" si="292"/>
        <v>1</v>
      </c>
      <c r="O289" s="2">
        <f t="shared" si="292"/>
        <v>1</v>
      </c>
      <c r="P289" s="2">
        <f t="shared" si="292"/>
        <v>1</v>
      </c>
      <c r="Q289" s="2">
        <f t="shared" si="3"/>
        <v>1</v>
      </c>
      <c r="R289" s="2">
        <f>IF(ISERROR(VLOOKUP(A289, 'Project Reference'!A:A, 1, FALSE)), 0, 1)</f>
        <v>1</v>
      </c>
      <c r="S289" s="2">
        <f>IFERROR(__xludf.DUMMYFUNCTION("IF(AND(REGEXMATCH(D289, B289), REGEXMATCH(D289, C289)), 1, 0)"),1.0)</f>
        <v>1</v>
      </c>
      <c r="T289" s="2">
        <f t="shared" si="4"/>
        <v>1</v>
      </c>
      <c r="U289" s="2">
        <f t="shared" si="5"/>
        <v>1</v>
      </c>
      <c r="V289" s="2">
        <f t="shared" si="6"/>
        <v>1</v>
      </c>
    </row>
    <row r="290" ht="14.25" customHeight="1">
      <c r="A290" s="2" t="s">
        <v>303</v>
      </c>
      <c r="B290" s="2" t="s">
        <v>12</v>
      </c>
      <c r="C290" s="2" t="s">
        <v>19</v>
      </c>
      <c r="D290" s="8" t="s">
        <v>631</v>
      </c>
      <c r="E290" s="6">
        <v>45111.0</v>
      </c>
      <c r="F290" s="6">
        <v>45180.0</v>
      </c>
      <c r="G290" s="7">
        <v>8.0298087E8</v>
      </c>
      <c r="H290" s="2" t="s">
        <v>67</v>
      </c>
      <c r="I290" s="2">
        <f t="shared" ref="I290:P290" si="293">IF(ISBLANK(A290)=TRUE,0,1)</f>
        <v>1</v>
      </c>
      <c r="J290" s="2">
        <f t="shared" si="293"/>
        <v>1</v>
      </c>
      <c r="K290" s="2">
        <f t="shared" si="293"/>
        <v>1</v>
      </c>
      <c r="L290" s="2">
        <f t="shared" si="293"/>
        <v>1</v>
      </c>
      <c r="M290" s="2">
        <f t="shared" si="293"/>
        <v>1</v>
      </c>
      <c r="N290" s="2">
        <f t="shared" si="293"/>
        <v>1</v>
      </c>
      <c r="O290" s="2">
        <f t="shared" si="293"/>
        <v>1</v>
      </c>
      <c r="P290" s="2">
        <f t="shared" si="293"/>
        <v>1</v>
      </c>
      <c r="Q290" s="2">
        <f t="shared" si="3"/>
        <v>1</v>
      </c>
      <c r="R290" s="2">
        <f>IF(ISERROR(VLOOKUP(A290, 'Project Reference'!A:A, 1, FALSE)), 0, 1)</f>
        <v>1</v>
      </c>
      <c r="S290" s="2">
        <f>IFERROR(__xludf.DUMMYFUNCTION("IF(AND(REGEXMATCH(D290, B290), REGEXMATCH(D290, C290)), 1, 0)"),1.0)</f>
        <v>1</v>
      </c>
      <c r="T290" s="2">
        <f t="shared" si="4"/>
        <v>1</v>
      </c>
      <c r="U290" s="2">
        <f t="shared" si="5"/>
        <v>1</v>
      </c>
      <c r="V290" s="2">
        <f t="shared" si="6"/>
        <v>1</v>
      </c>
    </row>
    <row r="291" ht="14.25" customHeight="1">
      <c r="A291" s="2" t="s">
        <v>304</v>
      </c>
      <c r="B291" s="2" t="s">
        <v>30</v>
      </c>
      <c r="C291" s="2" t="s">
        <v>36</v>
      </c>
      <c r="D291" s="8" t="s">
        <v>614</v>
      </c>
      <c r="E291" s="6">
        <v>45113.0</v>
      </c>
      <c r="F291" s="6">
        <v>45253.0</v>
      </c>
      <c r="G291" s="7">
        <v>1.132821017E9</v>
      </c>
      <c r="H291" s="2" t="s">
        <v>50</v>
      </c>
      <c r="I291" s="2">
        <f t="shared" ref="I291:P291" si="294">IF(ISBLANK(A291)=TRUE,0,1)</f>
        <v>1</v>
      </c>
      <c r="J291" s="2">
        <f t="shared" si="294"/>
        <v>1</v>
      </c>
      <c r="K291" s="2">
        <f t="shared" si="294"/>
        <v>1</v>
      </c>
      <c r="L291" s="2">
        <f t="shared" si="294"/>
        <v>1</v>
      </c>
      <c r="M291" s="2">
        <f t="shared" si="294"/>
        <v>1</v>
      </c>
      <c r="N291" s="2">
        <f t="shared" si="294"/>
        <v>1</v>
      </c>
      <c r="O291" s="2">
        <f t="shared" si="294"/>
        <v>1</v>
      </c>
      <c r="P291" s="2">
        <f t="shared" si="294"/>
        <v>1</v>
      </c>
      <c r="Q291" s="2">
        <f t="shared" si="3"/>
        <v>1</v>
      </c>
      <c r="R291" s="2">
        <f>IF(ISERROR(VLOOKUP(A291, 'Project Reference'!A:A, 1, FALSE)), 0, 1)</f>
        <v>1</v>
      </c>
      <c r="S291" s="2">
        <f>IFERROR(__xludf.DUMMYFUNCTION("IF(AND(REGEXMATCH(D291, B291), REGEXMATCH(D291, C291)), 1, 0)"),1.0)</f>
        <v>1</v>
      </c>
      <c r="T291" s="2">
        <f t="shared" si="4"/>
        <v>1</v>
      </c>
      <c r="U291" s="2">
        <f t="shared" si="5"/>
        <v>1</v>
      </c>
      <c r="V291" s="2">
        <f t="shared" si="6"/>
        <v>1</v>
      </c>
    </row>
    <row r="292" ht="14.25" customHeight="1">
      <c r="A292" s="2" t="s">
        <v>305</v>
      </c>
      <c r="B292" s="2" t="s">
        <v>35</v>
      </c>
      <c r="C292" s="2" t="s">
        <v>24</v>
      </c>
      <c r="D292" s="2" t="s">
        <v>133</v>
      </c>
      <c r="E292" s="6">
        <v>45114.0</v>
      </c>
      <c r="F292" s="6">
        <v>45156.0</v>
      </c>
      <c r="G292" s="7">
        <v>6.46267645E8</v>
      </c>
      <c r="H292" s="2" t="s">
        <v>21</v>
      </c>
      <c r="I292" s="2">
        <f t="shared" ref="I292:P292" si="295">IF(ISBLANK(A292)=TRUE,0,1)</f>
        <v>1</v>
      </c>
      <c r="J292" s="2">
        <f t="shared" si="295"/>
        <v>1</v>
      </c>
      <c r="K292" s="2">
        <f t="shared" si="295"/>
        <v>1</v>
      </c>
      <c r="L292" s="2">
        <f t="shared" si="295"/>
        <v>1</v>
      </c>
      <c r="M292" s="2">
        <f t="shared" si="295"/>
        <v>1</v>
      </c>
      <c r="N292" s="2">
        <f t="shared" si="295"/>
        <v>1</v>
      </c>
      <c r="O292" s="2">
        <f t="shared" si="295"/>
        <v>1</v>
      </c>
      <c r="P292" s="2">
        <f t="shared" si="295"/>
        <v>1</v>
      </c>
      <c r="Q292" s="2">
        <f t="shared" si="3"/>
        <v>1</v>
      </c>
      <c r="R292" s="2">
        <f>IF(ISERROR(VLOOKUP(A292, 'Project Reference'!A:A, 1, FALSE)), 0, 1)</f>
        <v>1</v>
      </c>
      <c r="S292" s="2">
        <f>IFERROR(__xludf.DUMMYFUNCTION("IF(AND(REGEXMATCH(D292, B292), REGEXMATCH(D292, C292)), 1, 0)"),1.0)</f>
        <v>1</v>
      </c>
      <c r="T292" s="2">
        <f t="shared" si="4"/>
        <v>1</v>
      </c>
      <c r="U292" s="2">
        <f t="shared" si="5"/>
        <v>1</v>
      </c>
      <c r="V292" s="2">
        <f t="shared" si="6"/>
        <v>1</v>
      </c>
    </row>
    <row r="293" ht="14.25" customHeight="1">
      <c r="A293" s="2" t="s">
        <v>306</v>
      </c>
      <c r="B293" s="2" t="s">
        <v>30</v>
      </c>
      <c r="C293" s="2" t="s">
        <v>13</v>
      </c>
      <c r="D293" s="8" t="s">
        <v>641</v>
      </c>
      <c r="E293" s="6">
        <v>45115.0</v>
      </c>
      <c r="F293" s="6">
        <v>45145.0</v>
      </c>
      <c r="G293" s="7">
        <v>1.091849633E9</v>
      </c>
      <c r="H293" s="2" t="s">
        <v>33</v>
      </c>
      <c r="I293" s="2">
        <f t="shared" ref="I293:P293" si="296">IF(ISBLANK(A293)=TRUE,0,1)</f>
        <v>1</v>
      </c>
      <c r="J293" s="2">
        <f t="shared" si="296"/>
        <v>1</v>
      </c>
      <c r="K293" s="2">
        <f t="shared" si="296"/>
        <v>1</v>
      </c>
      <c r="L293" s="2">
        <f t="shared" si="296"/>
        <v>1</v>
      </c>
      <c r="M293" s="2">
        <f t="shared" si="296"/>
        <v>1</v>
      </c>
      <c r="N293" s="2">
        <f t="shared" si="296"/>
        <v>1</v>
      </c>
      <c r="O293" s="2">
        <f t="shared" si="296"/>
        <v>1</v>
      </c>
      <c r="P293" s="2">
        <f t="shared" si="296"/>
        <v>1</v>
      </c>
      <c r="Q293" s="2">
        <f t="shared" si="3"/>
        <v>1</v>
      </c>
      <c r="R293" s="2">
        <f>IF(ISERROR(VLOOKUP(A293, 'Project Reference'!A:A, 1, FALSE)), 0, 1)</f>
        <v>1</v>
      </c>
      <c r="S293" s="2">
        <f>IFERROR(__xludf.DUMMYFUNCTION("IF(AND(REGEXMATCH(D293, B293), REGEXMATCH(D293, C293)), 1, 0)"),1.0)</f>
        <v>1</v>
      </c>
      <c r="T293" s="2">
        <f t="shared" si="4"/>
        <v>1</v>
      </c>
      <c r="U293" s="2">
        <f t="shared" si="5"/>
        <v>1</v>
      </c>
      <c r="V293" s="2">
        <f t="shared" si="6"/>
        <v>1</v>
      </c>
    </row>
    <row r="294" ht="14.25" customHeight="1">
      <c r="A294" s="2" t="s">
        <v>307</v>
      </c>
      <c r="B294" s="2" t="s">
        <v>12</v>
      </c>
      <c r="C294" s="2" t="s">
        <v>39</v>
      </c>
      <c r="D294" s="8" t="s">
        <v>591</v>
      </c>
      <c r="E294" s="6">
        <v>45116.0</v>
      </c>
      <c r="F294" s="6">
        <v>45158.0</v>
      </c>
      <c r="G294" s="7">
        <v>9.69437655E8</v>
      </c>
      <c r="H294" s="8" t="s">
        <v>573</v>
      </c>
      <c r="I294" s="2">
        <f t="shared" ref="I294:P294" si="297">IF(ISBLANK(A294)=TRUE,0,1)</f>
        <v>1</v>
      </c>
      <c r="J294" s="2">
        <f t="shared" si="297"/>
        <v>1</v>
      </c>
      <c r="K294" s="2">
        <f t="shared" si="297"/>
        <v>1</v>
      </c>
      <c r="L294" s="2">
        <f t="shared" si="297"/>
        <v>1</v>
      </c>
      <c r="M294" s="2">
        <f t="shared" si="297"/>
        <v>1</v>
      </c>
      <c r="N294" s="2">
        <f t="shared" si="297"/>
        <v>1</v>
      </c>
      <c r="O294" s="2">
        <f t="shared" si="297"/>
        <v>1</v>
      </c>
      <c r="P294" s="2">
        <f t="shared" si="297"/>
        <v>1</v>
      </c>
      <c r="Q294" s="2">
        <f t="shared" si="3"/>
        <v>1</v>
      </c>
      <c r="R294" s="2">
        <f>IF(ISERROR(VLOOKUP(A294, 'Project Reference'!A:A, 1, FALSE)), 0, 1)</f>
        <v>1</v>
      </c>
      <c r="S294" s="2">
        <f>IFERROR(__xludf.DUMMYFUNCTION("IF(AND(REGEXMATCH(D294, B294), REGEXMATCH(D294, C294)), 1, 0)"),1.0)</f>
        <v>1</v>
      </c>
      <c r="T294" s="2">
        <f t="shared" si="4"/>
        <v>1</v>
      </c>
      <c r="U294" s="2">
        <f t="shared" si="5"/>
        <v>1</v>
      </c>
      <c r="V294" s="2">
        <f t="shared" si="6"/>
        <v>1</v>
      </c>
    </row>
    <row r="295" ht="14.25" customHeight="1">
      <c r="A295" s="2" t="s">
        <v>308</v>
      </c>
      <c r="B295" s="2" t="s">
        <v>60</v>
      </c>
      <c r="C295" s="2" t="s">
        <v>48</v>
      </c>
      <c r="D295" s="8" t="s">
        <v>625</v>
      </c>
      <c r="E295" s="6">
        <v>45116.0</v>
      </c>
      <c r="F295" s="6">
        <v>45350.0</v>
      </c>
      <c r="G295" s="7">
        <v>3.165392319E9</v>
      </c>
      <c r="H295" s="8" t="s">
        <v>573</v>
      </c>
      <c r="I295" s="2">
        <f t="shared" ref="I295:P295" si="298">IF(ISBLANK(A295)=TRUE,0,1)</f>
        <v>1</v>
      </c>
      <c r="J295" s="2">
        <f t="shared" si="298"/>
        <v>1</v>
      </c>
      <c r="K295" s="2">
        <f t="shared" si="298"/>
        <v>1</v>
      </c>
      <c r="L295" s="2">
        <f t="shared" si="298"/>
        <v>1</v>
      </c>
      <c r="M295" s="2">
        <f t="shared" si="298"/>
        <v>1</v>
      </c>
      <c r="N295" s="2">
        <f t="shared" si="298"/>
        <v>1</v>
      </c>
      <c r="O295" s="2">
        <f t="shared" si="298"/>
        <v>1</v>
      </c>
      <c r="P295" s="2">
        <f t="shared" si="298"/>
        <v>1</v>
      </c>
      <c r="Q295" s="2">
        <f t="shared" si="3"/>
        <v>1</v>
      </c>
      <c r="R295" s="2">
        <f>IF(ISERROR(VLOOKUP(A295, 'Project Reference'!A:A, 1, FALSE)), 0, 1)</f>
        <v>1</v>
      </c>
      <c r="S295" s="2">
        <f>IFERROR(__xludf.DUMMYFUNCTION("IF(AND(REGEXMATCH(D295, B295), REGEXMATCH(D295, C295)), 1, 0)"),1.0)</f>
        <v>1</v>
      </c>
      <c r="T295" s="2">
        <f t="shared" si="4"/>
        <v>1</v>
      </c>
      <c r="U295" s="2">
        <f t="shared" si="5"/>
        <v>1</v>
      </c>
      <c r="V295" s="2">
        <f t="shared" si="6"/>
        <v>1</v>
      </c>
    </row>
    <row r="296" ht="14.25" customHeight="1">
      <c r="A296" s="2" t="s">
        <v>309</v>
      </c>
      <c r="B296" s="2" t="s">
        <v>30</v>
      </c>
      <c r="C296" s="2" t="s">
        <v>13</v>
      </c>
      <c r="D296" s="8" t="s">
        <v>630</v>
      </c>
      <c r="E296" s="6">
        <v>45117.0</v>
      </c>
      <c r="F296" s="6">
        <v>45156.0</v>
      </c>
      <c r="G296" s="7">
        <v>5.204534546E9</v>
      </c>
      <c r="H296" s="8" t="s">
        <v>581</v>
      </c>
      <c r="I296" s="2">
        <f t="shared" ref="I296:P296" si="299">IF(ISBLANK(A296)=TRUE,0,1)</f>
        <v>1</v>
      </c>
      <c r="J296" s="2">
        <f t="shared" si="299"/>
        <v>1</v>
      </c>
      <c r="K296" s="2">
        <f t="shared" si="299"/>
        <v>1</v>
      </c>
      <c r="L296" s="2">
        <f t="shared" si="299"/>
        <v>1</v>
      </c>
      <c r="M296" s="2">
        <f t="shared" si="299"/>
        <v>1</v>
      </c>
      <c r="N296" s="2">
        <f t="shared" si="299"/>
        <v>1</v>
      </c>
      <c r="O296" s="2">
        <f t="shared" si="299"/>
        <v>1</v>
      </c>
      <c r="P296" s="2">
        <f t="shared" si="299"/>
        <v>1</v>
      </c>
      <c r="Q296" s="2">
        <f t="shared" si="3"/>
        <v>1</v>
      </c>
      <c r="R296" s="2">
        <f>IF(ISERROR(VLOOKUP(A296, 'Project Reference'!A:A, 1, FALSE)), 0, 1)</f>
        <v>1</v>
      </c>
      <c r="S296" s="2">
        <f>IFERROR(__xludf.DUMMYFUNCTION("IF(AND(REGEXMATCH(D296, B296), REGEXMATCH(D296, C296)), 1, 0)"),1.0)</f>
        <v>1</v>
      </c>
      <c r="T296" s="2">
        <f t="shared" si="4"/>
        <v>1</v>
      </c>
      <c r="U296" s="2">
        <f t="shared" si="5"/>
        <v>1</v>
      </c>
      <c r="V296" s="2">
        <f t="shared" si="6"/>
        <v>1</v>
      </c>
    </row>
    <row r="297" ht="14.25" customHeight="1">
      <c r="A297" s="2" t="s">
        <v>310</v>
      </c>
      <c r="B297" s="2" t="s">
        <v>18</v>
      </c>
      <c r="C297" s="2" t="s">
        <v>19</v>
      </c>
      <c r="D297" s="8" t="s">
        <v>633</v>
      </c>
      <c r="E297" s="6">
        <v>45118.0</v>
      </c>
      <c r="F297" s="6">
        <v>45288.0</v>
      </c>
      <c r="G297" s="7">
        <v>3.942664693E9</v>
      </c>
      <c r="H297" s="2" t="s">
        <v>21</v>
      </c>
      <c r="I297" s="2">
        <f t="shared" ref="I297:P297" si="300">IF(ISBLANK(A297)=TRUE,0,1)</f>
        <v>1</v>
      </c>
      <c r="J297" s="2">
        <f t="shared" si="300"/>
        <v>1</v>
      </c>
      <c r="K297" s="2">
        <f t="shared" si="300"/>
        <v>1</v>
      </c>
      <c r="L297" s="2">
        <f t="shared" si="300"/>
        <v>1</v>
      </c>
      <c r="M297" s="2">
        <f t="shared" si="300"/>
        <v>1</v>
      </c>
      <c r="N297" s="2">
        <f t="shared" si="300"/>
        <v>1</v>
      </c>
      <c r="O297" s="2">
        <f t="shared" si="300"/>
        <v>1</v>
      </c>
      <c r="P297" s="2">
        <f t="shared" si="300"/>
        <v>1</v>
      </c>
      <c r="Q297" s="2">
        <f t="shared" si="3"/>
        <v>1</v>
      </c>
      <c r="R297" s="2">
        <f>IF(ISERROR(VLOOKUP(A297, 'Project Reference'!A:A, 1, FALSE)), 0, 1)</f>
        <v>1</v>
      </c>
      <c r="S297" s="2">
        <f>IFERROR(__xludf.DUMMYFUNCTION("IF(AND(REGEXMATCH(D297, B297), REGEXMATCH(D297, C297)), 1, 0)"),1.0)</f>
        <v>1</v>
      </c>
      <c r="T297" s="2">
        <f t="shared" si="4"/>
        <v>1</v>
      </c>
      <c r="U297" s="2">
        <f t="shared" si="5"/>
        <v>1</v>
      </c>
      <c r="V297" s="2">
        <f t="shared" si="6"/>
        <v>1</v>
      </c>
    </row>
    <row r="298" ht="14.25" customHeight="1">
      <c r="A298" s="2" t="s">
        <v>311</v>
      </c>
      <c r="B298" s="2" t="s">
        <v>60</v>
      </c>
      <c r="C298" s="2" t="s">
        <v>19</v>
      </c>
      <c r="D298" s="8" t="s">
        <v>616</v>
      </c>
      <c r="E298" s="6">
        <v>45118.0</v>
      </c>
      <c r="F298" s="6">
        <v>45256.0</v>
      </c>
      <c r="G298" s="7">
        <v>1.996986704E9</v>
      </c>
      <c r="H298" s="2" t="s">
        <v>33</v>
      </c>
      <c r="I298" s="2">
        <f t="shared" ref="I298:P298" si="301">IF(ISBLANK(A298)=TRUE,0,1)</f>
        <v>1</v>
      </c>
      <c r="J298" s="2">
        <f t="shared" si="301"/>
        <v>1</v>
      </c>
      <c r="K298" s="2">
        <f t="shared" si="301"/>
        <v>1</v>
      </c>
      <c r="L298" s="2">
        <f t="shared" si="301"/>
        <v>1</v>
      </c>
      <c r="M298" s="2">
        <f t="shared" si="301"/>
        <v>1</v>
      </c>
      <c r="N298" s="2">
        <f t="shared" si="301"/>
        <v>1</v>
      </c>
      <c r="O298" s="2">
        <f t="shared" si="301"/>
        <v>1</v>
      </c>
      <c r="P298" s="2">
        <f t="shared" si="301"/>
        <v>1</v>
      </c>
      <c r="Q298" s="2">
        <f t="shared" si="3"/>
        <v>1</v>
      </c>
      <c r="R298" s="2">
        <f>IF(ISERROR(VLOOKUP(A298, 'Project Reference'!A:A, 1, FALSE)), 0, 1)</f>
        <v>1</v>
      </c>
      <c r="S298" s="2">
        <f>IFERROR(__xludf.DUMMYFUNCTION("IF(AND(REGEXMATCH(D298, B298), REGEXMATCH(D298, C298)), 1, 0)"),1.0)</f>
        <v>1</v>
      </c>
      <c r="T298" s="2">
        <f t="shared" si="4"/>
        <v>1</v>
      </c>
      <c r="U298" s="2">
        <f t="shared" si="5"/>
        <v>1</v>
      </c>
      <c r="V298" s="2">
        <f t="shared" si="6"/>
        <v>1</v>
      </c>
    </row>
    <row r="299" ht="14.25" customHeight="1">
      <c r="A299" s="2" t="s">
        <v>312</v>
      </c>
      <c r="B299" s="2" t="s">
        <v>30</v>
      </c>
      <c r="C299" s="2" t="s">
        <v>39</v>
      </c>
      <c r="D299" s="8" t="s">
        <v>638</v>
      </c>
      <c r="E299" s="6">
        <v>45118.0</v>
      </c>
      <c r="F299" s="6">
        <v>45394.0</v>
      </c>
      <c r="G299" s="7">
        <v>1.005719572E9</v>
      </c>
      <c r="H299" s="8" t="s">
        <v>573</v>
      </c>
      <c r="I299" s="2">
        <f t="shared" ref="I299:P299" si="302">IF(ISBLANK(A299)=TRUE,0,1)</f>
        <v>1</v>
      </c>
      <c r="J299" s="2">
        <f t="shared" si="302"/>
        <v>1</v>
      </c>
      <c r="K299" s="2">
        <f t="shared" si="302"/>
        <v>1</v>
      </c>
      <c r="L299" s="2">
        <f t="shared" si="302"/>
        <v>1</v>
      </c>
      <c r="M299" s="2">
        <f t="shared" si="302"/>
        <v>1</v>
      </c>
      <c r="N299" s="2">
        <f t="shared" si="302"/>
        <v>1</v>
      </c>
      <c r="O299" s="2">
        <f t="shared" si="302"/>
        <v>1</v>
      </c>
      <c r="P299" s="2">
        <f t="shared" si="302"/>
        <v>1</v>
      </c>
      <c r="Q299" s="2">
        <f t="shared" si="3"/>
        <v>1</v>
      </c>
      <c r="R299" s="2">
        <f>IF(ISERROR(VLOOKUP(A299, 'Project Reference'!A:A, 1, FALSE)), 0, 1)</f>
        <v>1</v>
      </c>
      <c r="S299" s="2">
        <f>IFERROR(__xludf.DUMMYFUNCTION("IF(AND(REGEXMATCH(D299, B299), REGEXMATCH(D299, C299)), 1, 0)"),1.0)</f>
        <v>1</v>
      </c>
      <c r="T299" s="2">
        <f t="shared" si="4"/>
        <v>1</v>
      </c>
      <c r="U299" s="2">
        <f t="shared" si="5"/>
        <v>1</v>
      </c>
      <c r="V299" s="2">
        <f t="shared" si="6"/>
        <v>1</v>
      </c>
    </row>
    <row r="300" ht="14.25" customHeight="1">
      <c r="A300" s="2" t="s">
        <v>313</v>
      </c>
      <c r="B300" s="2" t="s">
        <v>60</v>
      </c>
      <c r="C300" s="2" t="s">
        <v>19</v>
      </c>
      <c r="D300" s="8" t="s">
        <v>635</v>
      </c>
      <c r="E300" s="6">
        <v>45118.0</v>
      </c>
      <c r="F300" s="6">
        <v>45180.0</v>
      </c>
      <c r="G300" s="7">
        <v>4.155376448E9</v>
      </c>
      <c r="H300" s="2" t="s">
        <v>50</v>
      </c>
      <c r="I300" s="2">
        <f t="shared" ref="I300:P300" si="303">IF(ISBLANK(A300)=TRUE,0,1)</f>
        <v>1</v>
      </c>
      <c r="J300" s="2">
        <f t="shared" si="303"/>
        <v>1</v>
      </c>
      <c r="K300" s="2">
        <f t="shared" si="303"/>
        <v>1</v>
      </c>
      <c r="L300" s="2">
        <f t="shared" si="303"/>
        <v>1</v>
      </c>
      <c r="M300" s="2">
        <f t="shared" si="303"/>
        <v>1</v>
      </c>
      <c r="N300" s="2">
        <f t="shared" si="303"/>
        <v>1</v>
      </c>
      <c r="O300" s="2">
        <f t="shared" si="303"/>
        <v>1</v>
      </c>
      <c r="P300" s="2">
        <f t="shared" si="303"/>
        <v>1</v>
      </c>
      <c r="Q300" s="2">
        <f t="shared" si="3"/>
        <v>1</v>
      </c>
      <c r="R300" s="2">
        <f>IF(ISERROR(VLOOKUP(A300, 'Project Reference'!A:A, 1, FALSE)), 0, 1)</f>
        <v>1</v>
      </c>
      <c r="S300" s="2">
        <f>IFERROR(__xludf.DUMMYFUNCTION("IF(AND(REGEXMATCH(D300, B300), REGEXMATCH(D300, C300)), 1, 0)"),1.0)</f>
        <v>1</v>
      </c>
      <c r="T300" s="2">
        <f t="shared" si="4"/>
        <v>1</v>
      </c>
      <c r="U300" s="2">
        <f t="shared" si="5"/>
        <v>1</v>
      </c>
      <c r="V300" s="2">
        <f t="shared" si="6"/>
        <v>1</v>
      </c>
    </row>
    <row r="301" ht="14.25" customHeight="1">
      <c r="A301" s="2" t="s">
        <v>314</v>
      </c>
      <c r="B301" s="2" t="s">
        <v>18</v>
      </c>
      <c r="C301" s="2" t="s">
        <v>31</v>
      </c>
      <c r="D301" s="8" t="s">
        <v>636</v>
      </c>
      <c r="E301" s="6">
        <v>45118.0</v>
      </c>
      <c r="F301" s="6">
        <v>45452.0</v>
      </c>
      <c r="G301" s="7">
        <v>6.519755129E9</v>
      </c>
      <c r="H301" s="2" t="s">
        <v>67</v>
      </c>
      <c r="I301" s="2">
        <f t="shared" ref="I301:P301" si="304">IF(ISBLANK(A301)=TRUE,0,1)</f>
        <v>1</v>
      </c>
      <c r="J301" s="2">
        <f t="shared" si="304"/>
        <v>1</v>
      </c>
      <c r="K301" s="2">
        <f t="shared" si="304"/>
        <v>1</v>
      </c>
      <c r="L301" s="2">
        <f t="shared" si="304"/>
        <v>1</v>
      </c>
      <c r="M301" s="2">
        <f t="shared" si="304"/>
        <v>1</v>
      </c>
      <c r="N301" s="2">
        <f t="shared" si="304"/>
        <v>1</v>
      </c>
      <c r="O301" s="2">
        <f t="shared" si="304"/>
        <v>1</v>
      </c>
      <c r="P301" s="2">
        <f t="shared" si="304"/>
        <v>1</v>
      </c>
      <c r="Q301" s="2">
        <f t="shared" si="3"/>
        <v>1</v>
      </c>
      <c r="R301" s="2">
        <f>IF(ISERROR(VLOOKUP(A301, 'Project Reference'!A:A, 1, FALSE)), 0, 1)</f>
        <v>1</v>
      </c>
      <c r="S301" s="2">
        <f>IFERROR(__xludf.DUMMYFUNCTION("IF(AND(REGEXMATCH(D301, B301), REGEXMATCH(D301, C301)), 1, 0)"),1.0)</f>
        <v>1</v>
      </c>
      <c r="T301" s="2">
        <f t="shared" si="4"/>
        <v>1</v>
      </c>
      <c r="U301" s="2">
        <f t="shared" si="5"/>
        <v>1</v>
      </c>
      <c r="V301" s="2">
        <f t="shared" si="6"/>
        <v>1</v>
      </c>
    </row>
    <row r="302" ht="14.25" customHeight="1">
      <c r="A302" s="2" t="s">
        <v>315</v>
      </c>
      <c r="B302" s="2" t="s">
        <v>12</v>
      </c>
      <c r="C302" s="2" t="s">
        <v>19</v>
      </c>
      <c r="D302" s="8" t="s">
        <v>631</v>
      </c>
      <c r="E302" s="6">
        <v>45119.0</v>
      </c>
      <c r="F302" s="6">
        <v>45427.0</v>
      </c>
      <c r="G302" s="7">
        <v>5.09824821E8</v>
      </c>
      <c r="H302" s="2" t="s">
        <v>33</v>
      </c>
      <c r="I302" s="2">
        <f t="shared" ref="I302:P302" si="305">IF(ISBLANK(A302)=TRUE,0,1)</f>
        <v>1</v>
      </c>
      <c r="J302" s="2">
        <f t="shared" si="305"/>
        <v>1</v>
      </c>
      <c r="K302" s="2">
        <f t="shared" si="305"/>
        <v>1</v>
      </c>
      <c r="L302" s="2">
        <f t="shared" si="305"/>
        <v>1</v>
      </c>
      <c r="M302" s="2">
        <f t="shared" si="305"/>
        <v>1</v>
      </c>
      <c r="N302" s="2">
        <f t="shared" si="305"/>
        <v>1</v>
      </c>
      <c r="O302" s="2">
        <f t="shared" si="305"/>
        <v>1</v>
      </c>
      <c r="P302" s="2">
        <f t="shared" si="305"/>
        <v>1</v>
      </c>
      <c r="Q302" s="2">
        <f t="shared" si="3"/>
        <v>1</v>
      </c>
      <c r="R302" s="2">
        <f>IF(ISERROR(VLOOKUP(A302, 'Project Reference'!A:A, 1, FALSE)), 0, 1)</f>
        <v>1</v>
      </c>
      <c r="S302" s="2">
        <f>IFERROR(__xludf.DUMMYFUNCTION("IF(AND(REGEXMATCH(D302, B302), REGEXMATCH(D302, C302)), 1, 0)"),1.0)</f>
        <v>1</v>
      </c>
      <c r="T302" s="2">
        <f t="shared" si="4"/>
        <v>1</v>
      </c>
      <c r="U302" s="2">
        <f t="shared" si="5"/>
        <v>1</v>
      </c>
      <c r="V302" s="2">
        <f t="shared" si="6"/>
        <v>1</v>
      </c>
    </row>
    <row r="303" ht="14.25" customHeight="1">
      <c r="A303" s="2" t="s">
        <v>317</v>
      </c>
      <c r="B303" s="2" t="s">
        <v>60</v>
      </c>
      <c r="C303" s="2" t="s">
        <v>42</v>
      </c>
      <c r="D303" s="8" t="s">
        <v>587</v>
      </c>
      <c r="E303" s="6">
        <v>45120.0</v>
      </c>
      <c r="F303" s="6">
        <v>45223.0</v>
      </c>
      <c r="G303" s="7">
        <v>2.236844121E9</v>
      </c>
      <c r="H303" s="8" t="s">
        <v>573</v>
      </c>
      <c r="I303" s="2">
        <f t="shared" ref="I303:P303" si="306">IF(ISBLANK(A303)=TRUE,0,1)</f>
        <v>1</v>
      </c>
      <c r="J303" s="2">
        <f t="shared" si="306"/>
        <v>1</v>
      </c>
      <c r="K303" s="2">
        <f t="shared" si="306"/>
        <v>1</v>
      </c>
      <c r="L303" s="2">
        <f t="shared" si="306"/>
        <v>1</v>
      </c>
      <c r="M303" s="2">
        <f t="shared" si="306"/>
        <v>1</v>
      </c>
      <c r="N303" s="2">
        <f t="shared" si="306"/>
        <v>1</v>
      </c>
      <c r="O303" s="2">
        <f t="shared" si="306"/>
        <v>1</v>
      </c>
      <c r="P303" s="2">
        <f t="shared" si="306"/>
        <v>1</v>
      </c>
      <c r="Q303" s="2">
        <f t="shared" si="3"/>
        <v>1</v>
      </c>
      <c r="R303" s="2">
        <f>IF(ISERROR(VLOOKUP(A303, 'Project Reference'!A:A, 1, FALSE)), 0, 1)</f>
        <v>1</v>
      </c>
      <c r="S303" s="2">
        <f>IFERROR(__xludf.DUMMYFUNCTION("IF(AND(REGEXMATCH(D303, B303), REGEXMATCH(D303, C303)), 1, 0)"),1.0)</f>
        <v>1</v>
      </c>
      <c r="T303" s="2">
        <f t="shared" si="4"/>
        <v>1</v>
      </c>
      <c r="U303" s="2">
        <f t="shared" si="5"/>
        <v>1</v>
      </c>
      <c r="V303" s="2">
        <f t="shared" si="6"/>
        <v>1</v>
      </c>
    </row>
    <row r="304" ht="14.25" customHeight="1">
      <c r="A304" s="2" t="s">
        <v>318</v>
      </c>
      <c r="B304" s="2" t="s">
        <v>12</v>
      </c>
      <c r="C304" s="2" t="s">
        <v>24</v>
      </c>
      <c r="D304" s="8" t="s">
        <v>610</v>
      </c>
      <c r="E304" s="6">
        <v>45121.0</v>
      </c>
      <c r="F304" s="6">
        <v>45176.0</v>
      </c>
      <c r="G304" s="7">
        <v>3.69427315E8</v>
      </c>
      <c r="H304" s="8" t="s">
        <v>581</v>
      </c>
      <c r="I304" s="2">
        <f t="shared" ref="I304:P304" si="307">IF(ISBLANK(A304)=TRUE,0,1)</f>
        <v>1</v>
      </c>
      <c r="J304" s="2">
        <f t="shared" si="307"/>
        <v>1</v>
      </c>
      <c r="K304" s="2">
        <f t="shared" si="307"/>
        <v>1</v>
      </c>
      <c r="L304" s="2">
        <f t="shared" si="307"/>
        <v>1</v>
      </c>
      <c r="M304" s="2">
        <f t="shared" si="307"/>
        <v>1</v>
      </c>
      <c r="N304" s="2">
        <f t="shared" si="307"/>
        <v>1</v>
      </c>
      <c r="O304" s="2">
        <f t="shared" si="307"/>
        <v>1</v>
      </c>
      <c r="P304" s="2">
        <f t="shared" si="307"/>
        <v>1</v>
      </c>
      <c r="Q304" s="2">
        <f t="shared" si="3"/>
        <v>1</v>
      </c>
      <c r="R304" s="2">
        <f>IF(ISERROR(VLOOKUP(A304, 'Project Reference'!A:A, 1, FALSE)), 0, 1)</f>
        <v>1</v>
      </c>
      <c r="S304" s="2">
        <f>IFERROR(__xludf.DUMMYFUNCTION("IF(AND(REGEXMATCH(D304, B304), REGEXMATCH(D304, C304)), 1, 0)"),1.0)</f>
        <v>1</v>
      </c>
      <c r="T304" s="2">
        <f t="shared" si="4"/>
        <v>1</v>
      </c>
      <c r="U304" s="2">
        <f t="shared" si="5"/>
        <v>1</v>
      </c>
      <c r="V304" s="2">
        <f t="shared" si="6"/>
        <v>1</v>
      </c>
    </row>
    <row r="305" ht="14.25" customHeight="1">
      <c r="A305" s="2" t="s">
        <v>319</v>
      </c>
      <c r="B305" s="2" t="s">
        <v>30</v>
      </c>
      <c r="C305" s="2" t="s">
        <v>24</v>
      </c>
      <c r="D305" s="8" t="s">
        <v>637</v>
      </c>
      <c r="E305" s="6">
        <v>45121.0</v>
      </c>
      <c r="F305" s="6">
        <v>45161.0</v>
      </c>
      <c r="G305" s="7">
        <v>3.688243132E9</v>
      </c>
      <c r="H305" s="8" t="s">
        <v>573</v>
      </c>
      <c r="I305" s="2">
        <f t="shared" ref="I305:P305" si="308">IF(ISBLANK(A305)=TRUE,0,1)</f>
        <v>1</v>
      </c>
      <c r="J305" s="2">
        <f t="shared" si="308"/>
        <v>1</v>
      </c>
      <c r="K305" s="2">
        <f t="shared" si="308"/>
        <v>1</v>
      </c>
      <c r="L305" s="2">
        <f t="shared" si="308"/>
        <v>1</v>
      </c>
      <c r="M305" s="2">
        <f t="shared" si="308"/>
        <v>1</v>
      </c>
      <c r="N305" s="2">
        <f t="shared" si="308"/>
        <v>1</v>
      </c>
      <c r="O305" s="2">
        <f t="shared" si="308"/>
        <v>1</v>
      </c>
      <c r="P305" s="2">
        <f t="shared" si="308"/>
        <v>1</v>
      </c>
      <c r="Q305" s="2">
        <f t="shared" si="3"/>
        <v>1</v>
      </c>
      <c r="R305" s="2">
        <f>IF(ISERROR(VLOOKUP(A305, 'Project Reference'!A:A, 1, FALSE)), 0, 1)</f>
        <v>1</v>
      </c>
      <c r="S305" s="2">
        <f>IFERROR(__xludf.DUMMYFUNCTION("IF(AND(REGEXMATCH(D305, B305), REGEXMATCH(D305, C305)), 1, 0)"),1.0)</f>
        <v>1</v>
      </c>
      <c r="T305" s="2">
        <f t="shared" si="4"/>
        <v>1</v>
      </c>
      <c r="U305" s="2">
        <f t="shared" si="5"/>
        <v>1</v>
      </c>
      <c r="V305" s="2">
        <f t="shared" si="6"/>
        <v>1</v>
      </c>
    </row>
    <row r="306" ht="14.25" customHeight="1">
      <c r="A306" s="2" t="s">
        <v>320</v>
      </c>
      <c r="B306" s="2" t="s">
        <v>12</v>
      </c>
      <c r="C306" s="2" t="s">
        <v>48</v>
      </c>
      <c r="D306" s="8" t="s">
        <v>602</v>
      </c>
      <c r="E306" s="6">
        <v>45123.0</v>
      </c>
      <c r="F306" s="6">
        <v>45315.0</v>
      </c>
      <c r="G306" s="7">
        <v>3.81166441E8</v>
      </c>
      <c r="H306" s="2" t="s">
        <v>33</v>
      </c>
      <c r="I306" s="2">
        <f t="shared" ref="I306:P306" si="309">IF(ISBLANK(A306)=TRUE,0,1)</f>
        <v>1</v>
      </c>
      <c r="J306" s="2">
        <f t="shared" si="309"/>
        <v>1</v>
      </c>
      <c r="K306" s="2">
        <f t="shared" si="309"/>
        <v>1</v>
      </c>
      <c r="L306" s="2">
        <f t="shared" si="309"/>
        <v>1</v>
      </c>
      <c r="M306" s="2">
        <f t="shared" si="309"/>
        <v>1</v>
      </c>
      <c r="N306" s="2">
        <f t="shared" si="309"/>
        <v>1</v>
      </c>
      <c r="O306" s="2">
        <f t="shared" si="309"/>
        <v>1</v>
      </c>
      <c r="P306" s="2">
        <f t="shared" si="309"/>
        <v>1</v>
      </c>
      <c r="Q306" s="2">
        <f t="shared" si="3"/>
        <v>1</v>
      </c>
      <c r="R306" s="2">
        <f>IF(ISERROR(VLOOKUP(A306, 'Project Reference'!A:A, 1, FALSE)), 0, 1)</f>
        <v>1</v>
      </c>
      <c r="S306" s="2">
        <f>IFERROR(__xludf.DUMMYFUNCTION("IF(AND(REGEXMATCH(D306, B306), REGEXMATCH(D306, C306)), 1, 0)"),1.0)</f>
        <v>1</v>
      </c>
      <c r="T306" s="2">
        <f t="shared" si="4"/>
        <v>1</v>
      </c>
      <c r="U306" s="2">
        <f t="shared" si="5"/>
        <v>1</v>
      </c>
      <c r="V306" s="2">
        <f t="shared" si="6"/>
        <v>1</v>
      </c>
    </row>
    <row r="307" ht="14.25" customHeight="1">
      <c r="A307" s="2" t="s">
        <v>322</v>
      </c>
      <c r="B307" s="2" t="s">
        <v>12</v>
      </c>
      <c r="C307" s="2" t="s">
        <v>42</v>
      </c>
      <c r="D307" s="8" t="s">
        <v>603</v>
      </c>
      <c r="E307" s="6">
        <v>45124.0</v>
      </c>
      <c r="F307" s="6">
        <v>45258.0</v>
      </c>
      <c r="G307" s="7">
        <v>2.83236486E8</v>
      </c>
      <c r="H307" s="2" t="s">
        <v>44</v>
      </c>
      <c r="I307" s="2">
        <f t="shared" ref="I307:P307" si="310">IF(ISBLANK(A307)=TRUE,0,1)</f>
        <v>1</v>
      </c>
      <c r="J307" s="2">
        <f t="shared" si="310"/>
        <v>1</v>
      </c>
      <c r="K307" s="2">
        <f t="shared" si="310"/>
        <v>1</v>
      </c>
      <c r="L307" s="2">
        <f t="shared" si="310"/>
        <v>1</v>
      </c>
      <c r="M307" s="2">
        <f t="shared" si="310"/>
        <v>1</v>
      </c>
      <c r="N307" s="2">
        <f t="shared" si="310"/>
        <v>1</v>
      </c>
      <c r="O307" s="2">
        <f t="shared" si="310"/>
        <v>1</v>
      </c>
      <c r="P307" s="2">
        <f t="shared" si="310"/>
        <v>1</v>
      </c>
      <c r="Q307" s="2">
        <f t="shared" si="3"/>
        <v>1</v>
      </c>
      <c r="R307" s="2">
        <f>IF(ISERROR(VLOOKUP(A307, 'Project Reference'!A:A, 1, FALSE)), 0, 1)</f>
        <v>1</v>
      </c>
      <c r="S307" s="2">
        <f>IFERROR(__xludf.DUMMYFUNCTION("IF(AND(REGEXMATCH(D307, B307), REGEXMATCH(D307, C307)), 1, 0)"),1.0)</f>
        <v>1</v>
      </c>
      <c r="T307" s="2">
        <f t="shared" si="4"/>
        <v>1</v>
      </c>
      <c r="U307" s="2">
        <f t="shared" si="5"/>
        <v>1</v>
      </c>
      <c r="V307" s="2">
        <f t="shared" si="6"/>
        <v>1</v>
      </c>
    </row>
    <row r="308" ht="14.25" customHeight="1">
      <c r="A308" s="2" t="s">
        <v>323</v>
      </c>
      <c r="B308" s="2" t="s">
        <v>35</v>
      </c>
      <c r="C308" s="2" t="s">
        <v>31</v>
      </c>
      <c r="D308" s="2" t="s">
        <v>91</v>
      </c>
      <c r="E308" s="6">
        <v>45124.0</v>
      </c>
      <c r="F308" s="6">
        <v>45269.0</v>
      </c>
      <c r="G308" s="7">
        <v>2.88462185E8</v>
      </c>
      <c r="H308" s="2" t="s">
        <v>67</v>
      </c>
      <c r="I308" s="2">
        <f t="shared" ref="I308:P308" si="311">IF(ISBLANK(A308)=TRUE,0,1)</f>
        <v>1</v>
      </c>
      <c r="J308" s="2">
        <f t="shared" si="311"/>
        <v>1</v>
      </c>
      <c r="K308" s="2">
        <f t="shared" si="311"/>
        <v>1</v>
      </c>
      <c r="L308" s="2">
        <f t="shared" si="311"/>
        <v>1</v>
      </c>
      <c r="M308" s="2">
        <f t="shared" si="311"/>
        <v>1</v>
      </c>
      <c r="N308" s="2">
        <f t="shared" si="311"/>
        <v>1</v>
      </c>
      <c r="O308" s="2">
        <f t="shared" si="311"/>
        <v>1</v>
      </c>
      <c r="P308" s="2">
        <f t="shared" si="311"/>
        <v>1</v>
      </c>
      <c r="Q308" s="2">
        <f t="shared" si="3"/>
        <v>1</v>
      </c>
      <c r="R308" s="2">
        <f>IF(ISERROR(VLOOKUP(A308, 'Project Reference'!A:A, 1, FALSE)), 0, 1)</f>
        <v>1</v>
      </c>
      <c r="S308" s="2">
        <f>IFERROR(__xludf.DUMMYFUNCTION("IF(AND(REGEXMATCH(D308, B308), REGEXMATCH(D308, C308)), 1, 0)"),1.0)</f>
        <v>1</v>
      </c>
      <c r="T308" s="2">
        <f t="shared" si="4"/>
        <v>1</v>
      </c>
      <c r="U308" s="2">
        <f t="shared" si="5"/>
        <v>1</v>
      </c>
      <c r="V308" s="2">
        <f t="shared" si="6"/>
        <v>1</v>
      </c>
    </row>
    <row r="309" ht="14.25" customHeight="1">
      <c r="A309" s="2" t="s">
        <v>324</v>
      </c>
      <c r="B309" s="2" t="s">
        <v>12</v>
      </c>
      <c r="C309" s="2" t="s">
        <v>36</v>
      </c>
      <c r="D309" s="8" t="s">
        <v>578</v>
      </c>
      <c r="E309" s="6">
        <v>45125.0</v>
      </c>
      <c r="F309" s="6">
        <v>45419.0</v>
      </c>
      <c r="G309" s="7">
        <v>7.06008565E8</v>
      </c>
      <c r="H309" s="2" t="s">
        <v>33</v>
      </c>
      <c r="I309" s="2">
        <f t="shared" ref="I309:P309" si="312">IF(ISBLANK(A309)=TRUE,0,1)</f>
        <v>1</v>
      </c>
      <c r="J309" s="2">
        <f t="shared" si="312"/>
        <v>1</v>
      </c>
      <c r="K309" s="2">
        <f t="shared" si="312"/>
        <v>1</v>
      </c>
      <c r="L309" s="2">
        <f t="shared" si="312"/>
        <v>1</v>
      </c>
      <c r="M309" s="2">
        <f t="shared" si="312"/>
        <v>1</v>
      </c>
      <c r="N309" s="2">
        <f t="shared" si="312"/>
        <v>1</v>
      </c>
      <c r="O309" s="2">
        <f t="shared" si="312"/>
        <v>1</v>
      </c>
      <c r="P309" s="2">
        <f t="shared" si="312"/>
        <v>1</v>
      </c>
      <c r="Q309" s="2">
        <f t="shared" si="3"/>
        <v>1</v>
      </c>
      <c r="R309" s="2">
        <f>IF(ISERROR(VLOOKUP(A309, 'Project Reference'!A:A, 1, FALSE)), 0, 1)</f>
        <v>1</v>
      </c>
      <c r="S309" s="2">
        <f>IFERROR(__xludf.DUMMYFUNCTION("IF(AND(REGEXMATCH(D309, B309), REGEXMATCH(D309, C309)), 1, 0)"),1.0)</f>
        <v>1</v>
      </c>
      <c r="T309" s="2">
        <f t="shared" si="4"/>
        <v>1</v>
      </c>
      <c r="U309" s="2">
        <f t="shared" si="5"/>
        <v>1</v>
      </c>
      <c r="V309" s="2">
        <f t="shared" si="6"/>
        <v>1</v>
      </c>
    </row>
    <row r="310" ht="14.25" customHeight="1">
      <c r="A310" s="2" t="s">
        <v>325</v>
      </c>
      <c r="B310" s="2" t="s">
        <v>30</v>
      </c>
      <c r="C310" s="2" t="s">
        <v>39</v>
      </c>
      <c r="D310" s="8" t="s">
        <v>590</v>
      </c>
      <c r="E310" s="6">
        <v>45125.0</v>
      </c>
      <c r="F310" s="6">
        <v>45317.0</v>
      </c>
      <c r="G310" s="7">
        <v>3.442468253E9</v>
      </c>
      <c r="H310" s="2" t="s">
        <v>33</v>
      </c>
      <c r="I310" s="2">
        <f t="shared" ref="I310:P310" si="313">IF(ISBLANK(A310)=TRUE,0,1)</f>
        <v>1</v>
      </c>
      <c r="J310" s="2">
        <f t="shared" si="313"/>
        <v>1</v>
      </c>
      <c r="K310" s="2">
        <f t="shared" si="313"/>
        <v>1</v>
      </c>
      <c r="L310" s="2">
        <f t="shared" si="313"/>
        <v>1</v>
      </c>
      <c r="M310" s="2">
        <f t="shared" si="313"/>
        <v>1</v>
      </c>
      <c r="N310" s="2">
        <f t="shared" si="313"/>
        <v>1</v>
      </c>
      <c r="O310" s="2">
        <f t="shared" si="313"/>
        <v>1</v>
      </c>
      <c r="P310" s="2">
        <f t="shared" si="313"/>
        <v>1</v>
      </c>
      <c r="Q310" s="2">
        <f t="shared" si="3"/>
        <v>1</v>
      </c>
      <c r="R310" s="2">
        <f>IF(ISERROR(VLOOKUP(A310, 'Project Reference'!A:A, 1, FALSE)), 0, 1)</f>
        <v>1</v>
      </c>
      <c r="S310" s="2">
        <f>IFERROR(__xludf.DUMMYFUNCTION("IF(AND(REGEXMATCH(D310, B310), REGEXMATCH(D310, C310)), 1, 0)"),1.0)</f>
        <v>1</v>
      </c>
      <c r="T310" s="2">
        <f t="shared" si="4"/>
        <v>1</v>
      </c>
      <c r="U310" s="2">
        <f t="shared" si="5"/>
        <v>1</v>
      </c>
      <c r="V310" s="2">
        <f t="shared" si="6"/>
        <v>1</v>
      </c>
    </row>
    <row r="311" ht="14.25" customHeight="1">
      <c r="A311" s="2" t="s">
        <v>326</v>
      </c>
      <c r="B311" s="2" t="s">
        <v>60</v>
      </c>
      <c r="C311" s="2" t="s">
        <v>48</v>
      </c>
      <c r="D311" s="8" t="s">
        <v>625</v>
      </c>
      <c r="E311" s="6">
        <v>45125.0</v>
      </c>
      <c r="F311" s="6">
        <v>45188.0</v>
      </c>
      <c r="G311" s="7">
        <v>2.233995238E9</v>
      </c>
      <c r="H311" s="2" t="s">
        <v>67</v>
      </c>
      <c r="I311" s="2">
        <f t="shared" ref="I311:P311" si="314">IF(ISBLANK(A311)=TRUE,0,1)</f>
        <v>1</v>
      </c>
      <c r="J311" s="2">
        <f t="shared" si="314"/>
        <v>1</v>
      </c>
      <c r="K311" s="2">
        <f t="shared" si="314"/>
        <v>1</v>
      </c>
      <c r="L311" s="2">
        <f t="shared" si="314"/>
        <v>1</v>
      </c>
      <c r="M311" s="2">
        <f t="shared" si="314"/>
        <v>1</v>
      </c>
      <c r="N311" s="2">
        <f t="shared" si="314"/>
        <v>1</v>
      </c>
      <c r="O311" s="2">
        <f t="shared" si="314"/>
        <v>1</v>
      </c>
      <c r="P311" s="2">
        <f t="shared" si="314"/>
        <v>1</v>
      </c>
      <c r="Q311" s="2">
        <f t="shared" si="3"/>
        <v>1</v>
      </c>
      <c r="R311" s="2">
        <f>IF(ISERROR(VLOOKUP(A311, 'Project Reference'!A:A, 1, FALSE)), 0, 1)</f>
        <v>1</v>
      </c>
      <c r="S311" s="2">
        <f>IFERROR(__xludf.DUMMYFUNCTION("IF(AND(REGEXMATCH(D311, B311), REGEXMATCH(D311, C311)), 1, 0)"),1.0)</f>
        <v>1</v>
      </c>
      <c r="T311" s="2">
        <f t="shared" si="4"/>
        <v>1</v>
      </c>
      <c r="U311" s="2">
        <f t="shared" si="5"/>
        <v>1</v>
      </c>
      <c r="V311" s="2">
        <f t="shared" si="6"/>
        <v>1</v>
      </c>
    </row>
    <row r="312" ht="14.25" customHeight="1">
      <c r="A312" s="2" t="s">
        <v>327</v>
      </c>
      <c r="B312" s="2" t="s">
        <v>35</v>
      </c>
      <c r="C312" s="2" t="s">
        <v>13</v>
      </c>
      <c r="D312" s="2" t="s">
        <v>78</v>
      </c>
      <c r="E312" s="6">
        <v>45125.0</v>
      </c>
      <c r="F312" s="6">
        <v>45277.0</v>
      </c>
      <c r="G312" s="7">
        <v>5.79386663E8</v>
      </c>
      <c r="H312" s="2" t="s">
        <v>67</v>
      </c>
      <c r="I312" s="2">
        <f t="shared" ref="I312:P312" si="315">IF(ISBLANK(A312)=TRUE,0,1)</f>
        <v>1</v>
      </c>
      <c r="J312" s="2">
        <f t="shared" si="315"/>
        <v>1</v>
      </c>
      <c r="K312" s="2">
        <f t="shared" si="315"/>
        <v>1</v>
      </c>
      <c r="L312" s="2">
        <f t="shared" si="315"/>
        <v>1</v>
      </c>
      <c r="M312" s="2">
        <f t="shared" si="315"/>
        <v>1</v>
      </c>
      <c r="N312" s="2">
        <f t="shared" si="315"/>
        <v>1</v>
      </c>
      <c r="O312" s="2">
        <f t="shared" si="315"/>
        <v>1</v>
      </c>
      <c r="P312" s="2">
        <f t="shared" si="315"/>
        <v>1</v>
      </c>
      <c r="Q312" s="2">
        <f t="shared" si="3"/>
        <v>1</v>
      </c>
      <c r="R312" s="2">
        <f>IF(ISERROR(VLOOKUP(A312, 'Project Reference'!A:A, 1, FALSE)), 0, 1)</f>
        <v>1</v>
      </c>
      <c r="S312" s="2">
        <f>IFERROR(__xludf.DUMMYFUNCTION("IF(AND(REGEXMATCH(D312, B312), REGEXMATCH(D312, C312)), 1, 0)"),1.0)</f>
        <v>1</v>
      </c>
      <c r="T312" s="2">
        <f t="shared" si="4"/>
        <v>1</v>
      </c>
      <c r="U312" s="2">
        <f t="shared" si="5"/>
        <v>1</v>
      </c>
      <c r="V312" s="2">
        <f t="shared" si="6"/>
        <v>1</v>
      </c>
    </row>
    <row r="313" ht="14.25" customHeight="1">
      <c r="A313" s="2" t="s">
        <v>328</v>
      </c>
      <c r="B313" s="2" t="s">
        <v>18</v>
      </c>
      <c r="C313" s="2" t="s">
        <v>24</v>
      </c>
      <c r="D313" s="8" t="s">
        <v>618</v>
      </c>
      <c r="E313" s="6">
        <v>45125.0</v>
      </c>
      <c r="F313" s="6">
        <v>45327.0</v>
      </c>
      <c r="G313" s="7">
        <v>2.89251248E9</v>
      </c>
      <c r="H313" s="2" t="s">
        <v>67</v>
      </c>
      <c r="I313" s="2">
        <f t="shared" ref="I313:P313" si="316">IF(ISBLANK(A313)=TRUE,0,1)</f>
        <v>1</v>
      </c>
      <c r="J313" s="2">
        <f t="shared" si="316"/>
        <v>1</v>
      </c>
      <c r="K313" s="2">
        <f t="shared" si="316"/>
        <v>1</v>
      </c>
      <c r="L313" s="2">
        <f t="shared" si="316"/>
        <v>1</v>
      </c>
      <c r="M313" s="2">
        <f t="shared" si="316"/>
        <v>1</v>
      </c>
      <c r="N313" s="2">
        <f t="shared" si="316"/>
        <v>1</v>
      </c>
      <c r="O313" s="2">
        <f t="shared" si="316"/>
        <v>1</v>
      </c>
      <c r="P313" s="2">
        <f t="shared" si="316"/>
        <v>1</v>
      </c>
      <c r="Q313" s="2">
        <f t="shared" si="3"/>
        <v>1</v>
      </c>
      <c r="R313" s="2">
        <f>IF(ISERROR(VLOOKUP(A313, 'Project Reference'!A:A, 1, FALSE)), 0, 1)</f>
        <v>1</v>
      </c>
      <c r="S313" s="2">
        <f>IFERROR(__xludf.DUMMYFUNCTION("IF(AND(REGEXMATCH(D313, B313), REGEXMATCH(D313, C313)), 1, 0)"),1.0)</f>
        <v>1</v>
      </c>
      <c r="T313" s="2">
        <f t="shared" si="4"/>
        <v>1</v>
      </c>
      <c r="U313" s="2">
        <f t="shared" si="5"/>
        <v>1</v>
      </c>
      <c r="V313" s="2">
        <f t="shared" si="6"/>
        <v>1</v>
      </c>
    </row>
    <row r="314" ht="14.25" customHeight="1">
      <c r="A314" s="2" t="s">
        <v>329</v>
      </c>
      <c r="B314" s="2" t="s">
        <v>30</v>
      </c>
      <c r="C314" s="2" t="s">
        <v>36</v>
      </c>
      <c r="D314" s="8" t="s">
        <v>614</v>
      </c>
      <c r="E314" s="6">
        <v>45126.0</v>
      </c>
      <c r="F314" s="6">
        <v>45187.0</v>
      </c>
      <c r="G314" s="7">
        <v>1.731360253E9</v>
      </c>
      <c r="H314" s="8" t="s">
        <v>581</v>
      </c>
      <c r="I314" s="2">
        <f t="shared" ref="I314:P314" si="317">IF(ISBLANK(A314)=TRUE,0,1)</f>
        <v>1</v>
      </c>
      <c r="J314" s="2">
        <f t="shared" si="317"/>
        <v>1</v>
      </c>
      <c r="K314" s="2">
        <f t="shared" si="317"/>
        <v>1</v>
      </c>
      <c r="L314" s="2">
        <f t="shared" si="317"/>
        <v>1</v>
      </c>
      <c r="M314" s="2">
        <f t="shared" si="317"/>
        <v>1</v>
      </c>
      <c r="N314" s="2">
        <f t="shared" si="317"/>
        <v>1</v>
      </c>
      <c r="O314" s="2">
        <f t="shared" si="317"/>
        <v>1</v>
      </c>
      <c r="P314" s="2">
        <f t="shared" si="317"/>
        <v>1</v>
      </c>
      <c r="Q314" s="2">
        <f t="shared" si="3"/>
        <v>1</v>
      </c>
      <c r="R314" s="2">
        <f>IF(ISERROR(VLOOKUP(A314, 'Project Reference'!A:A, 1, FALSE)), 0, 1)</f>
        <v>1</v>
      </c>
      <c r="S314" s="2">
        <f>IFERROR(__xludf.DUMMYFUNCTION("IF(AND(REGEXMATCH(D314, B314), REGEXMATCH(D314, C314)), 1, 0)"),1.0)</f>
        <v>1</v>
      </c>
      <c r="T314" s="2">
        <f t="shared" si="4"/>
        <v>1</v>
      </c>
      <c r="U314" s="2">
        <f t="shared" si="5"/>
        <v>1</v>
      </c>
      <c r="V314" s="2">
        <f t="shared" si="6"/>
        <v>1</v>
      </c>
    </row>
    <row r="315" ht="14.25" customHeight="1">
      <c r="A315" s="2" t="s">
        <v>330</v>
      </c>
      <c r="B315" s="2" t="s">
        <v>60</v>
      </c>
      <c r="C315" s="2" t="s">
        <v>36</v>
      </c>
      <c r="D315" s="8" t="s">
        <v>597</v>
      </c>
      <c r="E315" s="6">
        <v>45128.0</v>
      </c>
      <c r="F315" s="6">
        <v>45204.0</v>
      </c>
      <c r="G315" s="7">
        <v>4.702380798E9</v>
      </c>
      <c r="H315" s="2" t="s">
        <v>33</v>
      </c>
      <c r="I315" s="2">
        <f t="shared" ref="I315:P315" si="318">IF(ISBLANK(A315)=TRUE,0,1)</f>
        <v>1</v>
      </c>
      <c r="J315" s="2">
        <f t="shared" si="318"/>
        <v>1</v>
      </c>
      <c r="K315" s="2">
        <f t="shared" si="318"/>
        <v>1</v>
      </c>
      <c r="L315" s="2">
        <f t="shared" si="318"/>
        <v>1</v>
      </c>
      <c r="M315" s="2">
        <f t="shared" si="318"/>
        <v>1</v>
      </c>
      <c r="N315" s="2">
        <f t="shared" si="318"/>
        <v>1</v>
      </c>
      <c r="O315" s="2">
        <f t="shared" si="318"/>
        <v>1</v>
      </c>
      <c r="P315" s="2">
        <f t="shared" si="318"/>
        <v>1</v>
      </c>
      <c r="Q315" s="2">
        <f t="shared" si="3"/>
        <v>1</v>
      </c>
      <c r="R315" s="2">
        <f>IF(ISERROR(VLOOKUP(A315, 'Project Reference'!A:A, 1, FALSE)), 0, 1)</f>
        <v>1</v>
      </c>
      <c r="S315" s="2">
        <f>IFERROR(__xludf.DUMMYFUNCTION("IF(AND(REGEXMATCH(D315, B315), REGEXMATCH(D315, C315)), 1, 0)"),1.0)</f>
        <v>1</v>
      </c>
      <c r="T315" s="2">
        <f t="shared" si="4"/>
        <v>1</v>
      </c>
      <c r="U315" s="2">
        <f t="shared" si="5"/>
        <v>1</v>
      </c>
      <c r="V315" s="2">
        <f t="shared" si="6"/>
        <v>1</v>
      </c>
    </row>
    <row r="316" ht="14.25" customHeight="1">
      <c r="A316" s="2" t="s">
        <v>331</v>
      </c>
      <c r="B316" s="2" t="s">
        <v>18</v>
      </c>
      <c r="C316" s="2" t="s">
        <v>31</v>
      </c>
      <c r="D316" s="8" t="s">
        <v>636</v>
      </c>
      <c r="E316" s="6">
        <v>45128.0</v>
      </c>
      <c r="F316" s="6">
        <v>45275.0</v>
      </c>
      <c r="G316" s="7">
        <v>1.321857853E9</v>
      </c>
      <c r="H316" s="2" t="s">
        <v>44</v>
      </c>
      <c r="I316" s="2">
        <f t="shared" ref="I316:P316" si="319">IF(ISBLANK(A316)=TRUE,0,1)</f>
        <v>1</v>
      </c>
      <c r="J316" s="2">
        <f t="shared" si="319"/>
        <v>1</v>
      </c>
      <c r="K316" s="2">
        <f t="shared" si="319"/>
        <v>1</v>
      </c>
      <c r="L316" s="2">
        <f t="shared" si="319"/>
        <v>1</v>
      </c>
      <c r="M316" s="2">
        <f t="shared" si="319"/>
        <v>1</v>
      </c>
      <c r="N316" s="2">
        <f t="shared" si="319"/>
        <v>1</v>
      </c>
      <c r="O316" s="2">
        <f t="shared" si="319"/>
        <v>1</v>
      </c>
      <c r="P316" s="2">
        <f t="shared" si="319"/>
        <v>1</v>
      </c>
      <c r="Q316" s="2">
        <f t="shared" si="3"/>
        <v>1</v>
      </c>
      <c r="R316" s="2">
        <f>IF(ISERROR(VLOOKUP(A316, 'Project Reference'!A:A, 1, FALSE)), 0, 1)</f>
        <v>1</v>
      </c>
      <c r="S316" s="2">
        <f>IFERROR(__xludf.DUMMYFUNCTION("IF(AND(REGEXMATCH(D316, B316), REGEXMATCH(D316, C316)), 1, 0)"),1.0)</f>
        <v>1</v>
      </c>
      <c r="T316" s="2">
        <f t="shared" si="4"/>
        <v>1</v>
      </c>
      <c r="U316" s="2">
        <f t="shared" si="5"/>
        <v>1</v>
      </c>
      <c r="V316" s="2">
        <f t="shared" si="6"/>
        <v>1</v>
      </c>
    </row>
    <row r="317" ht="14.25" customHeight="1">
      <c r="A317" s="2" t="s">
        <v>332</v>
      </c>
      <c r="B317" s="2" t="s">
        <v>30</v>
      </c>
      <c r="C317" s="2" t="s">
        <v>39</v>
      </c>
      <c r="D317" s="8" t="s">
        <v>590</v>
      </c>
      <c r="E317" s="6">
        <v>45128.0</v>
      </c>
      <c r="F317" s="6">
        <v>45188.0</v>
      </c>
      <c r="G317" s="7">
        <v>4.256914338E9</v>
      </c>
      <c r="H317" s="2" t="s">
        <v>67</v>
      </c>
      <c r="I317" s="2">
        <f t="shared" ref="I317:P317" si="320">IF(ISBLANK(A317)=TRUE,0,1)</f>
        <v>1</v>
      </c>
      <c r="J317" s="2">
        <f t="shared" si="320"/>
        <v>1</v>
      </c>
      <c r="K317" s="2">
        <f t="shared" si="320"/>
        <v>1</v>
      </c>
      <c r="L317" s="2">
        <f t="shared" si="320"/>
        <v>1</v>
      </c>
      <c r="M317" s="2">
        <f t="shared" si="320"/>
        <v>1</v>
      </c>
      <c r="N317" s="2">
        <f t="shared" si="320"/>
        <v>1</v>
      </c>
      <c r="O317" s="2">
        <f t="shared" si="320"/>
        <v>1</v>
      </c>
      <c r="P317" s="2">
        <f t="shared" si="320"/>
        <v>1</v>
      </c>
      <c r="Q317" s="2">
        <f t="shared" si="3"/>
        <v>1</v>
      </c>
      <c r="R317" s="2">
        <f>IF(ISERROR(VLOOKUP(A317, 'Project Reference'!A:A, 1, FALSE)), 0, 1)</f>
        <v>1</v>
      </c>
      <c r="S317" s="2">
        <f>IFERROR(__xludf.DUMMYFUNCTION("IF(AND(REGEXMATCH(D317, B317), REGEXMATCH(D317, C317)), 1, 0)"),1.0)</f>
        <v>1</v>
      </c>
      <c r="T317" s="2">
        <f t="shared" si="4"/>
        <v>1</v>
      </c>
      <c r="U317" s="2">
        <f t="shared" si="5"/>
        <v>1</v>
      </c>
      <c r="V317" s="2">
        <f t="shared" si="6"/>
        <v>1</v>
      </c>
    </row>
    <row r="318" ht="14.25" customHeight="1">
      <c r="A318" s="2" t="s">
        <v>333</v>
      </c>
      <c r="B318" s="2" t="s">
        <v>35</v>
      </c>
      <c r="C318" s="2" t="s">
        <v>31</v>
      </c>
      <c r="D318" s="2" t="s">
        <v>91</v>
      </c>
      <c r="E318" s="6">
        <v>45128.0</v>
      </c>
      <c r="F318" s="6">
        <v>45492.0</v>
      </c>
      <c r="G318" s="7">
        <v>2.02438902E8</v>
      </c>
      <c r="H318" s="2" t="s">
        <v>33</v>
      </c>
      <c r="I318" s="2">
        <f t="shared" ref="I318:P318" si="321">IF(ISBLANK(A318)=TRUE,0,1)</f>
        <v>1</v>
      </c>
      <c r="J318" s="2">
        <f t="shared" si="321"/>
        <v>1</v>
      </c>
      <c r="K318" s="2">
        <f t="shared" si="321"/>
        <v>1</v>
      </c>
      <c r="L318" s="2">
        <f t="shared" si="321"/>
        <v>1</v>
      </c>
      <c r="M318" s="2">
        <f t="shared" si="321"/>
        <v>1</v>
      </c>
      <c r="N318" s="2">
        <f t="shared" si="321"/>
        <v>1</v>
      </c>
      <c r="O318" s="2">
        <f t="shared" si="321"/>
        <v>1</v>
      </c>
      <c r="P318" s="2">
        <f t="shared" si="321"/>
        <v>1</v>
      </c>
      <c r="Q318" s="2">
        <f t="shared" si="3"/>
        <v>1</v>
      </c>
      <c r="R318" s="2">
        <f>IF(ISERROR(VLOOKUP(A318, 'Project Reference'!A:A, 1, FALSE)), 0, 1)</f>
        <v>1</v>
      </c>
      <c r="S318" s="2">
        <f>IFERROR(__xludf.DUMMYFUNCTION("IF(AND(REGEXMATCH(D318, B318), REGEXMATCH(D318, C318)), 1, 0)"),1.0)</f>
        <v>1</v>
      </c>
      <c r="T318" s="2">
        <f t="shared" si="4"/>
        <v>1</v>
      </c>
      <c r="U318" s="2">
        <f t="shared" si="5"/>
        <v>1</v>
      </c>
      <c r="V318" s="2">
        <f t="shared" si="6"/>
        <v>1</v>
      </c>
    </row>
    <row r="319" ht="14.25" customHeight="1">
      <c r="A319" s="2" t="s">
        <v>334</v>
      </c>
      <c r="B319" s="2" t="s">
        <v>18</v>
      </c>
      <c r="C319" s="2" t="s">
        <v>36</v>
      </c>
      <c r="D319" s="8" t="s">
        <v>634</v>
      </c>
      <c r="E319" s="6">
        <v>45129.0</v>
      </c>
      <c r="F319" s="6">
        <v>45264.0</v>
      </c>
      <c r="G319" s="7">
        <v>7.153815573E9</v>
      </c>
      <c r="H319" s="2" t="s">
        <v>44</v>
      </c>
      <c r="I319" s="2">
        <f t="shared" ref="I319:P319" si="322">IF(ISBLANK(A319)=TRUE,0,1)</f>
        <v>1</v>
      </c>
      <c r="J319" s="2">
        <f t="shared" si="322"/>
        <v>1</v>
      </c>
      <c r="K319" s="2">
        <f t="shared" si="322"/>
        <v>1</v>
      </c>
      <c r="L319" s="2">
        <f t="shared" si="322"/>
        <v>1</v>
      </c>
      <c r="M319" s="2">
        <f t="shared" si="322"/>
        <v>1</v>
      </c>
      <c r="N319" s="2">
        <f t="shared" si="322"/>
        <v>1</v>
      </c>
      <c r="O319" s="2">
        <f t="shared" si="322"/>
        <v>1</v>
      </c>
      <c r="P319" s="2">
        <f t="shared" si="322"/>
        <v>1</v>
      </c>
      <c r="Q319" s="2">
        <f t="shared" si="3"/>
        <v>1</v>
      </c>
      <c r="R319" s="2">
        <f>IF(ISERROR(VLOOKUP(A319, 'Project Reference'!A:A, 1, FALSE)), 0, 1)</f>
        <v>1</v>
      </c>
      <c r="S319" s="2">
        <f>IFERROR(__xludf.DUMMYFUNCTION("IF(AND(REGEXMATCH(D319, B319), REGEXMATCH(D319, C319)), 1, 0)"),1.0)</f>
        <v>1</v>
      </c>
      <c r="T319" s="2">
        <f t="shared" si="4"/>
        <v>1</v>
      </c>
      <c r="U319" s="2">
        <f t="shared" si="5"/>
        <v>1</v>
      </c>
      <c r="V319" s="2">
        <f t="shared" si="6"/>
        <v>1</v>
      </c>
    </row>
    <row r="320" ht="14.25" customHeight="1">
      <c r="A320" s="2" t="s">
        <v>335</v>
      </c>
      <c r="B320" s="2" t="s">
        <v>60</v>
      </c>
      <c r="C320" s="2" t="s">
        <v>24</v>
      </c>
      <c r="D320" s="8" t="s">
        <v>575</v>
      </c>
      <c r="E320" s="6">
        <v>45129.0</v>
      </c>
      <c r="F320" s="6">
        <v>45285.0</v>
      </c>
      <c r="G320" s="7">
        <v>2.21023244E9</v>
      </c>
      <c r="H320" s="8" t="s">
        <v>581</v>
      </c>
      <c r="I320" s="2">
        <f t="shared" ref="I320:P320" si="323">IF(ISBLANK(A320)=TRUE,0,1)</f>
        <v>1</v>
      </c>
      <c r="J320" s="2">
        <f t="shared" si="323"/>
        <v>1</v>
      </c>
      <c r="K320" s="2">
        <f t="shared" si="323"/>
        <v>1</v>
      </c>
      <c r="L320" s="2">
        <f t="shared" si="323"/>
        <v>1</v>
      </c>
      <c r="M320" s="2">
        <f t="shared" si="323"/>
        <v>1</v>
      </c>
      <c r="N320" s="2">
        <f t="shared" si="323"/>
        <v>1</v>
      </c>
      <c r="O320" s="2">
        <f t="shared" si="323"/>
        <v>1</v>
      </c>
      <c r="P320" s="2">
        <f t="shared" si="323"/>
        <v>1</v>
      </c>
      <c r="Q320" s="2">
        <f t="shared" si="3"/>
        <v>1</v>
      </c>
      <c r="R320" s="2">
        <f>IF(ISERROR(VLOOKUP(A320, 'Project Reference'!A:A, 1, FALSE)), 0, 1)</f>
        <v>1</v>
      </c>
      <c r="S320" s="2">
        <f>IFERROR(__xludf.DUMMYFUNCTION("IF(AND(REGEXMATCH(D320, B320), REGEXMATCH(D320, C320)), 1, 0)"),1.0)</f>
        <v>1</v>
      </c>
      <c r="T320" s="2">
        <f t="shared" si="4"/>
        <v>1</v>
      </c>
      <c r="U320" s="2">
        <f t="shared" si="5"/>
        <v>1</v>
      </c>
      <c r="V320" s="2">
        <f t="shared" si="6"/>
        <v>1</v>
      </c>
    </row>
    <row r="321" ht="14.25" customHeight="1">
      <c r="A321" s="2" t="s">
        <v>336</v>
      </c>
      <c r="B321" s="2" t="s">
        <v>30</v>
      </c>
      <c r="C321" s="2" t="s">
        <v>42</v>
      </c>
      <c r="D321" s="8" t="s">
        <v>627</v>
      </c>
      <c r="E321" s="6">
        <v>45129.0</v>
      </c>
      <c r="F321" s="6">
        <v>44945.0</v>
      </c>
      <c r="G321" s="7">
        <v>2.045004222E9</v>
      </c>
      <c r="H321" s="2" t="s">
        <v>67</v>
      </c>
      <c r="I321" s="2">
        <f t="shared" ref="I321:P321" si="324">IF(ISBLANK(A321)=TRUE,0,1)</f>
        <v>1</v>
      </c>
      <c r="J321" s="2">
        <f t="shared" si="324"/>
        <v>1</v>
      </c>
      <c r="K321" s="2">
        <f t="shared" si="324"/>
        <v>1</v>
      </c>
      <c r="L321" s="2">
        <f t="shared" si="324"/>
        <v>1</v>
      </c>
      <c r="M321" s="2">
        <f t="shared" si="324"/>
        <v>1</v>
      </c>
      <c r="N321" s="2">
        <f t="shared" si="324"/>
        <v>1</v>
      </c>
      <c r="O321" s="2">
        <f t="shared" si="324"/>
        <v>1</v>
      </c>
      <c r="P321" s="2">
        <f t="shared" si="324"/>
        <v>1</v>
      </c>
      <c r="Q321" s="2">
        <f t="shared" si="3"/>
        <v>1</v>
      </c>
      <c r="R321" s="2">
        <f>IF(ISERROR(VLOOKUP(A321, 'Project Reference'!A:A, 1, FALSE)), 0, 1)</f>
        <v>1</v>
      </c>
      <c r="S321" s="2">
        <f>IFERROR(__xludf.DUMMYFUNCTION("IF(AND(REGEXMATCH(D321, B321), REGEXMATCH(D321, C321)), 1, 0)"),1.0)</f>
        <v>1</v>
      </c>
      <c r="T321" s="2">
        <f t="shared" si="4"/>
        <v>1</v>
      </c>
      <c r="U321" s="2">
        <f t="shared" si="5"/>
        <v>0</v>
      </c>
      <c r="V321" s="2">
        <f t="shared" si="6"/>
        <v>1</v>
      </c>
    </row>
    <row r="322" ht="14.25" customHeight="1">
      <c r="A322" s="2" t="s">
        <v>337</v>
      </c>
      <c r="B322" s="2" t="s">
        <v>12</v>
      </c>
      <c r="C322" s="2" t="s">
        <v>42</v>
      </c>
      <c r="D322" s="8" t="s">
        <v>603</v>
      </c>
      <c r="E322" s="6">
        <v>45130.0</v>
      </c>
      <c r="F322" s="6">
        <v>45445.0</v>
      </c>
      <c r="G322" s="7">
        <v>6.07111213E8</v>
      </c>
      <c r="H322" s="8" t="s">
        <v>581</v>
      </c>
      <c r="I322" s="2">
        <f t="shared" ref="I322:P322" si="325">IF(ISBLANK(A322)=TRUE,0,1)</f>
        <v>1</v>
      </c>
      <c r="J322" s="2">
        <f t="shared" si="325"/>
        <v>1</v>
      </c>
      <c r="K322" s="2">
        <f t="shared" si="325"/>
        <v>1</v>
      </c>
      <c r="L322" s="2">
        <f t="shared" si="325"/>
        <v>1</v>
      </c>
      <c r="M322" s="2">
        <f t="shared" si="325"/>
        <v>1</v>
      </c>
      <c r="N322" s="2">
        <f t="shared" si="325"/>
        <v>1</v>
      </c>
      <c r="O322" s="2">
        <f t="shared" si="325"/>
        <v>1</v>
      </c>
      <c r="P322" s="2">
        <f t="shared" si="325"/>
        <v>1</v>
      </c>
      <c r="Q322" s="2">
        <f t="shared" si="3"/>
        <v>1</v>
      </c>
      <c r="R322" s="2">
        <f>IF(ISERROR(VLOOKUP(A322, 'Project Reference'!A:A, 1, FALSE)), 0, 1)</f>
        <v>1</v>
      </c>
      <c r="S322" s="2">
        <f>IFERROR(__xludf.DUMMYFUNCTION("IF(AND(REGEXMATCH(D322, B322), REGEXMATCH(D322, C322)), 1, 0)"),1.0)</f>
        <v>1</v>
      </c>
      <c r="T322" s="2">
        <f t="shared" si="4"/>
        <v>1</v>
      </c>
      <c r="U322" s="2">
        <f t="shared" si="5"/>
        <v>1</v>
      </c>
      <c r="V322" s="2">
        <f t="shared" si="6"/>
        <v>1</v>
      </c>
    </row>
    <row r="323" ht="14.25" customHeight="1">
      <c r="A323" s="2" t="s">
        <v>338</v>
      </c>
      <c r="B323" s="2" t="s">
        <v>12</v>
      </c>
      <c r="C323" s="2" t="s">
        <v>36</v>
      </c>
      <c r="D323" s="8" t="s">
        <v>578</v>
      </c>
      <c r="E323" s="6">
        <v>45130.0</v>
      </c>
      <c r="F323" s="6">
        <v>45407.0</v>
      </c>
      <c r="G323" s="7">
        <v>3.78250495E8</v>
      </c>
      <c r="H323" s="8" t="s">
        <v>573</v>
      </c>
      <c r="I323" s="2">
        <f t="shared" ref="I323:P323" si="326">IF(ISBLANK(A323)=TRUE,0,1)</f>
        <v>1</v>
      </c>
      <c r="J323" s="2">
        <f t="shared" si="326"/>
        <v>1</v>
      </c>
      <c r="K323" s="2">
        <f t="shared" si="326"/>
        <v>1</v>
      </c>
      <c r="L323" s="2">
        <f t="shared" si="326"/>
        <v>1</v>
      </c>
      <c r="M323" s="2">
        <f t="shared" si="326"/>
        <v>1</v>
      </c>
      <c r="N323" s="2">
        <f t="shared" si="326"/>
        <v>1</v>
      </c>
      <c r="O323" s="2">
        <f t="shared" si="326"/>
        <v>1</v>
      </c>
      <c r="P323" s="2">
        <f t="shared" si="326"/>
        <v>1</v>
      </c>
      <c r="Q323" s="2">
        <f t="shared" si="3"/>
        <v>1</v>
      </c>
      <c r="R323" s="2">
        <f>IF(ISERROR(VLOOKUP(A323, 'Project Reference'!A:A, 1, FALSE)), 0, 1)</f>
        <v>1</v>
      </c>
      <c r="S323" s="2">
        <f>IFERROR(__xludf.DUMMYFUNCTION("IF(AND(REGEXMATCH(D323, B323), REGEXMATCH(D323, C323)), 1, 0)"),1.0)</f>
        <v>1</v>
      </c>
      <c r="T323" s="2">
        <f t="shared" si="4"/>
        <v>1</v>
      </c>
      <c r="U323" s="2">
        <f t="shared" si="5"/>
        <v>1</v>
      </c>
      <c r="V323" s="2">
        <f t="shared" si="6"/>
        <v>1</v>
      </c>
    </row>
    <row r="324" ht="14.25" customHeight="1">
      <c r="A324" s="2" t="s">
        <v>340</v>
      </c>
      <c r="B324" s="2" t="s">
        <v>30</v>
      </c>
      <c r="C324" s="2" t="s">
        <v>36</v>
      </c>
      <c r="D324" s="8" t="s">
        <v>614</v>
      </c>
      <c r="E324" s="6">
        <v>45130.0</v>
      </c>
      <c r="F324" s="6">
        <v>45465.0</v>
      </c>
      <c r="G324" s="7">
        <v>4.178594822E9</v>
      </c>
      <c r="H324" s="8" t="s">
        <v>581</v>
      </c>
      <c r="I324" s="2">
        <f t="shared" ref="I324:P324" si="327">IF(ISBLANK(A324)=TRUE,0,1)</f>
        <v>1</v>
      </c>
      <c r="J324" s="2">
        <f t="shared" si="327"/>
        <v>1</v>
      </c>
      <c r="K324" s="2">
        <f t="shared" si="327"/>
        <v>1</v>
      </c>
      <c r="L324" s="2">
        <f t="shared" si="327"/>
        <v>1</v>
      </c>
      <c r="M324" s="2">
        <f t="shared" si="327"/>
        <v>1</v>
      </c>
      <c r="N324" s="2">
        <f t="shared" si="327"/>
        <v>1</v>
      </c>
      <c r="O324" s="2">
        <f t="shared" si="327"/>
        <v>1</v>
      </c>
      <c r="P324" s="2">
        <f t="shared" si="327"/>
        <v>1</v>
      </c>
      <c r="Q324" s="2">
        <f t="shared" si="3"/>
        <v>1</v>
      </c>
      <c r="R324" s="2">
        <f>IF(ISERROR(VLOOKUP(A324, 'Project Reference'!A:A, 1, FALSE)), 0, 1)</f>
        <v>1</v>
      </c>
      <c r="S324" s="2">
        <f>IFERROR(__xludf.DUMMYFUNCTION("IF(AND(REGEXMATCH(D324, B324), REGEXMATCH(D324, C324)), 1, 0)"),1.0)</f>
        <v>1</v>
      </c>
      <c r="T324" s="2">
        <f t="shared" si="4"/>
        <v>1</v>
      </c>
      <c r="U324" s="2">
        <f t="shared" si="5"/>
        <v>1</v>
      </c>
      <c r="V324" s="2">
        <f t="shared" si="6"/>
        <v>1</v>
      </c>
    </row>
    <row r="325" ht="14.25" customHeight="1">
      <c r="A325" s="2" t="s">
        <v>341</v>
      </c>
      <c r="B325" s="2" t="s">
        <v>12</v>
      </c>
      <c r="C325" s="2" t="s">
        <v>13</v>
      </c>
      <c r="D325" s="8" t="s">
        <v>605</v>
      </c>
      <c r="E325" s="6">
        <v>45131.0</v>
      </c>
      <c r="F325" s="6">
        <v>45228.0</v>
      </c>
      <c r="G325" s="7">
        <v>6.60225526E8</v>
      </c>
      <c r="H325" s="2" t="s">
        <v>33</v>
      </c>
      <c r="I325" s="2">
        <f t="shared" ref="I325:P325" si="328">IF(ISBLANK(A325)=TRUE,0,1)</f>
        <v>1</v>
      </c>
      <c r="J325" s="2">
        <f t="shared" si="328"/>
        <v>1</v>
      </c>
      <c r="K325" s="2">
        <f t="shared" si="328"/>
        <v>1</v>
      </c>
      <c r="L325" s="2">
        <f t="shared" si="328"/>
        <v>1</v>
      </c>
      <c r="M325" s="2">
        <f t="shared" si="328"/>
        <v>1</v>
      </c>
      <c r="N325" s="2">
        <f t="shared" si="328"/>
        <v>1</v>
      </c>
      <c r="O325" s="2">
        <f t="shared" si="328"/>
        <v>1</v>
      </c>
      <c r="P325" s="2">
        <f t="shared" si="328"/>
        <v>1</v>
      </c>
      <c r="Q325" s="2">
        <f t="shared" si="3"/>
        <v>1</v>
      </c>
      <c r="R325" s="2">
        <f>IF(ISERROR(VLOOKUP(A325, 'Project Reference'!A:A, 1, FALSE)), 0, 1)</f>
        <v>1</v>
      </c>
      <c r="S325" s="2">
        <f>IFERROR(__xludf.DUMMYFUNCTION("IF(AND(REGEXMATCH(D325, B325), REGEXMATCH(D325, C325)), 1, 0)"),1.0)</f>
        <v>1</v>
      </c>
      <c r="T325" s="2">
        <f t="shared" si="4"/>
        <v>1</v>
      </c>
      <c r="U325" s="2">
        <f t="shared" si="5"/>
        <v>1</v>
      </c>
      <c r="V325" s="2">
        <f t="shared" si="6"/>
        <v>1</v>
      </c>
    </row>
    <row r="326" ht="14.25" customHeight="1">
      <c r="A326" s="2" t="s">
        <v>342</v>
      </c>
      <c r="B326" s="2" t="s">
        <v>30</v>
      </c>
      <c r="C326" s="2" t="s">
        <v>24</v>
      </c>
      <c r="D326" s="8" t="s">
        <v>612</v>
      </c>
      <c r="E326" s="6">
        <v>45131.0</v>
      </c>
      <c r="F326" s="6">
        <v>45411.0</v>
      </c>
      <c r="G326" s="7">
        <v>6.255723631E9</v>
      </c>
      <c r="H326" s="2" t="s">
        <v>33</v>
      </c>
      <c r="I326" s="2">
        <f t="shared" ref="I326:P326" si="329">IF(ISBLANK(A326)=TRUE,0,1)</f>
        <v>1</v>
      </c>
      <c r="J326" s="2">
        <f t="shared" si="329"/>
        <v>1</v>
      </c>
      <c r="K326" s="2">
        <f t="shared" si="329"/>
        <v>1</v>
      </c>
      <c r="L326" s="2">
        <f t="shared" si="329"/>
        <v>1</v>
      </c>
      <c r="M326" s="2">
        <f t="shared" si="329"/>
        <v>1</v>
      </c>
      <c r="N326" s="2">
        <f t="shared" si="329"/>
        <v>1</v>
      </c>
      <c r="O326" s="2">
        <f t="shared" si="329"/>
        <v>1</v>
      </c>
      <c r="P326" s="2">
        <f t="shared" si="329"/>
        <v>1</v>
      </c>
      <c r="Q326" s="2">
        <f t="shared" si="3"/>
        <v>1</v>
      </c>
      <c r="R326" s="2">
        <f>IF(ISERROR(VLOOKUP(A326, 'Project Reference'!A:A, 1, FALSE)), 0, 1)</f>
        <v>1</v>
      </c>
      <c r="S326" s="2">
        <f>IFERROR(__xludf.DUMMYFUNCTION("IF(AND(REGEXMATCH(D326, B326), REGEXMATCH(D326, C326)), 1, 0)"),1.0)</f>
        <v>1</v>
      </c>
      <c r="T326" s="2">
        <f t="shared" si="4"/>
        <v>1</v>
      </c>
      <c r="U326" s="2">
        <f t="shared" si="5"/>
        <v>1</v>
      </c>
      <c r="V326" s="2">
        <f t="shared" si="6"/>
        <v>1</v>
      </c>
    </row>
    <row r="327" ht="14.25" customHeight="1">
      <c r="A327" s="2" t="s">
        <v>343</v>
      </c>
      <c r="B327" s="2" t="s">
        <v>60</v>
      </c>
      <c r="C327" s="2" t="s">
        <v>39</v>
      </c>
      <c r="D327" s="8" t="s">
        <v>626</v>
      </c>
      <c r="E327" s="6">
        <v>45131.0</v>
      </c>
      <c r="F327" s="6">
        <v>45271.0</v>
      </c>
      <c r="G327" s="7">
        <v>1.935087556E9</v>
      </c>
      <c r="H327" s="2" t="s">
        <v>44</v>
      </c>
      <c r="I327" s="2">
        <f t="shared" ref="I327:P327" si="330">IF(ISBLANK(A327)=TRUE,0,1)</f>
        <v>1</v>
      </c>
      <c r="J327" s="2">
        <f t="shared" si="330"/>
        <v>1</v>
      </c>
      <c r="K327" s="2">
        <f t="shared" si="330"/>
        <v>1</v>
      </c>
      <c r="L327" s="2">
        <f t="shared" si="330"/>
        <v>1</v>
      </c>
      <c r="M327" s="2">
        <f t="shared" si="330"/>
        <v>1</v>
      </c>
      <c r="N327" s="2">
        <f t="shared" si="330"/>
        <v>1</v>
      </c>
      <c r="O327" s="2">
        <f t="shared" si="330"/>
        <v>1</v>
      </c>
      <c r="P327" s="2">
        <f t="shared" si="330"/>
        <v>1</v>
      </c>
      <c r="Q327" s="2">
        <f t="shared" si="3"/>
        <v>1</v>
      </c>
      <c r="R327" s="2">
        <f>IF(ISERROR(VLOOKUP(A327, 'Project Reference'!A:A, 1, FALSE)), 0, 1)</f>
        <v>1</v>
      </c>
      <c r="S327" s="2">
        <f>IFERROR(__xludf.DUMMYFUNCTION("IF(AND(REGEXMATCH(D327, B327), REGEXMATCH(D327, C327)), 1, 0)"),1.0)</f>
        <v>1</v>
      </c>
      <c r="T327" s="2">
        <f t="shared" si="4"/>
        <v>1</v>
      </c>
      <c r="U327" s="2">
        <f t="shared" si="5"/>
        <v>1</v>
      </c>
      <c r="V327" s="2">
        <f t="shared" si="6"/>
        <v>1</v>
      </c>
    </row>
    <row r="328" ht="14.25" customHeight="1">
      <c r="A328" s="2" t="s">
        <v>344</v>
      </c>
      <c r="B328" s="2" t="s">
        <v>30</v>
      </c>
      <c r="C328" s="2" t="s">
        <v>19</v>
      </c>
      <c r="D328" s="8" t="s">
        <v>624</v>
      </c>
      <c r="E328" s="6">
        <v>45133.0</v>
      </c>
      <c r="F328" s="6">
        <v>45384.0</v>
      </c>
      <c r="G328" s="7">
        <v>6.639282641E9</v>
      </c>
      <c r="H328" s="2" t="s">
        <v>21</v>
      </c>
      <c r="I328" s="2">
        <f t="shared" ref="I328:P328" si="331">IF(ISBLANK(A328)=TRUE,0,1)</f>
        <v>1</v>
      </c>
      <c r="J328" s="2">
        <f t="shared" si="331"/>
        <v>1</v>
      </c>
      <c r="K328" s="2">
        <f t="shared" si="331"/>
        <v>1</v>
      </c>
      <c r="L328" s="2">
        <f t="shared" si="331"/>
        <v>1</v>
      </c>
      <c r="M328" s="2">
        <f t="shared" si="331"/>
        <v>1</v>
      </c>
      <c r="N328" s="2">
        <f t="shared" si="331"/>
        <v>1</v>
      </c>
      <c r="O328" s="2">
        <f t="shared" si="331"/>
        <v>1</v>
      </c>
      <c r="P328" s="2">
        <f t="shared" si="331"/>
        <v>1</v>
      </c>
      <c r="Q328" s="2">
        <f t="shared" si="3"/>
        <v>1</v>
      </c>
      <c r="R328" s="2">
        <f>IF(ISERROR(VLOOKUP(A328, 'Project Reference'!A:A, 1, FALSE)), 0, 1)</f>
        <v>1</v>
      </c>
      <c r="S328" s="2">
        <f>IFERROR(__xludf.DUMMYFUNCTION("IF(AND(REGEXMATCH(D328, B328), REGEXMATCH(D328, C328)), 1, 0)"),1.0)</f>
        <v>1</v>
      </c>
      <c r="T328" s="2">
        <f t="shared" si="4"/>
        <v>1</v>
      </c>
      <c r="U328" s="2">
        <f t="shared" si="5"/>
        <v>1</v>
      </c>
      <c r="V328" s="2">
        <f t="shared" si="6"/>
        <v>1</v>
      </c>
    </row>
    <row r="329" ht="14.25" customHeight="1">
      <c r="A329" s="2" t="s">
        <v>345</v>
      </c>
      <c r="B329" s="2" t="s">
        <v>18</v>
      </c>
      <c r="C329" s="2" t="s">
        <v>48</v>
      </c>
      <c r="D329" s="8" t="s">
        <v>629</v>
      </c>
      <c r="E329" s="6">
        <v>45133.0</v>
      </c>
      <c r="F329" s="6">
        <v>45429.0</v>
      </c>
      <c r="G329" s="7">
        <v>1.341304566E9</v>
      </c>
      <c r="H329" s="2" t="s">
        <v>67</v>
      </c>
      <c r="I329" s="2">
        <f t="shared" ref="I329:P329" si="332">IF(ISBLANK(A329)=TRUE,0,1)</f>
        <v>1</v>
      </c>
      <c r="J329" s="2">
        <f t="shared" si="332"/>
        <v>1</v>
      </c>
      <c r="K329" s="2">
        <f t="shared" si="332"/>
        <v>1</v>
      </c>
      <c r="L329" s="2">
        <f t="shared" si="332"/>
        <v>1</v>
      </c>
      <c r="M329" s="2">
        <f t="shared" si="332"/>
        <v>1</v>
      </c>
      <c r="N329" s="2">
        <f t="shared" si="332"/>
        <v>1</v>
      </c>
      <c r="O329" s="2">
        <f t="shared" si="332"/>
        <v>1</v>
      </c>
      <c r="P329" s="2">
        <f t="shared" si="332"/>
        <v>1</v>
      </c>
      <c r="Q329" s="2">
        <f t="shared" si="3"/>
        <v>1</v>
      </c>
      <c r="R329" s="2">
        <f>IF(ISERROR(VLOOKUP(A329, 'Project Reference'!A:A, 1, FALSE)), 0, 1)</f>
        <v>1</v>
      </c>
      <c r="S329" s="2">
        <f>IFERROR(__xludf.DUMMYFUNCTION("IF(AND(REGEXMATCH(D329, B329), REGEXMATCH(D329, C329)), 1, 0)"),1.0)</f>
        <v>1</v>
      </c>
      <c r="T329" s="2">
        <f t="shared" si="4"/>
        <v>1</v>
      </c>
      <c r="U329" s="2">
        <f t="shared" si="5"/>
        <v>1</v>
      </c>
      <c r="V329" s="2">
        <f t="shared" si="6"/>
        <v>1</v>
      </c>
    </row>
    <row r="330" ht="14.25" customHeight="1">
      <c r="A330" s="2" t="s">
        <v>346</v>
      </c>
      <c r="B330" s="2" t="s">
        <v>30</v>
      </c>
      <c r="C330" s="2" t="s">
        <v>42</v>
      </c>
      <c r="D330" s="8" t="s">
        <v>632</v>
      </c>
      <c r="E330" s="6">
        <v>45135.0</v>
      </c>
      <c r="F330" s="6">
        <v>45168.0</v>
      </c>
      <c r="G330" s="7">
        <v>1.482129947E9</v>
      </c>
      <c r="H330" s="2" t="s">
        <v>50</v>
      </c>
      <c r="I330" s="2">
        <f t="shared" ref="I330:P330" si="333">IF(ISBLANK(A330)=TRUE,0,1)</f>
        <v>1</v>
      </c>
      <c r="J330" s="2">
        <f t="shared" si="333"/>
        <v>1</v>
      </c>
      <c r="K330" s="2">
        <f t="shared" si="333"/>
        <v>1</v>
      </c>
      <c r="L330" s="2">
        <f t="shared" si="333"/>
        <v>1</v>
      </c>
      <c r="M330" s="2">
        <f t="shared" si="333"/>
        <v>1</v>
      </c>
      <c r="N330" s="2">
        <f t="shared" si="333"/>
        <v>1</v>
      </c>
      <c r="O330" s="2">
        <f t="shared" si="333"/>
        <v>1</v>
      </c>
      <c r="P330" s="2">
        <f t="shared" si="333"/>
        <v>1</v>
      </c>
      <c r="Q330" s="2">
        <f t="shared" si="3"/>
        <v>1</v>
      </c>
      <c r="R330" s="2">
        <f>IF(ISERROR(VLOOKUP(A330, 'Project Reference'!A:A, 1, FALSE)), 0, 1)</f>
        <v>1</v>
      </c>
      <c r="S330" s="2">
        <f>IFERROR(__xludf.DUMMYFUNCTION("IF(AND(REGEXMATCH(D330, B330), REGEXMATCH(D330, C330)), 1, 0)"),1.0)</f>
        <v>1</v>
      </c>
      <c r="T330" s="2">
        <f t="shared" si="4"/>
        <v>1</v>
      </c>
      <c r="U330" s="2">
        <f t="shared" si="5"/>
        <v>1</v>
      </c>
      <c r="V330" s="2">
        <f t="shared" si="6"/>
        <v>1</v>
      </c>
    </row>
    <row r="331" ht="14.25" customHeight="1">
      <c r="A331" s="2" t="s">
        <v>347</v>
      </c>
      <c r="B331" s="2" t="s">
        <v>30</v>
      </c>
      <c r="C331" s="2" t="s">
        <v>42</v>
      </c>
      <c r="D331" s="8" t="s">
        <v>632</v>
      </c>
      <c r="E331" s="6">
        <v>45135.0</v>
      </c>
      <c r="F331" s="6">
        <v>45240.0</v>
      </c>
      <c r="G331" s="7">
        <v>5.13461094E9</v>
      </c>
      <c r="H331" s="2" t="s">
        <v>44</v>
      </c>
      <c r="I331" s="2">
        <f t="shared" ref="I331:P331" si="334">IF(ISBLANK(A331)=TRUE,0,1)</f>
        <v>1</v>
      </c>
      <c r="J331" s="2">
        <f t="shared" si="334"/>
        <v>1</v>
      </c>
      <c r="K331" s="2">
        <f t="shared" si="334"/>
        <v>1</v>
      </c>
      <c r="L331" s="2">
        <f t="shared" si="334"/>
        <v>1</v>
      </c>
      <c r="M331" s="2">
        <f t="shared" si="334"/>
        <v>1</v>
      </c>
      <c r="N331" s="2">
        <f t="shared" si="334"/>
        <v>1</v>
      </c>
      <c r="O331" s="2">
        <f t="shared" si="334"/>
        <v>1</v>
      </c>
      <c r="P331" s="2">
        <f t="shared" si="334"/>
        <v>1</v>
      </c>
      <c r="Q331" s="2">
        <f t="shared" si="3"/>
        <v>1</v>
      </c>
      <c r="R331" s="2">
        <f>IF(ISERROR(VLOOKUP(A331, 'Project Reference'!A:A, 1, FALSE)), 0, 1)</f>
        <v>1</v>
      </c>
      <c r="S331" s="2">
        <f>IFERROR(__xludf.DUMMYFUNCTION("IF(AND(REGEXMATCH(D331, B331), REGEXMATCH(D331, C331)), 1, 0)"),1.0)</f>
        <v>1</v>
      </c>
      <c r="T331" s="2">
        <f t="shared" si="4"/>
        <v>1</v>
      </c>
      <c r="U331" s="2">
        <f t="shared" si="5"/>
        <v>1</v>
      </c>
      <c r="V331" s="2">
        <f t="shared" si="6"/>
        <v>1</v>
      </c>
    </row>
    <row r="332" ht="14.25" customHeight="1">
      <c r="A332" s="2" t="s">
        <v>348</v>
      </c>
      <c r="B332" s="2" t="s">
        <v>12</v>
      </c>
      <c r="C332" s="2" t="s">
        <v>42</v>
      </c>
      <c r="D332" s="8" t="s">
        <v>603</v>
      </c>
      <c r="E332" s="6">
        <v>45135.0</v>
      </c>
      <c r="F332" s="6">
        <v>45357.0</v>
      </c>
      <c r="G332" s="7">
        <v>3.44333067E8</v>
      </c>
      <c r="H332" s="2" t="s">
        <v>33</v>
      </c>
      <c r="I332" s="2">
        <f t="shared" ref="I332:P332" si="335">IF(ISBLANK(A332)=TRUE,0,1)</f>
        <v>1</v>
      </c>
      <c r="J332" s="2">
        <f t="shared" si="335"/>
        <v>1</v>
      </c>
      <c r="K332" s="2">
        <f t="shared" si="335"/>
        <v>1</v>
      </c>
      <c r="L332" s="2">
        <f t="shared" si="335"/>
        <v>1</v>
      </c>
      <c r="M332" s="2">
        <f t="shared" si="335"/>
        <v>1</v>
      </c>
      <c r="N332" s="2">
        <f t="shared" si="335"/>
        <v>1</v>
      </c>
      <c r="O332" s="2">
        <f t="shared" si="335"/>
        <v>1</v>
      </c>
      <c r="P332" s="2">
        <f t="shared" si="335"/>
        <v>1</v>
      </c>
      <c r="Q332" s="2">
        <f t="shared" si="3"/>
        <v>1</v>
      </c>
      <c r="R332" s="2">
        <f>IF(ISERROR(VLOOKUP(A332, 'Project Reference'!A:A, 1, FALSE)), 0, 1)</f>
        <v>1</v>
      </c>
      <c r="S332" s="2">
        <f>IFERROR(__xludf.DUMMYFUNCTION("IF(AND(REGEXMATCH(D332, B332), REGEXMATCH(D332, C332)), 1, 0)"),1.0)</f>
        <v>1</v>
      </c>
      <c r="T332" s="2">
        <f t="shared" si="4"/>
        <v>1</v>
      </c>
      <c r="U332" s="2">
        <f t="shared" si="5"/>
        <v>1</v>
      </c>
      <c r="V332" s="2">
        <f t="shared" si="6"/>
        <v>1</v>
      </c>
    </row>
    <row r="333" ht="14.25" customHeight="1">
      <c r="A333" s="2" t="s">
        <v>349</v>
      </c>
      <c r="B333" s="2" t="s">
        <v>18</v>
      </c>
      <c r="C333" s="2" t="s">
        <v>31</v>
      </c>
      <c r="D333" s="8" t="s">
        <v>636</v>
      </c>
      <c r="E333" s="6">
        <v>45136.0</v>
      </c>
      <c r="F333" s="6">
        <v>45177.0</v>
      </c>
      <c r="G333" s="7">
        <v>2.34761931E9</v>
      </c>
      <c r="H333" s="2" t="s">
        <v>50</v>
      </c>
      <c r="I333" s="2">
        <f t="shared" ref="I333:P333" si="336">IF(ISBLANK(A333)=TRUE,0,1)</f>
        <v>1</v>
      </c>
      <c r="J333" s="2">
        <f t="shared" si="336"/>
        <v>1</v>
      </c>
      <c r="K333" s="2">
        <f t="shared" si="336"/>
        <v>1</v>
      </c>
      <c r="L333" s="2">
        <f t="shared" si="336"/>
        <v>1</v>
      </c>
      <c r="M333" s="2">
        <f t="shared" si="336"/>
        <v>1</v>
      </c>
      <c r="N333" s="2">
        <f t="shared" si="336"/>
        <v>1</v>
      </c>
      <c r="O333" s="2">
        <f t="shared" si="336"/>
        <v>1</v>
      </c>
      <c r="P333" s="2">
        <f t="shared" si="336"/>
        <v>1</v>
      </c>
      <c r="Q333" s="2">
        <f t="shared" si="3"/>
        <v>1</v>
      </c>
      <c r="R333" s="2">
        <f>IF(ISERROR(VLOOKUP(A333, 'Project Reference'!A:A, 1, FALSE)), 0, 1)</f>
        <v>1</v>
      </c>
      <c r="S333" s="2">
        <f>IFERROR(__xludf.DUMMYFUNCTION("IF(AND(REGEXMATCH(D333, B333), REGEXMATCH(D333, C333)), 1, 0)"),1.0)</f>
        <v>1</v>
      </c>
      <c r="T333" s="2">
        <f t="shared" si="4"/>
        <v>1</v>
      </c>
      <c r="U333" s="2">
        <f t="shared" si="5"/>
        <v>1</v>
      </c>
      <c r="V333" s="2">
        <f t="shared" si="6"/>
        <v>1</v>
      </c>
    </row>
    <row r="334" ht="14.25" customHeight="1">
      <c r="A334" s="2" t="s">
        <v>350</v>
      </c>
      <c r="B334" s="2" t="s">
        <v>60</v>
      </c>
      <c r="C334" s="2" t="s">
        <v>13</v>
      </c>
      <c r="D334" s="8" t="s">
        <v>619</v>
      </c>
      <c r="E334" s="6">
        <v>45136.0</v>
      </c>
      <c r="F334" s="6">
        <v>45380.0</v>
      </c>
      <c r="G334" s="7">
        <v>2.42239766E9</v>
      </c>
      <c r="H334" s="2" t="s">
        <v>21</v>
      </c>
      <c r="I334" s="2">
        <f t="shared" ref="I334:P334" si="337">IF(ISBLANK(A334)=TRUE,0,1)</f>
        <v>1</v>
      </c>
      <c r="J334" s="2">
        <f t="shared" si="337"/>
        <v>1</v>
      </c>
      <c r="K334" s="2">
        <f t="shared" si="337"/>
        <v>1</v>
      </c>
      <c r="L334" s="2">
        <f t="shared" si="337"/>
        <v>1</v>
      </c>
      <c r="M334" s="2">
        <f t="shared" si="337"/>
        <v>1</v>
      </c>
      <c r="N334" s="2">
        <f t="shared" si="337"/>
        <v>1</v>
      </c>
      <c r="O334" s="2">
        <f t="shared" si="337"/>
        <v>1</v>
      </c>
      <c r="P334" s="2">
        <f t="shared" si="337"/>
        <v>1</v>
      </c>
      <c r="Q334" s="2">
        <f t="shared" si="3"/>
        <v>1</v>
      </c>
      <c r="R334" s="2">
        <f>IF(ISERROR(VLOOKUP(A334, 'Project Reference'!A:A, 1, FALSE)), 0, 1)</f>
        <v>1</v>
      </c>
      <c r="S334" s="2">
        <f>IFERROR(__xludf.DUMMYFUNCTION("IF(AND(REGEXMATCH(D334, B334), REGEXMATCH(D334, C334)), 1, 0)"),1.0)</f>
        <v>1</v>
      </c>
      <c r="T334" s="2">
        <f t="shared" si="4"/>
        <v>1</v>
      </c>
      <c r="U334" s="2">
        <f t="shared" si="5"/>
        <v>1</v>
      </c>
      <c r="V334" s="2">
        <f t="shared" si="6"/>
        <v>1</v>
      </c>
    </row>
    <row r="335" ht="14.25" customHeight="1">
      <c r="A335" s="2" t="s">
        <v>351</v>
      </c>
      <c r="B335" s="2" t="s">
        <v>35</v>
      </c>
      <c r="C335" s="2" t="s">
        <v>36</v>
      </c>
      <c r="D335" s="2" t="s">
        <v>37</v>
      </c>
      <c r="E335" s="6">
        <v>45137.0</v>
      </c>
      <c r="F335" s="6">
        <v>45306.0</v>
      </c>
      <c r="G335" s="7">
        <v>5.93562614E8</v>
      </c>
      <c r="H335" s="2" t="s">
        <v>44</v>
      </c>
      <c r="I335" s="2">
        <f t="shared" ref="I335:P335" si="338">IF(ISBLANK(A335)=TRUE,0,1)</f>
        <v>1</v>
      </c>
      <c r="J335" s="2">
        <f t="shared" si="338"/>
        <v>1</v>
      </c>
      <c r="K335" s="2">
        <f t="shared" si="338"/>
        <v>1</v>
      </c>
      <c r="L335" s="2">
        <f t="shared" si="338"/>
        <v>1</v>
      </c>
      <c r="M335" s="2">
        <f t="shared" si="338"/>
        <v>1</v>
      </c>
      <c r="N335" s="2">
        <f t="shared" si="338"/>
        <v>1</v>
      </c>
      <c r="O335" s="2">
        <f t="shared" si="338"/>
        <v>1</v>
      </c>
      <c r="P335" s="2">
        <f t="shared" si="338"/>
        <v>1</v>
      </c>
      <c r="Q335" s="2">
        <f t="shared" si="3"/>
        <v>1</v>
      </c>
      <c r="R335" s="2">
        <f>IF(ISERROR(VLOOKUP(A335, 'Project Reference'!A:A, 1, FALSE)), 0, 1)</f>
        <v>1</v>
      </c>
      <c r="S335" s="2">
        <f>IFERROR(__xludf.DUMMYFUNCTION("IF(AND(REGEXMATCH(D335, B335), REGEXMATCH(D335, C335)), 1, 0)"),1.0)</f>
        <v>1</v>
      </c>
      <c r="T335" s="2">
        <f t="shared" si="4"/>
        <v>1</v>
      </c>
      <c r="U335" s="2">
        <f t="shared" si="5"/>
        <v>1</v>
      </c>
      <c r="V335" s="2">
        <f t="shared" si="6"/>
        <v>1</v>
      </c>
    </row>
    <row r="336" ht="14.25" customHeight="1">
      <c r="A336" s="2" t="s">
        <v>352</v>
      </c>
      <c r="B336" s="2" t="s">
        <v>60</v>
      </c>
      <c r="C336" s="2" t="s">
        <v>13</v>
      </c>
      <c r="D336" s="8" t="s">
        <v>582</v>
      </c>
      <c r="E336" s="6">
        <v>45137.0</v>
      </c>
      <c r="F336" s="6">
        <v>45248.0</v>
      </c>
      <c r="G336" s="7">
        <v>3.507077254E9</v>
      </c>
      <c r="H336" s="2" t="s">
        <v>21</v>
      </c>
      <c r="I336" s="2">
        <f t="shared" ref="I336:P336" si="339">IF(ISBLANK(A336)=TRUE,0,1)</f>
        <v>1</v>
      </c>
      <c r="J336" s="2">
        <f t="shared" si="339"/>
        <v>1</v>
      </c>
      <c r="K336" s="2">
        <f t="shared" si="339"/>
        <v>1</v>
      </c>
      <c r="L336" s="2">
        <f t="shared" si="339"/>
        <v>1</v>
      </c>
      <c r="M336" s="2">
        <f t="shared" si="339"/>
        <v>1</v>
      </c>
      <c r="N336" s="2">
        <f t="shared" si="339"/>
        <v>1</v>
      </c>
      <c r="O336" s="2">
        <f t="shared" si="339"/>
        <v>1</v>
      </c>
      <c r="P336" s="2">
        <f t="shared" si="339"/>
        <v>1</v>
      </c>
      <c r="Q336" s="2">
        <f t="shared" si="3"/>
        <v>1</v>
      </c>
      <c r="R336" s="2">
        <f>IF(ISERROR(VLOOKUP(A336, 'Project Reference'!A:A, 1, FALSE)), 0, 1)</f>
        <v>1</v>
      </c>
      <c r="S336" s="2">
        <f>IFERROR(__xludf.DUMMYFUNCTION("IF(AND(REGEXMATCH(D336, B336), REGEXMATCH(D336, C336)), 1, 0)"),1.0)</f>
        <v>1</v>
      </c>
      <c r="T336" s="2">
        <f t="shared" si="4"/>
        <v>1</v>
      </c>
      <c r="U336" s="2">
        <f t="shared" si="5"/>
        <v>1</v>
      </c>
      <c r="V336" s="2">
        <f t="shared" si="6"/>
        <v>1</v>
      </c>
    </row>
    <row r="337" ht="14.25" customHeight="1">
      <c r="A337" s="2" t="s">
        <v>353</v>
      </c>
      <c r="B337" s="2" t="s">
        <v>18</v>
      </c>
      <c r="C337" s="2" t="s">
        <v>24</v>
      </c>
      <c r="D337" s="8" t="s">
        <v>618</v>
      </c>
      <c r="E337" s="6">
        <v>45138.0</v>
      </c>
      <c r="F337" s="6">
        <v>45446.0</v>
      </c>
      <c r="G337" s="7">
        <v>7.83003102E9</v>
      </c>
      <c r="H337" s="8" t="s">
        <v>581</v>
      </c>
      <c r="I337" s="2">
        <f t="shared" ref="I337:P337" si="340">IF(ISBLANK(A337)=TRUE,0,1)</f>
        <v>1</v>
      </c>
      <c r="J337" s="2">
        <f t="shared" si="340"/>
        <v>1</v>
      </c>
      <c r="K337" s="2">
        <f t="shared" si="340"/>
        <v>1</v>
      </c>
      <c r="L337" s="2">
        <f t="shared" si="340"/>
        <v>1</v>
      </c>
      <c r="M337" s="2">
        <f t="shared" si="340"/>
        <v>1</v>
      </c>
      <c r="N337" s="2">
        <f t="shared" si="340"/>
        <v>1</v>
      </c>
      <c r="O337" s="2">
        <f t="shared" si="340"/>
        <v>1</v>
      </c>
      <c r="P337" s="2">
        <f t="shared" si="340"/>
        <v>1</v>
      </c>
      <c r="Q337" s="2">
        <f t="shared" si="3"/>
        <v>1</v>
      </c>
      <c r="R337" s="2">
        <f>IF(ISERROR(VLOOKUP(A337, 'Project Reference'!A:A, 1, FALSE)), 0, 1)</f>
        <v>1</v>
      </c>
      <c r="S337" s="2">
        <f>IFERROR(__xludf.DUMMYFUNCTION("IF(AND(REGEXMATCH(D337, B337), REGEXMATCH(D337, C337)), 1, 0)"),1.0)</f>
        <v>1</v>
      </c>
      <c r="T337" s="2">
        <f t="shared" si="4"/>
        <v>1</v>
      </c>
      <c r="U337" s="2">
        <f t="shared" si="5"/>
        <v>1</v>
      </c>
      <c r="V337" s="2">
        <f t="shared" si="6"/>
        <v>1</v>
      </c>
    </row>
    <row r="338" ht="14.25" customHeight="1">
      <c r="A338" s="2" t="s">
        <v>355</v>
      </c>
      <c r="B338" s="2" t="s">
        <v>18</v>
      </c>
      <c r="C338" s="2" t="s">
        <v>36</v>
      </c>
      <c r="D338" s="8" t="s">
        <v>634</v>
      </c>
      <c r="E338" s="6">
        <v>45140.0</v>
      </c>
      <c r="F338" s="6">
        <v>45090.0</v>
      </c>
      <c r="G338" s="7">
        <v>8.403683934E9</v>
      </c>
      <c r="H338" s="2" t="s">
        <v>50</v>
      </c>
      <c r="I338" s="2">
        <f t="shared" ref="I338:P338" si="341">IF(ISBLANK(A338)=TRUE,0,1)</f>
        <v>1</v>
      </c>
      <c r="J338" s="2">
        <f t="shared" si="341"/>
        <v>1</v>
      </c>
      <c r="K338" s="2">
        <f t="shared" si="341"/>
        <v>1</v>
      </c>
      <c r="L338" s="2">
        <f t="shared" si="341"/>
        <v>1</v>
      </c>
      <c r="M338" s="2">
        <f t="shared" si="341"/>
        <v>1</v>
      </c>
      <c r="N338" s="2">
        <f t="shared" si="341"/>
        <v>1</v>
      </c>
      <c r="O338" s="2">
        <f t="shared" si="341"/>
        <v>1</v>
      </c>
      <c r="P338" s="2">
        <f t="shared" si="341"/>
        <v>1</v>
      </c>
      <c r="Q338" s="2">
        <f t="shared" si="3"/>
        <v>1</v>
      </c>
      <c r="R338" s="2">
        <f>IF(ISERROR(VLOOKUP(A338, 'Project Reference'!A:A, 1, FALSE)), 0, 1)</f>
        <v>1</v>
      </c>
      <c r="S338" s="2">
        <f>IFERROR(__xludf.DUMMYFUNCTION("IF(AND(REGEXMATCH(D338, B338), REGEXMATCH(D338, C338)), 1, 0)"),1.0)</f>
        <v>1</v>
      </c>
      <c r="T338" s="2">
        <f t="shared" si="4"/>
        <v>1</v>
      </c>
      <c r="U338" s="2">
        <f t="shared" si="5"/>
        <v>0</v>
      </c>
      <c r="V338" s="2">
        <f t="shared" si="6"/>
        <v>1</v>
      </c>
    </row>
    <row r="339" ht="14.25" customHeight="1">
      <c r="A339" s="2" t="s">
        <v>356</v>
      </c>
      <c r="B339" s="2" t="s">
        <v>60</v>
      </c>
      <c r="C339" s="2" t="s">
        <v>36</v>
      </c>
      <c r="D339" s="8" t="s">
        <v>628</v>
      </c>
      <c r="E339" s="6">
        <v>45140.0</v>
      </c>
      <c r="F339" s="6">
        <v>45473.0</v>
      </c>
      <c r="G339" s="7">
        <v>4.381657926E9</v>
      </c>
      <c r="H339" s="8" t="s">
        <v>581</v>
      </c>
      <c r="I339" s="2">
        <f t="shared" ref="I339:P339" si="342">IF(ISBLANK(A339)=TRUE,0,1)</f>
        <v>1</v>
      </c>
      <c r="J339" s="2">
        <f t="shared" si="342"/>
        <v>1</v>
      </c>
      <c r="K339" s="2">
        <f t="shared" si="342"/>
        <v>1</v>
      </c>
      <c r="L339" s="2">
        <f t="shared" si="342"/>
        <v>1</v>
      </c>
      <c r="M339" s="2">
        <f t="shared" si="342"/>
        <v>1</v>
      </c>
      <c r="N339" s="2">
        <f t="shared" si="342"/>
        <v>1</v>
      </c>
      <c r="O339" s="2">
        <f t="shared" si="342"/>
        <v>1</v>
      </c>
      <c r="P339" s="2">
        <f t="shared" si="342"/>
        <v>1</v>
      </c>
      <c r="Q339" s="2">
        <f t="shared" si="3"/>
        <v>1</v>
      </c>
      <c r="R339" s="2">
        <f>IF(ISERROR(VLOOKUP(A339, 'Project Reference'!A:A, 1, FALSE)), 0, 1)</f>
        <v>1</v>
      </c>
      <c r="S339" s="2">
        <f>IFERROR(__xludf.DUMMYFUNCTION("IF(AND(REGEXMATCH(D339, B339), REGEXMATCH(D339, C339)), 1, 0)"),1.0)</f>
        <v>1</v>
      </c>
      <c r="T339" s="2">
        <f t="shared" si="4"/>
        <v>1</v>
      </c>
      <c r="U339" s="2">
        <f t="shared" si="5"/>
        <v>1</v>
      </c>
      <c r="V339" s="2">
        <f t="shared" si="6"/>
        <v>1</v>
      </c>
    </row>
    <row r="340" ht="14.25" customHeight="1">
      <c r="A340" s="2" t="s">
        <v>357</v>
      </c>
      <c r="B340" s="2" t="s">
        <v>30</v>
      </c>
      <c r="C340" s="2" t="s">
        <v>42</v>
      </c>
      <c r="D340" s="8" t="s">
        <v>632</v>
      </c>
      <c r="E340" s="6">
        <v>45140.0</v>
      </c>
      <c r="F340" s="6">
        <v>45487.0</v>
      </c>
      <c r="G340" s="7">
        <v>1.717899076E9</v>
      </c>
      <c r="H340" s="2" t="s">
        <v>44</v>
      </c>
      <c r="I340" s="2">
        <f t="shared" ref="I340:P340" si="343">IF(ISBLANK(A340)=TRUE,0,1)</f>
        <v>1</v>
      </c>
      <c r="J340" s="2">
        <f t="shared" si="343"/>
        <v>1</v>
      </c>
      <c r="K340" s="2">
        <f t="shared" si="343"/>
        <v>1</v>
      </c>
      <c r="L340" s="2">
        <f t="shared" si="343"/>
        <v>1</v>
      </c>
      <c r="M340" s="2">
        <f t="shared" si="343"/>
        <v>1</v>
      </c>
      <c r="N340" s="2">
        <f t="shared" si="343"/>
        <v>1</v>
      </c>
      <c r="O340" s="2">
        <f t="shared" si="343"/>
        <v>1</v>
      </c>
      <c r="P340" s="2">
        <f t="shared" si="343"/>
        <v>1</v>
      </c>
      <c r="Q340" s="2">
        <f t="shared" si="3"/>
        <v>1</v>
      </c>
      <c r="R340" s="2">
        <f>IF(ISERROR(VLOOKUP(A340, 'Project Reference'!A:A, 1, FALSE)), 0, 1)</f>
        <v>1</v>
      </c>
      <c r="S340" s="2">
        <f>IFERROR(__xludf.DUMMYFUNCTION("IF(AND(REGEXMATCH(D340, B340), REGEXMATCH(D340, C340)), 1, 0)"),1.0)</f>
        <v>1</v>
      </c>
      <c r="T340" s="2">
        <f t="shared" si="4"/>
        <v>1</v>
      </c>
      <c r="U340" s="2">
        <f t="shared" si="5"/>
        <v>1</v>
      </c>
      <c r="V340" s="2">
        <f t="shared" si="6"/>
        <v>1</v>
      </c>
    </row>
    <row r="341" ht="14.25" customHeight="1">
      <c r="A341" s="2" t="s">
        <v>358</v>
      </c>
      <c r="B341" s="2" t="s">
        <v>12</v>
      </c>
      <c r="C341" s="2" t="s">
        <v>48</v>
      </c>
      <c r="D341" s="8" t="s">
        <v>602</v>
      </c>
      <c r="E341" s="6">
        <v>45143.0</v>
      </c>
      <c r="F341" s="6">
        <v>45201.0</v>
      </c>
      <c r="G341" s="7">
        <v>2.31308784E8</v>
      </c>
      <c r="H341" s="2" t="s">
        <v>33</v>
      </c>
      <c r="I341" s="2">
        <f t="shared" ref="I341:P341" si="344">IF(ISBLANK(A341)=TRUE,0,1)</f>
        <v>1</v>
      </c>
      <c r="J341" s="2">
        <f t="shared" si="344"/>
        <v>1</v>
      </c>
      <c r="K341" s="2">
        <f t="shared" si="344"/>
        <v>1</v>
      </c>
      <c r="L341" s="2">
        <f t="shared" si="344"/>
        <v>1</v>
      </c>
      <c r="M341" s="2">
        <f t="shared" si="344"/>
        <v>1</v>
      </c>
      <c r="N341" s="2">
        <f t="shared" si="344"/>
        <v>1</v>
      </c>
      <c r="O341" s="2">
        <f t="shared" si="344"/>
        <v>1</v>
      </c>
      <c r="P341" s="2">
        <f t="shared" si="344"/>
        <v>1</v>
      </c>
      <c r="Q341" s="2">
        <f t="shared" si="3"/>
        <v>1</v>
      </c>
      <c r="R341" s="2">
        <f>IF(ISERROR(VLOOKUP(A341, 'Project Reference'!A:A, 1, FALSE)), 0, 1)</f>
        <v>1</v>
      </c>
      <c r="S341" s="2">
        <f>IFERROR(__xludf.DUMMYFUNCTION("IF(AND(REGEXMATCH(D341, B341), REGEXMATCH(D341, C341)), 1, 0)"),1.0)</f>
        <v>1</v>
      </c>
      <c r="T341" s="2">
        <f t="shared" si="4"/>
        <v>1</v>
      </c>
      <c r="U341" s="2">
        <f t="shared" si="5"/>
        <v>1</v>
      </c>
      <c r="V341" s="2">
        <f t="shared" si="6"/>
        <v>1</v>
      </c>
    </row>
    <row r="342" ht="14.25" customHeight="1">
      <c r="A342" s="2" t="s">
        <v>359</v>
      </c>
      <c r="B342" s="2" t="s">
        <v>18</v>
      </c>
      <c r="C342" s="2" t="s">
        <v>24</v>
      </c>
      <c r="D342" s="8" t="s">
        <v>618</v>
      </c>
      <c r="E342" s="6">
        <v>45143.0</v>
      </c>
      <c r="F342" s="6">
        <v>45254.0</v>
      </c>
      <c r="G342" s="7">
        <v>1.694502492E9</v>
      </c>
      <c r="H342" s="8" t="s">
        <v>573</v>
      </c>
      <c r="I342" s="2">
        <f t="shared" ref="I342:P342" si="345">IF(ISBLANK(A342)=TRUE,0,1)</f>
        <v>1</v>
      </c>
      <c r="J342" s="2">
        <f t="shared" si="345"/>
        <v>1</v>
      </c>
      <c r="K342" s="2">
        <f t="shared" si="345"/>
        <v>1</v>
      </c>
      <c r="L342" s="2">
        <f t="shared" si="345"/>
        <v>1</v>
      </c>
      <c r="M342" s="2">
        <f t="shared" si="345"/>
        <v>1</v>
      </c>
      <c r="N342" s="2">
        <f t="shared" si="345"/>
        <v>1</v>
      </c>
      <c r="O342" s="2">
        <f t="shared" si="345"/>
        <v>1</v>
      </c>
      <c r="P342" s="2">
        <f t="shared" si="345"/>
        <v>1</v>
      </c>
      <c r="Q342" s="2">
        <f t="shared" si="3"/>
        <v>1</v>
      </c>
      <c r="R342" s="2">
        <f>IF(ISERROR(VLOOKUP(A342, 'Project Reference'!A:A, 1, FALSE)), 0, 1)</f>
        <v>1</v>
      </c>
      <c r="S342" s="2">
        <f>IFERROR(__xludf.DUMMYFUNCTION("IF(AND(REGEXMATCH(D342, B342), REGEXMATCH(D342, C342)), 1, 0)"),1.0)</f>
        <v>1</v>
      </c>
      <c r="T342" s="2">
        <f t="shared" si="4"/>
        <v>1</v>
      </c>
      <c r="U342" s="2">
        <f t="shared" si="5"/>
        <v>1</v>
      </c>
      <c r="V342" s="2">
        <f t="shared" si="6"/>
        <v>1</v>
      </c>
    </row>
    <row r="343" ht="14.25" customHeight="1">
      <c r="A343" s="2" t="s">
        <v>360</v>
      </c>
      <c r="B343" s="2" t="s">
        <v>18</v>
      </c>
      <c r="C343" s="2" t="s">
        <v>24</v>
      </c>
      <c r="D343" s="8" t="s">
        <v>618</v>
      </c>
      <c r="E343" s="6">
        <v>45144.0</v>
      </c>
      <c r="F343" s="6">
        <v>45215.0</v>
      </c>
      <c r="G343" s="7">
        <v>6.044403214E9</v>
      </c>
      <c r="H343" s="2" t="s">
        <v>33</v>
      </c>
      <c r="I343" s="2">
        <f t="shared" ref="I343:P343" si="346">IF(ISBLANK(A343)=TRUE,0,1)</f>
        <v>1</v>
      </c>
      <c r="J343" s="2">
        <f t="shared" si="346"/>
        <v>1</v>
      </c>
      <c r="K343" s="2">
        <f t="shared" si="346"/>
        <v>1</v>
      </c>
      <c r="L343" s="2">
        <f t="shared" si="346"/>
        <v>1</v>
      </c>
      <c r="M343" s="2">
        <f t="shared" si="346"/>
        <v>1</v>
      </c>
      <c r="N343" s="2">
        <f t="shared" si="346"/>
        <v>1</v>
      </c>
      <c r="O343" s="2">
        <f t="shared" si="346"/>
        <v>1</v>
      </c>
      <c r="P343" s="2">
        <f t="shared" si="346"/>
        <v>1</v>
      </c>
      <c r="Q343" s="2">
        <f t="shared" si="3"/>
        <v>1</v>
      </c>
      <c r="R343" s="2">
        <f>IF(ISERROR(VLOOKUP(A343, 'Project Reference'!A:A, 1, FALSE)), 0, 1)</f>
        <v>1</v>
      </c>
      <c r="S343" s="2">
        <f>IFERROR(__xludf.DUMMYFUNCTION("IF(AND(REGEXMATCH(D343, B343), REGEXMATCH(D343, C343)), 1, 0)"),1.0)</f>
        <v>1</v>
      </c>
      <c r="T343" s="2">
        <f t="shared" si="4"/>
        <v>1</v>
      </c>
      <c r="U343" s="2">
        <f t="shared" si="5"/>
        <v>1</v>
      </c>
      <c r="V343" s="2">
        <f t="shared" si="6"/>
        <v>1</v>
      </c>
    </row>
    <row r="344" ht="14.25" customHeight="1">
      <c r="A344" s="2" t="s">
        <v>362</v>
      </c>
      <c r="B344" s="2" t="s">
        <v>12</v>
      </c>
      <c r="C344" s="2" t="s">
        <v>42</v>
      </c>
      <c r="D344" s="8" t="s">
        <v>603</v>
      </c>
      <c r="E344" s="6">
        <v>45145.0</v>
      </c>
      <c r="F344" s="6">
        <v>45397.0</v>
      </c>
      <c r="G344" s="7">
        <v>8.73718114E8</v>
      </c>
      <c r="H344" s="2" t="s">
        <v>44</v>
      </c>
      <c r="I344" s="2">
        <f t="shared" ref="I344:P344" si="347">IF(ISBLANK(A344)=TRUE,0,1)</f>
        <v>1</v>
      </c>
      <c r="J344" s="2">
        <f t="shared" si="347"/>
        <v>1</v>
      </c>
      <c r="K344" s="2">
        <f t="shared" si="347"/>
        <v>1</v>
      </c>
      <c r="L344" s="2">
        <f t="shared" si="347"/>
        <v>1</v>
      </c>
      <c r="M344" s="2">
        <f t="shared" si="347"/>
        <v>1</v>
      </c>
      <c r="N344" s="2">
        <f t="shared" si="347"/>
        <v>1</v>
      </c>
      <c r="O344" s="2">
        <f t="shared" si="347"/>
        <v>1</v>
      </c>
      <c r="P344" s="2">
        <f t="shared" si="347"/>
        <v>1</v>
      </c>
      <c r="Q344" s="2">
        <f t="shared" si="3"/>
        <v>1</v>
      </c>
      <c r="R344" s="2">
        <f>IF(ISERROR(VLOOKUP(A344, 'Project Reference'!A:A, 1, FALSE)), 0, 1)</f>
        <v>1</v>
      </c>
      <c r="S344" s="2">
        <f>IFERROR(__xludf.DUMMYFUNCTION("IF(AND(REGEXMATCH(D344, B344), REGEXMATCH(D344, C344)), 1, 0)"),1.0)</f>
        <v>1</v>
      </c>
      <c r="T344" s="2">
        <f t="shared" si="4"/>
        <v>1</v>
      </c>
      <c r="U344" s="2">
        <f t="shared" si="5"/>
        <v>1</v>
      </c>
      <c r="V344" s="2">
        <f t="shared" si="6"/>
        <v>1</v>
      </c>
    </row>
    <row r="345" ht="14.25" customHeight="1">
      <c r="A345" s="2" t="s">
        <v>363</v>
      </c>
      <c r="B345" s="2" t="s">
        <v>35</v>
      </c>
      <c r="C345" s="2" t="s">
        <v>39</v>
      </c>
      <c r="D345" s="2" t="s">
        <v>145</v>
      </c>
      <c r="E345" s="6">
        <v>45147.0</v>
      </c>
      <c r="F345" s="6">
        <v>45343.0</v>
      </c>
      <c r="G345" s="7">
        <v>2.30467768E8</v>
      </c>
      <c r="H345" s="2" t="s">
        <v>67</v>
      </c>
      <c r="I345" s="2">
        <f t="shared" ref="I345:P345" si="348">IF(ISBLANK(A345)=TRUE,0,1)</f>
        <v>1</v>
      </c>
      <c r="J345" s="2">
        <f t="shared" si="348"/>
        <v>1</v>
      </c>
      <c r="K345" s="2">
        <f t="shared" si="348"/>
        <v>1</v>
      </c>
      <c r="L345" s="2">
        <f t="shared" si="348"/>
        <v>1</v>
      </c>
      <c r="M345" s="2">
        <f t="shared" si="348"/>
        <v>1</v>
      </c>
      <c r="N345" s="2">
        <f t="shared" si="348"/>
        <v>1</v>
      </c>
      <c r="O345" s="2">
        <f t="shared" si="348"/>
        <v>1</v>
      </c>
      <c r="P345" s="2">
        <f t="shared" si="348"/>
        <v>1</v>
      </c>
      <c r="Q345" s="2">
        <f t="shared" si="3"/>
        <v>1</v>
      </c>
      <c r="R345" s="2">
        <f>IF(ISERROR(VLOOKUP(A345, 'Project Reference'!A:A, 1, FALSE)), 0, 1)</f>
        <v>1</v>
      </c>
      <c r="S345" s="2">
        <f>IFERROR(__xludf.DUMMYFUNCTION("IF(AND(REGEXMATCH(D345, B345), REGEXMATCH(D345, C345)), 1, 0)"),1.0)</f>
        <v>1</v>
      </c>
      <c r="T345" s="2">
        <f t="shared" si="4"/>
        <v>1</v>
      </c>
      <c r="U345" s="2">
        <f t="shared" si="5"/>
        <v>1</v>
      </c>
      <c r="V345" s="2">
        <f t="shared" si="6"/>
        <v>1</v>
      </c>
    </row>
    <row r="346" ht="14.25" customHeight="1">
      <c r="A346" s="2" t="s">
        <v>364</v>
      </c>
      <c r="B346" s="2" t="s">
        <v>12</v>
      </c>
      <c r="C346" s="2" t="s">
        <v>36</v>
      </c>
      <c r="D346" s="8" t="s">
        <v>578</v>
      </c>
      <c r="E346" s="6">
        <v>45148.0</v>
      </c>
      <c r="F346" s="6">
        <v>45259.0</v>
      </c>
      <c r="G346" s="7">
        <v>6.88191398E8</v>
      </c>
      <c r="H346" s="2" t="s">
        <v>44</v>
      </c>
      <c r="I346" s="2">
        <f t="shared" ref="I346:P346" si="349">IF(ISBLANK(A346)=TRUE,0,1)</f>
        <v>1</v>
      </c>
      <c r="J346" s="2">
        <f t="shared" si="349"/>
        <v>1</v>
      </c>
      <c r="K346" s="2">
        <f t="shared" si="349"/>
        <v>1</v>
      </c>
      <c r="L346" s="2">
        <f t="shared" si="349"/>
        <v>1</v>
      </c>
      <c r="M346" s="2">
        <f t="shared" si="349"/>
        <v>1</v>
      </c>
      <c r="N346" s="2">
        <f t="shared" si="349"/>
        <v>1</v>
      </c>
      <c r="O346" s="2">
        <f t="shared" si="349"/>
        <v>1</v>
      </c>
      <c r="P346" s="2">
        <f t="shared" si="349"/>
        <v>1</v>
      </c>
      <c r="Q346" s="2">
        <f t="shared" si="3"/>
        <v>1</v>
      </c>
      <c r="R346" s="2">
        <f>IF(ISERROR(VLOOKUP(A346, 'Project Reference'!A:A, 1, FALSE)), 0, 1)</f>
        <v>1</v>
      </c>
      <c r="S346" s="2">
        <f>IFERROR(__xludf.DUMMYFUNCTION("IF(AND(REGEXMATCH(D346, B346), REGEXMATCH(D346, C346)), 1, 0)"),1.0)</f>
        <v>1</v>
      </c>
      <c r="T346" s="2">
        <f t="shared" si="4"/>
        <v>1</v>
      </c>
      <c r="U346" s="2">
        <f t="shared" si="5"/>
        <v>1</v>
      </c>
      <c r="V346" s="2">
        <f t="shared" si="6"/>
        <v>1</v>
      </c>
    </row>
    <row r="347" ht="14.25" customHeight="1">
      <c r="A347" s="2" t="s">
        <v>365</v>
      </c>
      <c r="B347" s="2" t="s">
        <v>18</v>
      </c>
      <c r="C347" s="2" t="s">
        <v>36</v>
      </c>
      <c r="D347" s="8" t="s">
        <v>634</v>
      </c>
      <c r="E347" s="6">
        <v>45149.0</v>
      </c>
      <c r="F347" s="6">
        <v>45285.0</v>
      </c>
      <c r="G347" s="7">
        <v>2.697606072E9</v>
      </c>
      <c r="H347" s="2" t="s">
        <v>44</v>
      </c>
      <c r="I347" s="2">
        <f t="shared" ref="I347:P347" si="350">IF(ISBLANK(A347)=TRUE,0,1)</f>
        <v>1</v>
      </c>
      <c r="J347" s="2">
        <f t="shared" si="350"/>
        <v>1</v>
      </c>
      <c r="K347" s="2">
        <f t="shared" si="350"/>
        <v>1</v>
      </c>
      <c r="L347" s="2">
        <f t="shared" si="350"/>
        <v>1</v>
      </c>
      <c r="M347" s="2">
        <f t="shared" si="350"/>
        <v>1</v>
      </c>
      <c r="N347" s="2">
        <f t="shared" si="350"/>
        <v>1</v>
      </c>
      <c r="O347" s="2">
        <f t="shared" si="350"/>
        <v>1</v>
      </c>
      <c r="P347" s="2">
        <f t="shared" si="350"/>
        <v>1</v>
      </c>
      <c r="Q347" s="2">
        <f t="shared" si="3"/>
        <v>1</v>
      </c>
      <c r="R347" s="2">
        <f>IF(ISERROR(VLOOKUP(A347, 'Project Reference'!A:A, 1, FALSE)), 0, 1)</f>
        <v>1</v>
      </c>
      <c r="S347" s="2">
        <f>IFERROR(__xludf.DUMMYFUNCTION("IF(AND(REGEXMATCH(D347, B347), REGEXMATCH(D347, C347)), 1, 0)"),1.0)</f>
        <v>1</v>
      </c>
      <c r="T347" s="2">
        <f t="shared" si="4"/>
        <v>1</v>
      </c>
      <c r="U347" s="2">
        <f t="shared" si="5"/>
        <v>1</v>
      </c>
      <c r="V347" s="2">
        <f t="shared" si="6"/>
        <v>1</v>
      </c>
    </row>
    <row r="348" ht="14.25" customHeight="1">
      <c r="A348" s="2" t="s">
        <v>366</v>
      </c>
      <c r="B348" s="2" t="s">
        <v>12</v>
      </c>
      <c r="C348" s="2" t="s">
        <v>39</v>
      </c>
      <c r="D348" s="8" t="s">
        <v>591</v>
      </c>
      <c r="E348" s="6">
        <v>45151.0</v>
      </c>
      <c r="F348" s="6">
        <v>45311.0</v>
      </c>
      <c r="G348" s="7">
        <v>9.90744889E8</v>
      </c>
      <c r="H348" s="8" t="s">
        <v>573</v>
      </c>
      <c r="I348" s="2">
        <f t="shared" ref="I348:P348" si="351">IF(ISBLANK(A348)=TRUE,0,1)</f>
        <v>1</v>
      </c>
      <c r="J348" s="2">
        <f t="shared" si="351"/>
        <v>1</v>
      </c>
      <c r="K348" s="2">
        <f t="shared" si="351"/>
        <v>1</v>
      </c>
      <c r="L348" s="2">
        <f t="shared" si="351"/>
        <v>1</v>
      </c>
      <c r="M348" s="2">
        <f t="shared" si="351"/>
        <v>1</v>
      </c>
      <c r="N348" s="2">
        <f t="shared" si="351"/>
        <v>1</v>
      </c>
      <c r="O348" s="2">
        <f t="shared" si="351"/>
        <v>1</v>
      </c>
      <c r="P348" s="2">
        <f t="shared" si="351"/>
        <v>1</v>
      </c>
      <c r="Q348" s="2">
        <f t="shared" si="3"/>
        <v>1</v>
      </c>
      <c r="R348" s="2">
        <f>IF(ISERROR(VLOOKUP(A348, 'Project Reference'!A:A, 1, FALSE)), 0, 1)</f>
        <v>1</v>
      </c>
      <c r="S348" s="2">
        <f>IFERROR(__xludf.DUMMYFUNCTION("IF(AND(REGEXMATCH(D348, B348), REGEXMATCH(D348, C348)), 1, 0)"),1.0)</f>
        <v>1</v>
      </c>
      <c r="T348" s="2">
        <f t="shared" si="4"/>
        <v>1</v>
      </c>
      <c r="U348" s="2">
        <f t="shared" si="5"/>
        <v>1</v>
      </c>
      <c r="V348" s="2">
        <f t="shared" si="6"/>
        <v>1</v>
      </c>
    </row>
    <row r="349" ht="14.25" customHeight="1">
      <c r="A349" s="2" t="s">
        <v>367</v>
      </c>
      <c r="B349" s="2" t="s">
        <v>30</v>
      </c>
      <c r="C349" s="2" t="s">
        <v>36</v>
      </c>
      <c r="D349" s="8" t="s">
        <v>639</v>
      </c>
      <c r="E349" s="6">
        <v>45153.0</v>
      </c>
      <c r="F349" s="6">
        <v>45342.0</v>
      </c>
      <c r="G349" s="7">
        <v>3.212613392E9</v>
      </c>
      <c r="H349" s="2" t="s">
        <v>21</v>
      </c>
      <c r="I349" s="2">
        <f t="shared" ref="I349:P349" si="352">IF(ISBLANK(A349)=TRUE,0,1)</f>
        <v>1</v>
      </c>
      <c r="J349" s="2">
        <f t="shared" si="352"/>
        <v>1</v>
      </c>
      <c r="K349" s="2">
        <f t="shared" si="352"/>
        <v>1</v>
      </c>
      <c r="L349" s="2">
        <f t="shared" si="352"/>
        <v>1</v>
      </c>
      <c r="M349" s="2">
        <f t="shared" si="352"/>
        <v>1</v>
      </c>
      <c r="N349" s="2">
        <f t="shared" si="352"/>
        <v>1</v>
      </c>
      <c r="O349" s="2">
        <f t="shared" si="352"/>
        <v>1</v>
      </c>
      <c r="P349" s="2">
        <f t="shared" si="352"/>
        <v>1</v>
      </c>
      <c r="Q349" s="2">
        <f t="shared" si="3"/>
        <v>1</v>
      </c>
      <c r="R349" s="2">
        <f>IF(ISERROR(VLOOKUP(A349, 'Project Reference'!A:A, 1, FALSE)), 0, 1)</f>
        <v>1</v>
      </c>
      <c r="S349" s="2">
        <f>IFERROR(__xludf.DUMMYFUNCTION("IF(AND(REGEXMATCH(D349, B349), REGEXMATCH(D349, C349)), 1, 0)"),1.0)</f>
        <v>1</v>
      </c>
      <c r="T349" s="2">
        <f t="shared" si="4"/>
        <v>1</v>
      </c>
      <c r="U349" s="2">
        <f t="shared" si="5"/>
        <v>1</v>
      </c>
      <c r="V349" s="2">
        <f t="shared" si="6"/>
        <v>1</v>
      </c>
    </row>
    <row r="350" ht="14.25" customHeight="1">
      <c r="A350" s="2" t="s">
        <v>368</v>
      </c>
      <c r="B350" s="2" t="s">
        <v>30</v>
      </c>
      <c r="C350" s="2" t="s">
        <v>19</v>
      </c>
      <c r="D350" s="8" t="s">
        <v>623</v>
      </c>
      <c r="E350" s="6">
        <v>45154.0</v>
      </c>
      <c r="F350" s="6">
        <v>45311.0</v>
      </c>
      <c r="G350" s="7">
        <v>8.43044899E8</v>
      </c>
      <c r="H350" s="8" t="s">
        <v>573</v>
      </c>
      <c r="I350" s="2">
        <f t="shared" ref="I350:P350" si="353">IF(ISBLANK(A350)=TRUE,0,1)</f>
        <v>1</v>
      </c>
      <c r="J350" s="2">
        <f t="shared" si="353"/>
        <v>1</v>
      </c>
      <c r="K350" s="2">
        <f t="shared" si="353"/>
        <v>1</v>
      </c>
      <c r="L350" s="2">
        <f t="shared" si="353"/>
        <v>1</v>
      </c>
      <c r="M350" s="2">
        <f t="shared" si="353"/>
        <v>1</v>
      </c>
      <c r="N350" s="2">
        <f t="shared" si="353"/>
        <v>1</v>
      </c>
      <c r="O350" s="2">
        <f t="shared" si="353"/>
        <v>1</v>
      </c>
      <c r="P350" s="2">
        <f t="shared" si="353"/>
        <v>1</v>
      </c>
      <c r="Q350" s="2">
        <f t="shared" si="3"/>
        <v>1</v>
      </c>
      <c r="R350" s="2">
        <f>IF(ISERROR(VLOOKUP(A350, 'Project Reference'!A:A, 1, FALSE)), 0, 1)</f>
        <v>1</v>
      </c>
      <c r="S350" s="2">
        <f>IFERROR(__xludf.DUMMYFUNCTION("IF(AND(REGEXMATCH(D350, B350), REGEXMATCH(D350, C350)), 1, 0)"),1.0)</f>
        <v>1</v>
      </c>
      <c r="T350" s="2">
        <f t="shared" si="4"/>
        <v>1</v>
      </c>
      <c r="U350" s="2">
        <f t="shared" si="5"/>
        <v>1</v>
      </c>
      <c r="V350" s="2">
        <f t="shared" si="6"/>
        <v>1</v>
      </c>
    </row>
    <row r="351" ht="14.25" customHeight="1">
      <c r="A351" s="2" t="s">
        <v>370</v>
      </c>
      <c r="B351" s="2" t="s">
        <v>18</v>
      </c>
      <c r="C351" s="2" t="s">
        <v>24</v>
      </c>
      <c r="D351" s="8" t="s">
        <v>618</v>
      </c>
      <c r="E351" s="6">
        <v>45155.0</v>
      </c>
      <c r="F351" s="6">
        <v>45382.0</v>
      </c>
      <c r="G351" s="7">
        <v>8.993425036E9</v>
      </c>
      <c r="H351" s="2" t="s">
        <v>50</v>
      </c>
      <c r="I351" s="2">
        <f t="shared" ref="I351:P351" si="354">IF(ISBLANK(A351)=TRUE,0,1)</f>
        <v>1</v>
      </c>
      <c r="J351" s="2">
        <f t="shared" si="354"/>
        <v>1</v>
      </c>
      <c r="K351" s="2">
        <f t="shared" si="354"/>
        <v>1</v>
      </c>
      <c r="L351" s="2">
        <f t="shared" si="354"/>
        <v>1</v>
      </c>
      <c r="M351" s="2">
        <f t="shared" si="354"/>
        <v>1</v>
      </c>
      <c r="N351" s="2">
        <f t="shared" si="354"/>
        <v>1</v>
      </c>
      <c r="O351" s="2">
        <f t="shared" si="354"/>
        <v>1</v>
      </c>
      <c r="P351" s="2">
        <f t="shared" si="354"/>
        <v>1</v>
      </c>
      <c r="Q351" s="2">
        <f t="shared" si="3"/>
        <v>1</v>
      </c>
      <c r="R351" s="2">
        <f>IF(ISERROR(VLOOKUP(A351, 'Project Reference'!A:A, 1, FALSE)), 0, 1)</f>
        <v>1</v>
      </c>
      <c r="S351" s="2">
        <f>IFERROR(__xludf.DUMMYFUNCTION("IF(AND(REGEXMATCH(D351, B351), REGEXMATCH(D351, C351)), 1, 0)"),1.0)</f>
        <v>1</v>
      </c>
      <c r="T351" s="2">
        <f t="shared" si="4"/>
        <v>1</v>
      </c>
      <c r="U351" s="2">
        <f t="shared" si="5"/>
        <v>1</v>
      </c>
      <c r="V351" s="2">
        <f t="shared" si="6"/>
        <v>1</v>
      </c>
    </row>
    <row r="352" ht="14.25" customHeight="1">
      <c r="A352" s="2" t="s">
        <v>371</v>
      </c>
      <c r="B352" s="2" t="s">
        <v>18</v>
      </c>
      <c r="C352" s="2" t="s">
        <v>36</v>
      </c>
      <c r="D352" s="8" t="s">
        <v>634</v>
      </c>
      <c r="E352" s="6">
        <v>45157.0</v>
      </c>
      <c r="F352" s="6">
        <v>45222.0</v>
      </c>
      <c r="G352" s="7">
        <v>4.764842863E9</v>
      </c>
      <c r="H352" s="2" t="s">
        <v>21</v>
      </c>
      <c r="I352" s="2">
        <f t="shared" ref="I352:P352" si="355">IF(ISBLANK(A352)=TRUE,0,1)</f>
        <v>1</v>
      </c>
      <c r="J352" s="2">
        <f t="shared" si="355"/>
        <v>1</v>
      </c>
      <c r="K352" s="2">
        <f t="shared" si="355"/>
        <v>1</v>
      </c>
      <c r="L352" s="2">
        <f t="shared" si="355"/>
        <v>1</v>
      </c>
      <c r="M352" s="2">
        <f t="shared" si="355"/>
        <v>1</v>
      </c>
      <c r="N352" s="2">
        <f t="shared" si="355"/>
        <v>1</v>
      </c>
      <c r="O352" s="2">
        <f t="shared" si="355"/>
        <v>1</v>
      </c>
      <c r="P352" s="2">
        <f t="shared" si="355"/>
        <v>1</v>
      </c>
      <c r="Q352" s="2">
        <f t="shared" si="3"/>
        <v>1</v>
      </c>
      <c r="R352" s="2">
        <f>IF(ISERROR(VLOOKUP(A352, 'Project Reference'!A:A, 1, FALSE)), 0, 1)</f>
        <v>1</v>
      </c>
      <c r="S352" s="2">
        <f>IFERROR(__xludf.DUMMYFUNCTION("IF(AND(REGEXMATCH(D352, B352), REGEXMATCH(D352, C352)), 1, 0)"),1.0)</f>
        <v>1</v>
      </c>
      <c r="T352" s="2">
        <f t="shared" si="4"/>
        <v>1</v>
      </c>
      <c r="U352" s="2">
        <f t="shared" si="5"/>
        <v>1</v>
      </c>
      <c r="V352" s="2">
        <f t="shared" si="6"/>
        <v>1</v>
      </c>
    </row>
    <row r="353" ht="14.25" customHeight="1">
      <c r="A353" s="2" t="s">
        <v>373</v>
      </c>
      <c r="B353" s="2" t="s">
        <v>60</v>
      </c>
      <c r="C353" s="2" t="s">
        <v>19</v>
      </c>
      <c r="D353" s="8" t="s">
        <v>616</v>
      </c>
      <c r="E353" s="6">
        <v>45158.0</v>
      </c>
      <c r="F353" s="6">
        <v>45284.0</v>
      </c>
      <c r="G353" s="7">
        <v>2.466228274E9</v>
      </c>
      <c r="H353" s="8" t="s">
        <v>581</v>
      </c>
      <c r="I353" s="2">
        <f t="shared" ref="I353:P353" si="356">IF(ISBLANK(A353)=TRUE,0,1)</f>
        <v>1</v>
      </c>
      <c r="J353" s="2">
        <f t="shared" si="356"/>
        <v>1</v>
      </c>
      <c r="K353" s="2">
        <f t="shared" si="356"/>
        <v>1</v>
      </c>
      <c r="L353" s="2">
        <f t="shared" si="356"/>
        <v>1</v>
      </c>
      <c r="M353" s="2">
        <f t="shared" si="356"/>
        <v>1</v>
      </c>
      <c r="N353" s="2">
        <f t="shared" si="356"/>
        <v>1</v>
      </c>
      <c r="O353" s="2">
        <f t="shared" si="356"/>
        <v>1</v>
      </c>
      <c r="P353" s="2">
        <f t="shared" si="356"/>
        <v>1</v>
      </c>
      <c r="Q353" s="2">
        <f t="shared" si="3"/>
        <v>1</v>
      </c>
      <c r="R353" s="2">
        <f>IF(ISERROR(VLOOKUP(A353, 'Project Reference'!A:A, 1, FALSE)), 0, 1)</f>
        <v>1</v>
      </c>
      <c r="S353" s="2">
        <f>IFERROR(__xludf.DUMMYFUNCTION("IF(AND(REGEXMATCH(D353, B353), REGEXMATCH(D353, C353)), 1, 0)"),1.0)</f>
        <v>1</v>
      </c>
      <c r="T353" s="2">
        <f t="shared" si="4"/>
        <v>1</v>
      </c>
      <c r="U353" s="2">
        <f t="shared" si="5"/>
        <v>1</v>
      </c>
      <c r="V353" s="2">
        <f t="shared" si="6"/>
        <v>1</v>
      </c>
    </row>
    <row r="354" ht="14.25" customHeight="1">
      <c r="A354" s="2" t="s">
        <v>374</v>
      </c>
      <c r="B354" s="2" t="s">
        <v>60</v>
      </c>
      <c r="C354" s="2" t="s">
        <v>31</v>
      </c>
      <c r="D354" s="8" t="s">
        <v>599</v>
      </c>
      <c r="E354" s="6">
        <v>45159.0</v>
      </c>
      <c r="F354" s="6">
        <v>45378.0</v>
      </c>
      <c r="G354" s="7">
        <v>3.270114898E9</v>
      </c>
      <c r="H354" s="2" t="s">
        <v>50</v>
      </c>
      <c r="I354" s="2">
        <f t="shared" ref="I354:P354" si="357">IF(ISBLANK(A354)=TRUE,0,1)</f>
        <v>1</v>
      </c>
      <c r="J354" s="2">
        <f t="shared" si="357"/>
        <v>1</v>
      </c>
      <c r="K354" s="2">
        <f t="shared" si="357"/>
        <v>1</v>
      </c>
      <c r="L354" s="2">
        <f t="shared" si="357"/>
        <v>1</v>
      </c>
      <c r="M354" s="2">
        <f t="shared" si="357"/>
        <v>1</v>
      </c>
      <c r="N354" s="2">
        <f t="shared" si="357"/>
        <v>1</v>
      </c>
      <c r="O354" s="2">
        <f t="shared" si="357"/>
        <v>1</v>
      </c>
      <c r="P354" s="2">
        <f t="shared" si="357"/>
        <v>1</v>
      </c>
      <c r="Q354" s="2">
        <f t="shared" si="3"/>
        <v>1</v>
      </c>
      <c r="R354" s="2">
        <f>IF(ISERROR(VLOOKUP(A354, 'Project Reference'!A:A, 1, FALSE)), 0, 1)</f>
        <v>1</v>
      </c>
      <c r="S354" s="2">
        <f>IFERROR(__xludf.DUMMYFUNCTION("IF(AND(REGEXMATCH(D354, B354), REGEXMATCH(D354, C354)), 1, 0)"),1.0)</f>
        <v>1</v>
      </c>
      <c r="T354" s="2">
        <f t="shared" si="4"/>
        <v>1</v>
      </c>
      <c r="U354" s="2">
        <f t="shared" si="5"/>
        <v>1</v>
      </c>
      <c r="V354" s="2">
        <f t="shared" si="6"/>
        <v>1</v>
      </c>
    </row>
    <row r="355" ht="14.25" customHeight="1">
      <c r="A355" s="2" t="s">
        <v>375</v>
      </c>
      <c r="B355" s="2" t="s">
        <v>60</v>
      </c>
      <c r="C355" s="2" t="s">
        <v>24</v>
      </c>
      <c r="D355" s="8" t="s">
        <v>640</v>
      </c>
      <c r="E355" s="6">
        <v>45159.0</v>
      </c>
      <c r="F355" s="6">
        <v>45272.0</v>
      </c>
      <c r="G355" s="7">
        <v>2.841617618E9</v>
      </c>
      <c r="H355" s="2" t="s">
        <v>50</v>
      </c>
      <c r="I355" s="2">
        <f t="shared" ref="I355:P355" si="358">IF(ISBLANK(A355)=TRUE,0,1)</f>
        <v>1</v>
      </c>
      <c r="J355" s="2">
        <f t="shared" si="358"/>
        <v>1</v>
      </c>
      <c r="K355" s="2">
        <f t="shared" si="358"/>
        <v>1</v>
      </c>
      <c r="L355" s="2">
        <f t="shared" si="358"/>
        <v>1</v>
      </c>
      <c r="M355" s="2">
        <f t="shared" si="358"/>
        <v>1</v>
      </c>
      <c r="N355" s="2">
        <f t="shared" si="358"/>
        <v>1</v>
      </c>
      <c r="O355" s="2">
        <f t="shared" si="358"/>
        <v>1</v>
      </c>
      <c r="P355" s="2">
        <f t="shared" si="358"/>
        <v>1</v>
      </c>
      <c r="Q355" s="2">
        <f t="shared" si="3"/>
        <v>1</v>
      </c>
      <c r="R355" s="2">
        <f>IF(ISERROR(VLOOKUP(A355, 'Project Reference'!A:A, 1, FALSE)), 0, 1)</f>
        <v>1</v>
      </c>
      <c r="S355" s="2">
        <f>IFERROR(__xludf.DUMMYFUNCTION("IF(AND(REGEXMATCH(D355, B355), REGEXMATCH(D355, C355)), 1, 0)"),1.0)</f>
        <v>1</v>
      </c>
      <c r="T355" s="2">
        <f t="shared" si="4"/>
        <v>1</v>
      </c>
      <c r="U355" s="2">
        <f t="shared" si="5"/>
        <v>1</v>
      </c>
      <c r="V355" s="2">
        <f t="shared" si="6"/>
        <v>1</v>
      </c>
    </row>
    <row r="356" ht="14.25" customHeight="1">
      <c r="A356" s="2" t="s">
        <v>379</v>
      </c>
      <c r="B356" s="2" t="s">
        <v>12</v>
      </c>
      <c r="C356" s="2" t="s">
        <v>24</v>
      </c>
      <c r="D356" s="8" t="s">
        <v>610</v>
      </c>
      <c r="E356" s="6">
        <v>45161.0</v>
      </c>
      <c r="F356" s="6">
        <v>45199.0</v>
      </c>
      <c r="G356" s="7">
        <v>6.47397365E8</v>
      </c>
      <c r="H356" s="2" t="s">
        <v>50</v>
      </c>
      <c r="I356" s="2">
        <f t="shared" ref="I356:P356" si="359">IF(ISBLANK(A356)=TRUE,0,1)</f>
        <v>1</v>
      </c>
      <c r="J356" s="2">
        <f t="shared" si="359"/>
        <v>1</v>
      </c>
      <c r="K356" s="2">
        <f t="shared" si="359"/>
        <v>1</v>
      </c>
      <c r="L356" s="2">
        <f t="shared" si="359"/>
        <v>1</v>
      </c>
      <c r="M356" s="2">
        <f t="shared" si="359"/>
        <v>1</v>
      </c>
      <c r="N356" s="2">
        <f t="shared" si="359"/>
        <v>1</v>
      </c>
      <c r="O356" s="2">
        <f t="shared" si="359"/>
        <v>1</v>
      </c>
      <c r="P356" s="2">
        <f t="shared" si="359"/>
        <v>1</v>
      </c>
      <c r="Q356" s="2">
        <f t="shared" si="3"/>
        <v>1</v>
      </c>
      <c r="R356" s="2">
        <f>IF(ISERROR(VLOOKUP(A356, 'Project Reference'!A:A, 1, FALSE)), 0, 1)</f>
        <v>1</v>
      </c>
      <c r="S356" s="2">
        <f>IFERROR(__xludf.DUMMYFUNCTION("IF(AND(REGEXMATCH(D356, B356), REGEXMATCH(D356, C356)), 1, 0)"),1.0)</f>
        <v>1</v>
      </c>
      <c r="T356" s="2">
        <f t="shared" si="4"/>
        <v>1</v>
      </c>
      <c r="U356" s="2">
        <f t="shared" si="5"/>
        <v>1</v>
      </c>
      <c r="V356" s="2">
        <f t="shared" si="6"/>
        <v>1</v>
      </c>
    </row>
    <row r="357" ht="14.25" customHeight="1">
      <c r="A357" s="2" t="s">
        <v>380</v>
      </c>
      <c r="B357" s="2" t="s">
        <v>30</v>
      </c>
      <c r="C357" s="2" t="s">
        <v>24</v>
      </c>
      <c r="D357" s="8" t="s">
        <v>637</v>
      </c>
      <c r="E357" s="6">
        <v>45161.0</v>
      </c>
      <c r="F357" s="6">
        <v>45100.0</v>
      </c>
      <c r="G357" s="7">
        <v>7.75460621E8</v>
      </c>
      <c r="H357" s="8" t="s">
        <v>573</v>
      </c>
      <c r="I357" s="2">
        <f t="shared" ref="I357:P357" si="360">IF(ISBLANK(A357)=TRUE,0,1)</f>
        <v>1</v>
      </c>
      <c r="J357" s="2">
        <f t="shared" si="360"/>
        <v>1</v>
      </c>
      <c r="K357" s="2">
        <f t="shared" si="360"/>
        <v>1</v>
      </c>
      <c r="L357" s="2">
        <f t="shared" si="360"/>
        <v>1</v>
      </c>
      <c r="M357" s="2">
        <f t="shared" si="360"/>
        <v>1</v>
      </c>
      <c r="N357" s="2">
        <f t="shared" si="360"/>
        <v>1</v>
      </c>
      <c r="O357" s="2">
        <f t="shared" si="360"/>
        <v>1</v>
      </c>
      <c r="P357" s="2">
        <f t="shared" si="360"/>
        <v>1</v>
      </c>
      <c r="Q357" s="2">
        <f t="shared" si="3"/>
        <v>1</v>
      </c>
      <c r="R357" s="2">
        <f>IF(ISERROR(VLOOKUP(A357, 'Project Reference'!A:A, 1, FALSE)), 0, 1)</f>
        <v>1</v>
      </c>
      <c r="S357" s="2">
        <f>IFERROR(__xludf.DUMMYFUNCTION("IF(AND(REGEXMATCH(D357, B357), REGEXMATCH(D357, C357)), 1, 0)"),1.0)</f>
        <v>1</v>
      </c>
      <c r="T357" s="2">
        <f t="shared" si="4"/>
        <v>1</v>
      </c>
      <c r="U357" s="2">
        <f t="shared" si="5"/>
        <v>0</v>
      </c>
      <c r="V357" s="2">
        <f t="shared" si="6"/>
        <v>1</v>
      </c>
    </row>
    <row r="358" ht="14.25" customHeight="1">
      <c r="A358" s="2" t="s">
        <v>381</v>
      </c>
      <c r="B358" s="2" t="s">
        <v>18</v>
      </c>
      <c r="C358" s="2" t="s">
        <v>39</v>
      </c>
      <c r="D358" s="8" t="s">
        <v>577</v>
      </c>
      <c r="E358" s="6">
        <v>45162.0</v>
      </c>
      <c r="F358" s="6">
        <v>45516.0</v>
      </c>
      <c r="G358" s="7">
        <v>7.165201683E9</v>
      </c>
      <c r="H358" s="2" t="s">
        <v>44</v>
      </c>
      <c r="I358" s="2">
        <f t="shared" ref="I358:P358" si="361">IF(ISBLANK(A358)=TRUE,0,1)</f>
        <v>1</v>
      </c>
      <c r="J358" s="2">
        <f t="shared" si="361"/>
        <v>1</v>
      </c>
      <c r="K358" s="2">
        <f t="shared" si="361"/>
        <v>1</v>
      </c>
      <c r="L358" s="2">
        <f t="shared" si="361"/>
        <v>1</v>
      </c>
      <c r="M358" s="2">
        <f t="shared" si="361"/>
        <v>1</v>
      </c>
      <c r="N358" s="2">
        <f t="shared" si="361"/>
        <v>1</v>
      </c>
      <c r="O358" s="2">
        <f t="shared" si="361"/>
        <v>1</v>
      </c>
      <c r="P358" s="2">
        <f t="shared" si="361"/>
        <v>1</v>
      </c>
      <c r="Q358" s="2">
        <f t="shared" si="3"/>
        <v>1</v>
      </c>
      <c r="R358" s="2">
        <f>IF(ISERROR(VLOOKUP(A358, 'Project Reference'!A:A, 1, FALSE)), 0, 1)</f>
        <v>1</v>
      </c>
      <c r="S358" s="2">
        <f>IFERROR(__xludf.DUMMYFUNCTION("IF(AND(REGEXMATCH(D358, B358), REGEXMATCH(D358, C358)), 1, 0)"),1.0)</f>
        <v>1</v>
      </c>
      <c r="T358" s="2">
        <f t="shared" si="4"/>
        <v>1</v>
      </c>
      <c r="U358" s="2">
        <f t="shared" si="5"/>
        <v>1</v>
      </c>
      <c r="V358" s="2">
        <f t="shared" si="6"/>
        <v>1</v>
      </c>
    </row>
    <row r="359" ht="14.25" customHeight="1">
      <c r="A359" s="2" t="s">
        <v>383</v>
      </c>
      <c r="B359" s="2" t="s">
        <v>18</v>
      </c>
      <c r="C359" s="2" t="s">
        <v>48</v>
      </c>
      <c r="D359" s="8" t="s">
        <v>629</v>
      </c>
      <c r="E359" s="6">
        <v>45163.0</v>
      </c>
      <c r="F359" s="6">
        <v>45219.0</v>
      </c>
      <c r="G359" s="7">
        <v>4.732793482E9</v>
      </c>
      <c r="H359" s="2" t="s">
        <v>67</v>
      </c>
      <c r="I359" s="2">
        <f t="shared" ref="I359:P359" si="362">IF(ISBLANK(A359)=TRUE,0,1)</f>
        <v>1</v>
      </c>
      <c r="J359" s="2">
        <f t="shared" si="362"/>
        <v>1</v>
      </c>
      <c r="K359" s="2">
        <f t="shared" si="362"/>
        <v>1</v>
      </c>
      <c r="L359" s="2">
        <f t="shared" si="362"/>
        <v>1</v>
      </c>
      <c r="M359" s="2">
        <f t="shared" si="362"/>
        <v>1</v>
      </c>
      <c r="N359" s="2">
        <f t="shared" si="362"/>
        <v>1</v>
      </c>
      <c r="O359" s="2">
        <f t="shared" si="362"/>
        <v>1</v>
      </c>
      <c r="P359" s="2">
        <f t="shared" si="362"/>
        <v>1</v>
      </c>
      <c r="Q359" s="2">
        <f t="shared" si="3"/>
        <v>1</v>
      </c>
      <c r="R359" s="2">
        <f>IF(ISERROR(VLOOKUP(A359, 'Project Reference'!A:A, 1, FALSE)), 0, 1)</f>
        <v>1</v>
      </c>
      <c r="S359" s="2">
        <f>IFERROR(__xludf.DUMMYFUNCTION("IF(AND(REGEXMATCH(D359, B359), REGEXMATCH(D359, C359)), 1, 0)"),1.0)</f>
        <v>1</v>
      </c>
      <c r="T359" s="2">
        <f t="shared" si="4"/>
        <v>1</v>
      </c>
      <c r="U359" s="2">
        <f t="shared" si="5"/>
        <v>1</v>
      </c>
      <c r="V359" s="2">
        <f t="shared" si="6"/>
        <v>1</v>
      </c>
    </row>
    <row r="360" ht="14.25" customHeight="1">
      <c r="A360" s="2" t="s">
        <v>384</v>
      </c>
      <c r="B360" s="2" t="s">
        <v>30</v>
      </c>
      <c r="C360" s="2" t="s">
        <v>39</v>
      </c>
      <c r="D360" s="8" t="s">
        <v>590</v>
      </c>
      <c r="E360" s="6">
        <v>45163.0</v>
      </c>
      <c r="F360" s="6">
        <v>45258.0</v>
      </c>
      <c r="G360" s="7">
        <v>2.993133974E9</v>
      </c>
      <c r="H360" s="2" t="s">
        <v>67</v>
      </c>
      <c r="I360" s="2">
        <f t="shared" ref="I360:P360" si="363">IF(ISBLANK(A360)=TRUE,0,1)</f>
        <v>1</v>
      </c>
      <c r="J360" s="2">
        <f t="shared" si="363"/>
        <v>1</v>
      </c>
      <c r="K360" s="2">
        <f t="shared" si="363"/>
        <v>1</v>
      </c>
      <c r="L360" s="2">
        <f t="shared" si="363"/>
        <v>1</v>
      </c>
      <c r="M360" s="2">
        <f t="shared" si="363"/>
        <v>1</v>
      </c>
      <c r="N360" s="2">
        <f t="shared" si="363"/>
        <v>1</v>
      </c>
      <c r="O360" s="2">
        <f t="shared" si="363"/>
        <v>1</v>
      </c>
      <c r="P360" s="2">
        <f t="shared" si="363"/>
        <v>1</v>
      </c>
      <c r="Q360" s="2">
        <f t="shared" si="3"/>
        <v>1</v>
      </c>
      <c r="R360" s="2">
        <f>IF(ISERROR(VLOOKUP(A360, 'Project Reference'!A:A, 1, FALSE)), 0, 1)</f>
        <v>1</v>
      </c>
      <c r="S360" s="2">
        <f>IFERROR(__xludf.DUMMYFUNCTION("IF(AND(REGEXMATCH(D360, B360), REGEXMATCH(D360, C360)), 1, 0)"),1.0)</f>
        <v>1</v>
      </c>
      <c r="T360" s="2">
        <f t="shared" si="4"/>
        <v>1</v>
      </c>
      <c r="U360" s="2">
        <f t="shared" si="5"/>
        <v>1</v>
      </c>
      <c r="V360" s="2">
        <f t="shared" si="6"/>
        <v>1</v>
      </c>
    </row>
    <row r="361" ht="14.25" customHeight="1">
      <c r="A361" s="2" t="s">
        <v>385</v>
      </c>
      <c r="B361" s="2" t="s">
        <v>60</v>
      </c>
      <c r="C361" s="2" t="s">
        <v>13</v>
      </c>
      <c r="D361" s="8" t="s">
        <v>582</v>
      </c>
      <c r="E361" s="6">
        <v>45164.0</v>
      </c>
      <c r="F361" s="6">
        <v>45456.0</v>
      </c>
      <c r="G361" s="7">
        <v>4.720470438E9</v>
      </c>
      <c r="H361" s="2" t="s">
        <v>33</v>
      </c>
      <c r="I361" s="2">
        <f t="shared" ref="I361:P361" si="364">IF(ISBLANK(A361)=TRUE,0,1)</f>
        <v>1</v>
      </c>
      <c r="J361" s="2">
        <f t="shared" si="364"/>
        <v>1</v>
      </c>
      <c r="K361" s="2">
        <f t="shared" si="364"/>
        <v>1</v>
      </c>
      <c r="L361" s="2">
        <f t="shared" si="364"/>
        <v>1</v>
      </c>
      <c r="M361" s="2">
        <f t="shared" si="364"/>
        <v>1</v>
      </c>
      <c r="N361" s="2">
        <f t="shared" si="364"/>
        <v>1</v>
      </c>
      <c r="O361" s="2">
        <f t="shared" si="364"/>
        <v>1</v>
      </c>
      <c r="P361" s="2">
        <f t="shared" si="364"/>
        <v>1</v>
      </c>
      <c r="Q361" s="2">
        <f t="shared" si="3"/>
        <v>1</v>
      </c>
      <c r="R361" s="2">
        <f>IF(ISERROR(VLOOKUP(A361, 'Project Reference'!A:A, 1, FALSE)), 0, 1)</f>
        <v>1</v>
      </c>
      <c r="S361" s="2">
        <f>IFERROR(__xludf.DUMMYFUNCTION("IF(AND(REGEXMATCH(D361, B361), REGEXMATCH(D361, C361)), 1, 0)"),1.0)</f>
        <v>1</v>
      </c>
      <c r="T361" s="2">
        <f t="shared" si="4"/>
        <v>1</v>
      </c>
      <c r="U361" s="2">
        <f t="shared" si="5"/>
        <v>1</v>
      </c>
      <c r="V361" s="2">
        <f t="shared" si="6"/>
        <v>1</v>
      </c>
    </row>
    <row r="362" ht="14.25" customHeight="1">
      <c r="A362" s="2" t="s">
        <v>386</v>
      </c>
      <c r="B362" s="2" t="s">
        <v>30</v>
      </c>
      <c r="C362" s="2" t="s">
        <v>31</v>
      </c>
      <c r="D362" s="8" t="s">
        <v>585</v>
      </c>
      <c r="E362" s="6">
        <v>45167.0</v>
      </c>
      <c r="F362" s="6">
        <v>45453.0</v>
      </c>
      <c r="G362" s="7">
        <v>3.999421618E9</v>
      </c>
      <c r="H362" s="2" t="s">
        <v>67</v>
      </c>
      <c r="I362" s="2">
        <f t="shared" ref="I362:P362" si="365">IF(ISBLANK(A362)=TRUE,0,1)</f>
        <v>1</v>
      </c>
      <c r="J362" s="2">
        <f t="shared" si="365"/>
        <v>1</v>
      </c>
      <c r="K362" s="2">
        <f t="shared" si="365"/>
        <v>1</v>
      </c>
      <c r="L362" s="2">
        <f t="shared" si="365"/>
        <v>1</v>
      </c>
      <c r="M362" s="2">
        <f t="shared" si="365"/>
        <v>1</v>
      </c>
      <c r="N362" s="2">
        <f t="shared" si="365"/>
        <v>1</v>
      </c>
      <c r="O362" s="2">
        <f t="shared" si="365"/>
        <v>1</v>
      </c>
      <c r="P362" s="2">
        <f t="shared" si="365"/>
        <v>1</v>
      </c>
      <c r="Q362" s="2">
        <f t="shared" si="3"/>
        <v>1</v>
      </c>
      <c r="R362" s="2">
        <f>IF(ISERROR(VLOOKUP(A362, 'Project Reference'!A:A, 1, FALSE)), 0, 1)</f>
        <v>1</v>
      </c>
      <c r="S362" s="2">
        <f>IFERROR(__xludf.DUMMYFUNCTION("IF(AND(REGEXMATCH(D362, B362), REGEXMATCH(D362, C362)), 1, 0)"),1.0)</f>
        <v>1</v>
      </c>
      <c r="T362" s="2">
        <f t="shared" si="4"/>
        <v>1</v>
      </c>
      <c r="U362" s="2">
        <f t="shared" si="5"/>
        <v>1</v>
      </c>
      <c r="V362" s="2">
        <f t="shared" si="6"/>
        <v>1</v>
      </c>
    </row>
    <row r="363" ht="14.25" customHeight="1">
      <c r="A363" s="2" t="s">
        <v>387</v>
      </c>
      <c r="B363" s="2" t="s">
        <v>30</v>
      </c>
      <c r="C363" s="2" t="s">
        <v>19</v>
      </c>
      <c r="D363" s="8" t="s">
        <v>624</v>
      </c>
      <c r="E363" s="6">
        <v>45168.0</v>
      </c>
      <c r="F363" s="6">
        <v>45511.0</v>
      </c>
      <c r="G363" s="7">
        <v>1.118159098E9</v>
      </c>
      <c r="H363" s="2" t="s">
        <v>21</v>
      </c>
      <c r="I363" s="2">
        <f t="shared" ref="I363:P363" si="366">IF(ISBLANK(A363)=TRUE,0,1)</f>
        <v>1</v>
      </c>
      <c r="J363" s="2">
        <f t="shared" si="366"/>
        <v>1</v>
      </c>
      <c r="K363" s="2">
        <f t="shared" si="366"/>
        <v>1</v>
      </c>
      <c r="L363" s="2">
        <f t="shared" si="366"/>
        <v>1</v>
      </c>
      <c r="M363" s="2">
        <f t="shared" si="366"/>
        <v>1</v>
      </c>
      <c r="N363" s="2">
        <f t="shared" si="366"/>
        <v>1</v>
      </c>
      <c r="O363" s="2">
        <f t="shared" si="366"/>
        <v>1</v>
      </c>
      <c r="P363" s="2">
        <f t="shared" si="366"/>
        <v>1</v>
      </c>
      <c r="Q363" s="2">
        <f t="shared" si="3"/>
        <v>1</v>
      </c>
      <c r="R363" s="2">
        <f>IF(ISERROR(VLOOKUP(A363, 'Project Reference'!A:A, 1, FALSE)), 0, 1)</f>
        <v>1</v>
      </c>
      <c r="S363" s="2">
        <f>IFERROR(__xludf.DUMMYFUNCTION("IF(AND(REGEXMATCH(D363, B363), REGEXMATCH(D363, C363)), 1, 0)"),1.0)</f>
        <v>1</v>
      </c>
      <c r="T363" s="2">
        <f t="shared" si="4"/>
        <v>1</v>
      </c>
      <c r="U363" s="2">
        <f t="shared" si="5"/>
        <v>1</v>
      </c>
      <c r="V363" s="2">
        <f t="shared" si="6"/>
        <v>1</v>
      </c>
    </row>
    <row r="364" ht="14.25" customHeight="1">
      <c r="A364" s="2" t="s">
        <v>389</v>
      </c>
      <c r="B364" s="2" t="s">
        <v>35</v>
      </c>
      <c r="C364" s="2" t="s">
        <v>39</v>
      </c>
      <c r="D364" s="2" t="s">
        <v>145</v>
      </c>
      <c r="E364" s="6">
        <v>45168.0</v>
      </c>
      <c r="F364" s="6">
        <v>45236.0</v>
      </c>
      <c r="G364" s="7">
        <v>2.46997207E8</v>
      </c>
      <c r="H364" s="2" t="s">
        <v>50</v>
      </c>
      <c r="I364" s="2">
        <f t="shared" ref="I364:P364" si="367">IF(ISBLANK(A364)=TRUE,0,1)</f>
        <v>1</v>
      </c>
      <c r="J364" s="2">
        <f t="shared" si="367"/>
        <v>1</v>
      </c>
      <c r="K364" s="2">
        <f t="shared" si="367"/>
        <v>1</v>
      </c>
      <c r="L364" s="2">
        <f t="shared" si="367"/>
        <v>1</v>
      </c>
      <c r="M364" s="2">
        <f t="shared" si="367"/>
        <v>1</v>
      </c>
      <c r="N364" s="2">
        <f t="shared" si="367"/>
        <v>1</v>
      </c>
      <c r="O364" s="2">
        <f t="shared" si="367"/>
        <v>1</v>
      </c>
      <c r="P364" s="2">
        <f t="shared" si="367"/>
        <v>1</v>
      </c>
      <c r="Q364" s="2">
        <f t="shared" si="3"/>
        <v>1</v>
      </c>
      <c r="R364" s="2">
        <f>IF(ISERROR(VLOOKUP(A364, 'Project Reference'!A:A, 1, FALSE)), 0, 1)</f>
        <v>1</v>
      </c>
      <c r="S364" s="2">
        <f>IFERROR(__xludf.DUMMYFUNCTION("IF(AND(REGEXMATCH(D364, B364), REGEXMATCH(D364, C364)), 1, 0)"),1.0)</f>
        <v>1</v>
      </c>
      <c r="T364" s="2">
        <f t="shared" si="4"/>
        <v>1</v>
      </c>
      <c r="U364" s="2">
        <f t="shared" si="5"/>
        <v>1</v>
      </c>
      <c r="V364" s="2">
        <f t="shared" si="6"/>
        <v>1</v>
      </c>
    </row>
    <row r="365" ht="14.25" customHeight="1">
      <c r="A365" s="2" t="s">
        <v>390</v>
      </c>
      <c r="B365" s="2" t="s">
        <v>60</v>
      </c>
      <c r="C365" s="2" t="s">
        <v>36</v>
      </c>
      <c r="D365" s="8" t="s">
        <v>628</v>
      </c>
      <c r="E365" s="6">
        <v>45169.0</v>
      </c>
      <c r="F365" s="6">
        <v>45200.0</v>
      </c>
      <c r="G365" s="7">
        <v>4.163473786E9</v>
      </c>
      <c r="H365" s="2" t="s">
        <v>33</v>
      </c>
      <c r="I365" s="2">
        <f t="shared" ref="I365:P365" si="368">IF(ISBLANK(A365)=TRUE,0,1)</f>
        <v>1</v>
      </c>
      <c r="J365" s="2">
        <f t="shared" si="368"/>
        <v>1</v>
      </c>
      <c r="K365" s="2">
        <f t="shared" si="368"/>
        <v>1</v>
      </c>
      <c r="L365" s="2">
        <f t="shared" si="368"/>
        <v>1</v>
      </c>
      <c r="M365" s="2">
        <f t="shared" si="368"/>
        <v>1</v>
      </c>
      <c r="N365" s="2">
        <f t="shared" si="368"/>
        <v>1</v>
      </c>
      <c r="O365" s="2">
        <f t="shared" si="368"/>
        <v>1</v>
      </c>
      <c r="P365" s="2">
        <f t="shared" si="368"/>
        <v>1</v>
      </c>
      <c r="Q365" s="2">
        <f t="shared" si="3"/>
        <v>1</v>
      </c>
      <c r="R365" s="2">
        <f>IF(ISERROR(VLOOKUP(A365, 'Project Reference'!A:A, 1, FALSE)), 0, 1)</f>
        <v>1</v>
      </c>
      <c r="S365" s="2">
        <f>IFERROR(__xludf.DUMMYFUNCTION("IF(AND(REGEXMATCH(D365, B365), REGEXMATCH(D365, C365)), 1, 0)"),1.0)</f>
        <v>1</v>
      </c>
      <c r="T365" s="2">
        <f t="shared" si="4"/>
        <v>1</v>
      </c>
      <c r="U365" s="2">
        <f t="shared" si="5"/>
        <v>1</v>
      </c>
      <c r="V365" s="2">
        <f t="shared" si="6"/>
        <v>1</v>
      </c>
    </row>
    <row r="366" ht="14.25" customHeight="1">
      <c r="A366" s="2" t="s">
        <v>391</v>
      </c>
      <c r="B366" s="2" t="s">
        <v>18</v>
      </c>
      <c r="C366" s="2" t="s">
        <v>19</v>
      </c>
      <c r="D366" s="8" t="s">
        <v>633</v>
      </c>
      <c r="E366" s="6">
        <v>45169.0</v>
      </c>
      <c r="F366" s="6">
        <v>45267.0</v>
      </c>
      <c r="G366" s="7">
        <v>2.007900262E9</v>
      </c>
      <c r="H366" s="8" t="s">
        <v>581</v>
      </c>
      <c r="I366" s="2">
        <f t="shared" ref="I366:P366" si="369">IF(ISBLANK(A366)=TRUE,0,1)</f>
        <v>1</v>
      </c>
      <c r="J366" s="2">
        <f t="shared" si="369"/>
        <v>1</v>
      </c>
      <c r="K366" s="2">
        <f t="shared" si="369"/>
        <v>1</v>
      </c>
      <c r="L366" s="2">
        <f t="shared" si="369"/>
        <v>1</v>
      </c>
      <c r="M366" s="2">
        <f t="shared" si="369"/>
        <v>1</v>
      </c>
      <c r="N366" s="2">
        <f t="shared" si="369"/>
        <v>1</v>
      </c>
      <c r="O366" s="2">
        <f t="shared" si="369"/>
        <v>1</v>
      </c>
      <c r="P366" s="2">
        <f t="shared" si="369"/>
        <v>1</v>
      </c>
      <c r="Q366" s="2">
        <f t="shared" si="3"/>
        <v>1</v>
      </c>
      <c r="R366" s="2">
        <f>IF(ISERROR(VLOOKUP(A366, 'Project Reference'!A:A, 1, FALSE)), 0, 1)</f>
        <v>1</v>
      </c>
      <c r="S366" s="2">
        <f>IFERROR(__xludf.DUMMYFUNCTION("IF(AND(REGEXMATCH(D366, B366), REGEXMATCH(D366, C366)), 1, 0)"),1.0)</f>
        <v>1</v>
      </c>
      <c r="T366" s="2">
        <f t="shared" si="4"/>
        <v>1</v>
      </c>
      <c r="U366" s="2">
        <f t="shared" si="5"/>
        <v>1</v>
      </c>
      <c r="V366" s="2">
        <f t="shared" si="6"/>
        <v>1</v>
      </c>
    </row>
    <row r="367" ht="14.25" customHeight="1">
      <c r="A367" s="2" t="s">
        <v>392</v>
      </c>
      <c r="B367" s="2" t="s">
        <v>18</v>
      </c>
      <c r="C367" s="2" t="s">
        <v>31</v>
      </c>
      <c r="D367" s="8" t="s">
        <v>636</v>
      </c>
      <c r="E367" s="6">
        <v>45170.0</v>
      </c>
      <c r="F367" s="6">
        <v>45454.0</v>
      </c>
      <c r="G367" s="7">
        <v>9.92149876E9</v>
      </c>
      <c r="H367" s="2" t="s">
        <v>50</v>
      </c>
      <c r="I367" s="2">
        <f t="shared" ref="I367:P367" si="370">IF(ISBLANK(A367)=TRUE,0,1)</f>
        <v>1</v>
      </c>
      <c r="J367" s="2">
        <f t="shared" si="370"/>
        <v>1</v>
      </c>
      <c r="K367" s="2">
        <f t="shared" si="370"/>
        <v>1</v>
      </c>
      <c r="L367" s="2">
        <f t="shared" si="370"/>
        <v>1</v>
      </c>
      <c r="M367" s="2">
        <f t="shared" si="370"/>
        <v>1</v>
      </c>
      <c r="N367" s="2">
        <f t="shared" si="370"/>
        <v>1</v>
      </c>
      <c r="O367" s="2">
        <f t="shared" si="370"/>
        <v>1</v>
      </c>
      <c r="P367" s="2">
        <f t="shared" si="370"/>
        <v>1</v>
      </c>
      <c r="Q367" s="2">
        <f t="shared" si="3"/>
        <v>1</v>
      </c>
      <c r="R367" s="2">
        <f>IF(ISERROR(VLOOKUP(A367, 'Project Reference'!A:A, 1, FALSE)), 0, 1)</f>
        <v>1</v>
      </c>
      <c r="S367" s="2">
        <f>IFERROR(__xludf.DUMMYFUNCTION("IF(AND(REGEXMATCH(D367, B367), REGEXMATCH(D367, C367)), 1, 0)"),1.0)</f>
        <v>1</v>
      </c>
      <c r="T367" s="2">
        <f t="shared" si="4"/>
        <v>1</v>
      </c>
      <c r="U367" s="2">
        <f t="shared" si="5"/>
        <v>1</v>
      </c>
      <c r="V367" s="2">
        <f t="shared" si="6"/>
        <v>1</v>
      </c>
    </row>
    <row r="368" ht="14.25" customHeight="1">
      <c r="A368" s="2" t="s">
        <v>393</v>
      </c>
      <c r="B368" s="2" t="s">
        <v>60</v>
      </c>
      <c r="C368" s="2" t="s">
        <v>36</v>
      </c>
      <c r="D368" s="8" t="s">
        <v>628</v>
      </c>
      <c r="E368" s="6">
        <v>45171.0</v>
      </c>
      <c r="F368" s="6">
        <v>45288.0</v>
      </c>
      <c r="G368" s="7">
        <v>2.56273331E9</v>
      </c>
      <c r="H368" s="2" t="s">
        <v>67</v>
      </c>
      <c r="I368" s="2">
        <f t="shared" ref="I368:P368" si="371">IF(ISBLANK(A368)=TRUE,0,1)</f>
        <v>1</v>
      </c>
      <c r="J368" s="2">
        <f t="shared" si="371"/>
        <v>1</v>
      </c>
      <c r="K368" s="2">
        <f t="shared" si="371"/>
        <v>1</v>
      </c>
      <c r="L368" s="2">
        <f t="shared" si="371"/>
        <v>1</v>
      </c>
      <c r="M368" s="2">
        <f t="shared" si="371"/>
        <v>1</v>
      </c>
      <c r="N368" s="2">
        <f t="shared" si="371"/>
        <v>1</v>
      </c>
      <c r="O368" s="2">
        <f t="shared" si="371"/>
        <v>1</v>
      </c>
      <c r="P368" s="2">
        <f t="shared" si="371"/>
        <v>1</v>
      </c>
      <c r="Q368" s="2">
        <f t="shared" si="3"/>
        <v>1</v>
      </c>
      <c r="R368" s="2">
        <f>IF(ISERROR(VLOOKUP(A368, 'Project Reference'!A:A, 1, FALSE)), 0, 1)</f>
        <v>1</v>
      </c>
      <c r="S368" s="2">
        <f>IFERROR(__xludf.DUMMYFUNCTION("IF(AND(REGEXMATCH(D368, B368), REGEXMATCH(D368, C368)), 1, 0)"),1.0)</f>
        <v>1</v>
      </c>
      <c r="T368" s="2">
        <f t="shared" si="4"/>
        <v>1</v>
      </c>
      <c r="U368" s="2">
        <f t="shared" si="5"/>
        <v>1</v>
      </c>
      <c r="V368" s="2">
        <f t="shared" si="6"/>
        <v>1</v>
      </c>
    </row>
    <row r="369" ht="14.25" customHeight="1">
      <c r="A369" s="2" t="s">
        <v>394</v>
      </c>
      <c r="B369" s="2" t="s">
        <v>12</v>
      </c>
      <c r="C369" s="2" t="s">
        <v>48</v>
      </c>
      <c r="D369" s="8" t="s">
        <v>602</v>
      </c>
      <c r="E369" s="6">
        <v>45172.0</v>
      </c>
      <c r="F369" s="6">
        <v>45435.0</v>
      </c>
      <c r="G369" s="7">
        <v>8.94294565E8</v>
      </c>
      <c r="H369" s="2" t="s">
        <v>50</v>
      </c>
      <c r="I369" s="2">
        <f t="shared" ref="I369:P369" si="372">IF(ISBLANK(A369)=TRUE,0,1)</f>
        <v>1</v>
      </c>
      <c r="J369" s="2">
        <f t="shared" si="372"/>
        <v>1</v>
      </c>
      <c r="K369" s="2">
        <f t="shared" si="372"/>
        <v>1</v>
      </c>
      <c r="L369" s="2">
        <f t="shared" si="372"/>
        <v>1</v>
      </c>
      <c r="M369" s="2">
        <f t="shared" si="372"/>
        <v>1</v>
      </c>
      <c r="N369" s="2">
        <f t="shared" si="372"/>
        <v>1</v>
      </c>
      <c r="O369" s="2">
        <f t="shared" si="372"/>
        <v>1</v>
      </c>
      <c r="P369" s="2">
        <f t="shared" si="372"/>
        <v>1</v>
      </c>
      <c r="Q369" s="2">
        <f t="shared" si="3"/>
        <v>1</v>
      </c>
      <c r="R369" s="2">
        <f>IF(ISERROR(VLOOKUP(A369, 'Project Reference'!A:A, 1, FALSE)), 0, 1)</f>
        <v>1</v>
      </c>
      <c r="S369" s="2">
        <f>IFERROR(__xludf.DUMMYFUNCTION("IF(AND(REGEXMATCH(D369, B369), REGEXMATCH(D369, C369)), 1, 0)"),1.0)</f>
        <v>1</v>
      </c>
      <c r="T369" s="2">
        <f t="shared" si="4"/>
        <v>1</v>
      </c>
      <c r="U369" s="2">
        <f t="shared" si="5"/>
        <v>1</v>
      </c>
      <c r="V369" s="2">
        <f t="shared" si="6"/>
        <v>1</v>
      </c>
    </row>
    <row r="370" ht="14.25" customHeight="1">
      <c r="A370" s="2" t="s">
        <v>395</v>
      </c>
      <c r="B370" s="2" t="s">
        <v>30</v>
      </c>
      <c r="C370" s="2" t="s">
        <v>19</v>
      </c>
      <c r="D370" s="8" t="s">
        <v>624</v>
      </c>
      <c r="E370" s="6">
        <v>45173.0</v>
      </c>
      <c r="F370" s="6">
        <v>45340.0</v>
      </c>
      <c r="G370" s="7">
        <v>6.61378979E8</v>
      </c>
      <c r="H370" s="8" t="s">
        <v>581</v>
      </c>
      <c r="I370" s="2">
        <f t="shared" ref="I370:P370" si="373">IF(ISBLANK(A370)=TRUE,0,1)</f>
        <v>1</v>
      </c>
      <c r="J370" s="2">
        <f t="shared" si="373"/>
        <v>1</v>
      </c>
      <c r="K370" s="2">
        <f t="shared" si="373"/>
        <v>1</v>
      </c>
      <c r="L370" s="2">
        <f t="shared" si="373"/>
        <v>1</v>
      </c>
      <c r="M370" s="2">
        <f t="shared" si="373"/>
        <v>1</v>
      </c>
      <c r="N370" s="2">
        <f t="shared" si="373"/>
        <v>1</v>
      </c>
      <c r="O370" s="2">
        <f t="shared" si="373"/>
        <v>1</v>
      </c>
      <c r="P370" s="2">
        <f t="shared" si="373"/>
        <v>1</v>
      </c>
      <c r="Q370" s="2">
        <f t="shared" si="3"/>
        <v>1</v>
      </c>
      <c r="R370" s="2">
        <f>IF(ISERROR(VLOOKUP(A370, 'Project Reference'!A:A, 1, FALSE)), 0, 1)</f>
        <v>1</v>
      </c>
      <c r="S370" s="2">
        <f>IFERROR(__xludf.DUMMYFUNCTION("IF(AND(REGEXMATCH(D370, B370), REGEXMATCH(D370, C370)), 1, 0)"),1.0)</f>
        <v>1</v>
      </c>
      <c r="T370" s="2">
        <f t="shared" si="4"/>
        <v>1</v>
      </c>
      <c r="U370" s="2">
        <f t="shared" si="5"/>
        <v>1</v>
      </c>
      <c r="V370" s="2">
        <f t="shared" si="6"/>
        <v>1</v>
      </c>
    </row>
    <row r="371" ht="14.25" customHeight="1">
      <c r="A371" s="2" t="s">
        <v>397</v>
      </c>
      <c r="B371" s="2" t="s">
        <v>35</v>
      </c>
      <c r="C371" s="2" t="s">
        <v>31</v>
      </c>
      <c r="D371" s="2" t="s">
        <v>91</v>
      </c>
      <c r="E371" s="6">
        <v>45177.0</v>
      </c>
      <c r="F371" s="6">
        <v>45477.0</v>
      </c>
      <c r="G371" s="7">
        <v>6.09956841E8</v>
      </c>
      <c r="H371" s="2" t="s">
        <v>67</v>
      </c>
      <c r="I371" s="2">
        <f t="shared" ref="I371:P371" si="374">IF(ISBLANK(A371)=TRUE,0,1)</f>
        <v>1</v>
      </c>
      <c r="J371" s="2">
        <f t="shared" si="374"/>
        <v>1</v>
      </c>
      <c r="K371" s="2">
        <f t="shared" si="374"/>
        <v>1</v>
      </c>
      <c r="L371" s="2">
        <f t="shared" si="374"/>
        <v>1</v>
      </c>
      <c r="M371" s="2">
        <f t="shared" si="374"/>
        <v>1</v>
      </c>
      <c r="N371" s="2">
        <f t="shared" si="374"/>
        <v>1</v>
      </c>
      <c r="O371" s="2">
        <f t="shared" si="374"/>
        <v>1</v>
      </c>
      <c r="P371" s="2">
        <f t="shared" si="374"/>
        <v>1</v>
      </c>
      <c r="Q371" s="2">
        <f t="shared" si="3"/>
        <v>1</v>
      </c>
      <c r="R371" s="2">
        <f>IF(ISERROR(VLOOKUP(A371, 'Project Reference'!A:A, 1, FALSE)), 0, 1)</f>
        <v>1</v>
      </c>
      <c r="S371" s="2">
        <f>IFERROR(__xludf.DUMMYFUNCTION("IF(AND(REGEXMATCH(D371, B371), REGEXMATCH(D371, C371)), 1, 0)"),1.0)</f>
        <v>1</v>
      </c>
      <c r="T371" s="2">
        <f t="shared" si="4"/>
        <v>1</v>
      </c>
      <c r="U371" s="2">
        <f t="shared" si="5"/>
        <v>1</v>
      </c>
      <c r="V371" s="2">
        <f t="shared" si="6"/>
        <v>1</v>
      </c>
    </row>
    <row r="372" ht="14.25" customHeight="1">
      <c r="A372" s="2" t="s">
        <v>398</v>
      </c>
      <c r="B372" s="2" t="s">
        <v>18</v>
      </c>
      <c r="C372" s="2" t="s">
        <v>48</v>
      </c>
      <c r="D372" s="8" t="s">
        <v>629</v>
      </c>
      <c r="E372" s="6">
        <v>45178.0</v>
      </c>
      <c r="F372" s="6">
        <v>45449.0</v>
      </c>
      <c r="G372" s="7">
        <v>4.372183615E9</v>
      </c>
      <c r="H372" s="2" t="s">
        <v>50</v>
      </c>
      <c r="I372" s="2">
        <f t="shared" ref="I372:P372" si="375">IF(ISBLANK(A372)=TRUE,0,1)</f>
        <v>1</v>
      </c>
      <c r="J372" s="2">
        <f t="shared" si="375"/>
        <v>1</v>
      </c>
      <c r="K372" s="2">
        <f t="shared" si="375"/>
        <v>1</v>
      </c>
      <c r="L372" s="2">
        <f t="shared" si="375"/>
        <v>1</v>
      </c>
      <c r="M372" s="2">
        <f t="shared" si="375"/>
        <v>1</v>
      </c>
      <c r="N372" s="2">
        <f t="shared" si="375"/>
        <v>1</v>
      </c>
      <c r="O372" s="2">
        <f t="shared" si="375"/>
        <v>1</v>
      </c>
      <c r="P372" s="2">
        <f t="shared" si="375"/>
        <v>1</v>
      </c>
      <c r="Q372" s="2">
        <f t="shared" si="3"/>
        <v>1</v>
      </c>
      <c r="R372" s="2">
        <f>IF(ISERROR(VLOOKUP(A372, 'Project Reference'!A:A, 1, FALSE)), 0, 1)</f>
        <v>1</v>
      </c>
      <c r="S372" s="2">
        <f>IFERROR(__xludf.DUMMYFUNCTION("IF(AND(REGEXMATCH(D372, B372), REGEXMATCH(D372, C372)), 1, 0)"),1.0)</f>
        <v>1</v>
      </c>
      <c r="T372" s="2">
        <f t="shared" si="4"/>
        <v>1</v>
      </c>
      <c r="U372" s="2">
        <f t="shared" si="5"/>
        <v>1</v>
      </c>
      <c r="V372" s="2">
        <f t="shared" si="6"/>
        <v>1</v>
      </c>
    </row>
    <row r="373" ht="14.25" customHeight="1">
      <c r="A373" s="2" t="s">
        <v>399</v>
      </c>
      <c r="B373" s="2" t="s">
        <v>18</v>
      </c>
      <c r="C373" s="2" t="s">
        <v>13</v>
      </c>
      <c r="D373" s="8" t="s">
        <v>580</v>
      </c>
      <c r="E373" s="6">
        <v>45178.0</v>
      </c>
      <c r="F373" s="6">
        <v>45540.0</v>
      </c>
      <c r="G373" s="7">
        <v>7.734024053E9</v>
      </c>
      <c r="H373" s="8" t="s">
        <v>581</v>
      </c>
      <c r="I373" s="2">
        <f t="shared" ref="I373:P373" si="376">IF(ISBLANK(A373)=TRUE,0,1)</f>
        <v>1</v>
      </c>
      <c r="J373" s="2">
        <f t="shared" si="376"/>
        <v>1</v>
      </c>
      <c r="K373" s="2">
        <f t="shared" si="376"/>
        <v>1</v>
      </c>
      <c r="L373" s="2">
        <f t="shared" si="376"/>
        <v>1</v>
      </c>
      <c r="M373" s="2">
        <f t="shared" si="376"/>
        <v>1</v>
      </c>
      <c r="N373" s="2">
        <f t="shared" si="376"/>
        <v>1</v>
      </c>
      <c r="O373" s="2">
        <f t="shared" si="376"/>
        <v>1</v>
      </c>
      <c r="P373" s="2">
        <f t="shared" si="376"/>
        <v>1</v>
      </c>
      <c r="Q373" s="2">
        <f t="shared" si="3"/>
        <v>1</v>
      </c>
      <c r="R373" s="2">
        <f>IF(ISERROR(VLOOKUP(A373, 'Project Reference'!A:A, 1, FALSE)), 0, 1)</f>
        <v>1</v>
      </c>
      <c r="S373" s="2">
        <f>IFERROR(__xludf.DUMMYFUNCTION("IF(AND(REGEXMATCH(D373, B373), REGEXMATCH(D373, C373)), 1, 0)"),1.0)</f>
        <v>1</v>
      </c>
      <c r="T373" s="2">
        <f t="shared" si="4"/>
        <v>1</v>
      </c>
      <c r="U373" s="2">
        <f t="shared" si="5"/>
        <v>1</v>
      </c>
      <c r="V373" s="2">
        <f t="shared" si="6"/>
        <v>1</v>
      </c>
    </row>
    <row r="374" ht="14.25" customHeight="1">
      <c r="A374" s="2" t="s">
        <v>400</v>
      </c>
      <c r="B374" s="2" t="s">
        <v>60</v>
      </c>
      <c r="C374" s="2" t="s">
        <v>13</v>
      </c>
      <c r="D374" s="8" t="s">
        <v>582</v>
      </c>
      <c r="E374" s="6">
        <v>45178.0</v>
      </c>
      <c r="F374" s="6">
        <v>45457.0</v>
      </c>
      <c r="G374" s="7">
        <v>2.23729528E9</v>
      </c>
      <c r="H374" s="8" t="s">
        <v>573</v>
      </c>
      <c r="I374" s="2">
        <f t="shared" ref="I374:P374" si="377">IF(ISBLANK(A374)=TRUE,0,1)</f>
        <v>1</v>
      </c>
      <c r="J374" s="2">
        <f t="shared" si="377"/>
        <v>1</v>
      </c>
      <c r="K374" s="2">
        <f t="shared" si="377"/>
        <v>1</v>
      </c>
      <c r="L374" s="2">
        <f t="shared" si="377"/>
        <v>1</v>
      </c>
      <c r="M374" s="2">
        <f t="shared" si="377"/>
        <v>1</v>
      </c>
      <c r="N374" s="2">
        <f t="shared" si="377"/>
        <v>1</v>
      </c>
      <c r="O374" s="2">
        <f t="shared" si="377"/>
        <v>1</v>
      </c>
      <c r="P374" s="2">
        <f t="shared" si="377"/>
        <v>1</v>
      </c>
      <c r="Q374" s="2">
        <f t="shared" si="3"/>
        <v>1</v>
      </c>
      <c r="R374" s="2">
        <f>IF(ISERROR(VLOOKUP(A374, 'Project Reference'!A:A, 1, FALSE)), 0, 1)</f>
        <v>1</v>
      </c>
      <c r="S374" s="2">
        <f>IFERROR(__xludf.DUMMYFUNCTION("IF(AND(REGEXMATCH(D374, B374), REGEXMATCH(D374, C374)), 1, 0)"),1.0)</f>
        <v>1</v>
      </c>
      <c r="T374" s="2">
        <f t="shared" si="4"/>
        <v>1</v>
      </c>
      <c r="U374" s="2">
        <f t="shared" si="5"/>
        <v>1</v>
      </c>
      <c r="V374" s="2">
        <f t="shared" si="6"/>
        <v>1</v>
      </c>
    </row>
    <row r="375" ht="14.25" customHeight="1">
      <c r="A375" s="2" t="s">
        <v>401</v>
      </c>
      <c r="B375" s="2" t="s">
        <v>30</v>
      </c>
      <c r="C375" s="2" t="s">
        <v>36</v>
      </c>
      <c r="D375" s="8" t="s">
        <v>639</v>
      </c>
      <c r="E375" s="6">
        <v>45178.0</v>
      </c>
      <c r="F375" s="6">
        <v>45279.0</v>
      </c>
      <c r="G375" s="7">
        <v>4.595910673E9</v>
      </c>
      <c r="H375" s="2" t="s">
        <v>33</v>
      </c>
      <c r="I375" s="2">
        <f t="shared" ref="I375:P375" si="378">IF(ISBLANK(A375)=TRUE,0,1)</f>
        <v>1</v>
      </c>
      <c r="J375" s="2">
        <f t="shared" si="378"/>
        <v>1</v>
      </c>
      <c r="K375" s="2">
        <f t="shared" si="378"/>
        <v>1</v>
      </c>
      <c r="L375" s="2">
        <f t="shared" si="378"/>
        <v>1</v>
      </c>
      <c r="M375" s="2">
        <f t="shared" si="378"/>
        <v>1</v>
      </c>
      <c r="N375" s="2">
        <f t="shared" si="378"/>
        <v>1</v>
      </c>
      <c r="O375" s="2">
        <f t="shared" si="378"/>
        <v>1</v>
      </c>
      <c r="P375" s="2">
        <f t="shared" si="378"/>
        <v>1</v>
      </c>
      <c r="Q375" s="2">
        <f t="shared" si="3"/>
        <v>1</v>
      </c>
      <c r="R375" s="2">
        <f>IF(ISERROR(VLOOKUP(A375, 'Project Reference'!A:A, 1, FALSE)), 0, 1)</f>
        <v>1</v>
      </c>
      <c r="S375" s="2">
        <f>IFERROR(__xludf.DUMMYFUNCTION("IF(AND(REGEXMATCH(D375, B375), REGEXMATCH(D375, C375)), 1, 0)"),1.0)</f>
        <v>1</v>
      </c>
      <c r="T375" s="2">
        <f t="shared" si="4"/>
        <v>1</v>
      </c>
      <c r="U375" s="2">
        <f t="shared" si="5"/>
        <v>1</v>
      </c>
      <c r="V375" s="2">
        <f t="shared" si="6"/>
        <v>1</v>
      </c>
    </row>
    <row r="376" ht="14.25" customHeight="1">
      <c r="A376" s="2" t="s">
        <v>402</v>
      </c>
      <c r="B376" s="2" t="s">
        <v>30</v>
      </c>
      <c r="C376" s="2" t="s">
        <v>19</v>
      </c>
      <c r="D376" s="8" t="s">
        <v>624</v>
      </c>
      <c r="E376" s="6">
        <v>45179.0</v>
      </c>
      <c r="F376" s="6">
        <v>45400.0</v>
      </c>
      <c r="G376" s="7">
        <v>5.159672072E9</v>
      </c>
      <c r="H376" s="2" t="s">
        <v>44</v>
      </c>
      <c r="I376" s="2">
        <f t="shared" ref="I376:P376" si="379">IF(ISBLANK(A376)=TRUE,0,1)</f>
        <v>1</v>
      </c>
      <c r="J376" s="2">
        <f t="shared" si="379"/>
        <v>1</v>
      </c>
      <c r="K376" s="2">
        <f t="shared" si="379"/>
        <v>1</v>
      </c>
      <c r="L376" s="2">
        <f t="shared" si="379"/>
        <v>1</v>
      </c>
      <c r="M376" s="2">
        <f t="shared" si="379"/>
        <v>1</v>
      </c>
      <c r="N376" s="2">
        <f t="shared" si="379"/>
        <v>1</v>
      </c>
      <c r="O376" s="2">
        <f t="shared" si="379"/>
        <v>1</v>
      </c>
      <c r="P376" s="2">
        <f t="shared" si="379"/>
        <v>1</v>
      </c>
      <c r="Q376" s="2">
        <f t="shared" si="3"/>
        <v>1</v>
      </c>
      <c r="R376" s="2">
        <f>IF(ISERROR(VLOOKUP(A376, 'Project Reference'!A:A, 1, FALSE)), 0, 1)</f>
        <v>1</v>
      </c>
      <c r="S376" s="2">
        <f>IFERROR(__xludf.DUMMYFUNCTION("IF(AND(REGEXMATCH(D376, B376), REGEXMATCH(D376, C376)), 1, 0)"),1.0)</f>
        <v>1</v>
      </c>
      <c r="T376" s="2">
        <f t="shared" si="4"/>
        <v>1</v>
      </c>
      <c r="U376" s="2">
        <f t="shared" si="5"/>
        <v>1</v>
      </c>
      <c r="V376" s="2">
        <f t="shared" si="6"/>
        <v>1</v>
      </c>
    </row>
    <row r="377" ht="14.25" customHeight="1">
      <c r="A377" s="2" t="s">
        <v>404</v>
      </c>
      <c r="B377" s="2" t="s">
        <v>30</v>
      </c>
      <c r="C377" s="2" t="s">
        <v>31</v>
      </c>
      <c r="D377" s="8" t="s">
        <v>595</v>
      </c>
      <c r="E377" s="6">
        <v>45181.0</v>
      </c>
      <c r="F377" s="6">
        <v>45455.0</v>
      </c>
      <c r="G377" s="7">
        <v>4.769425566E9</v>
      </c>
      <c r="H377" s="2" t="s">
        <v>44</v>
      </c>
      <c r="I377" s="2">
        <f t="shared" ref="I377:P377" si="380">IF(ISBLANK(A377)=TRUE,0,1)</f>
        <v>1</v>
      </c>
      <c r="J377" s="2">
        <f t="shared" si="380"/>
        <v>1</v>
      </c>
      <c r="K377" s="2">
        <f t="shared" si="380"/>
        <v>1</v>
      </c>
      <c r="L377" s="2">
        <f t="shared" si="380"/>
        <v>1</v>
      </c>
      <c r="M377" s="2">
        <f t="shared" si="380"/>
        <v>1</v>
      </c>
      <c r="N377" s="2">
        <f t="shared" si="380"/>
        <v>1</v>
      </c>
      <c r="O377" s="2">
        <f t="shared" si="380"/>
        <v>1</v>
      </c>
      <c r="P377" s="2">
        <f t="shared" si="380"/>
        <v>1</v>
      </c>
      <c r="Q377" s="2">
        <f t="shared" si="3"/>
        <v>1</v>
      </c>
      <c r="R377" s="2">
        <f>IF(ISERROR(VLOOKUP(A377, 'Project Reference'!A:A, 1, FALSE)), 0, 1)</f>
        <v>1</v>
      </c>
      <c r="S377" s="2">
        <f>IFERROR(__xludf.DUMMYFUNCTION("IF(AND(REGEXMATCH(D377, B377), REGEXMATCH(D377, C377)), 1, 0)"),1.0)</f>
        <v>1</v>
      </c>
      <c r="T377" s="2">
        <f t="shared" si="4"/>
        <v>1</v>
      </c>
      <c r="U377" s="2">
        <f t="shared" si="5"/>
        <v>1</v>
      </c>
      <c r="V377" s="2">
        <f t="shared" si="6"/>
        <v>1</v>
      </c>
    </row>
    <row r="378" ht="14.25" customHeight="1">
      <c r="A378" s="2" t="s">
        <v>405</v>
      </c>
      <c r="B378" s="2" t="s">
        <v>30</v>
      </c>
      <c r="C378" s="2" t="s">
        <v>24</v>
      </c>
      <c r="D378" s="8" t="s">
        <v>612</v>
      </c>
      <c r="E378" s="6">
        <v>45183.0</v>
      </c>
      <c r="F378" s="6">
        <v>45255.0</v>
      </c>
      <c r="G378" s="7">
        <v>1.336819118E9</v>
      </c>
      <c r="H378" s="2" t="s">
        <v>44</v>
      </c>
      <c r="I378" s="2">
        <f t="shared" ref="I378:P378" si="381">IF(ISBLANK(A378)=TRUE,0,1)</f>
        <v>1</v>
      </c>
      <c r="J378" s="2">
        <f t="shared" si="381"/>
        <v>1</v>
      </c>
      <c r="K378" s="2">
        <f t="shared" si="381"/>
        <v>1</v>
      </c>
      <c r="L378" s="2">
        <f t="shared" si="381"/>
        <v>1</v>
      </c>
      <c r="M378" s="2">
        <f t="shared" si="381"/>
        <v>1</v>
      </c>
      <c r="N378" s="2">
        <f t="shared" si="381"/>
        <v>1</v>
      </c>
      <c r="O378" s="2">
        <f t="shared" si="381"/>
        <v>1</v>
      </c>
      <c r="P378" s="2">
        <f t="shared" si="381"/>
        <v>1</v>
      </c>
      <c r="Q378" s="2">
        <f t="shared" si="3"/>
        <v>1</v>
      </c>
      <c r="R378" s="2">
        <f>IF(ISERROR(VLOOKUP(A378, 'Project Reference'!A:A, 1, FALSE)), 0, 1)</f>
        <v>1</v>
      </c>
      <c r="S378" s="2">
        <f>IFERROR(__xludf.DUMMYFUNCTION("IF(AND(REGEXMATCH(D378, B378), REGEXMATCH(D378, C378)), 1, 0)"),1.0)</f>
        <v>1</v>
      </c>
      <c r="T378" s="2">
        <f t="shared" si="4"/>
        <v>1</v>
      </c>
      <c r="U378" s="2">
        <f t="shared" si="5"/>
        <v>1</v>
      </c>
      <c r="V378" s="2">
        <f t="shared" si="6"/>
        <v>1</v>
      </c>
    </row>
    <row r="379" ht="14.25" customHeight="1">
      <c r="A379" s="2" t="s">
        <v>406</v>
      </c>
      <c r="B379" s="2" t="s">
        <v>35</v>
      </c>
      <c r="C379" s="2" t="s">
        <v>24</v>
      </c>
      <c r="D379" s="2" t="s">
        <v>133</v>
      </c>
      <c r="E379" s="6">
        <v>45184.0</v>
      </c>
      <c r="F379" s="6">
        <v>45534.0</v>
      </c>
      <c r="G379" s="7">
        <v>4.71750376E8</v>
      </c>
      <c r="H379" s="2" t="s">
        <v>33</v>
      </c>
      <c r="I379" s="2">
        <f t="shared" ref="I379:P379" si="382">IF(ISBLANK(A379)=TRUE,0,1)</f>
        <v>1</v>
      </c>
      <c r="J379" s="2">
        <f t="shared" si="382"/>
        <v>1</v>
      </c>
      <c r="K379" s="2">
        <f t="shared" si="382"/>
        <v>1</v>
      </c>
      <c r="L379" s="2">
        <f t="shared" si="382"/>
        <v>1</v>
      </c>
      <c r="M379" s="2">
        <f t="shared" si="382"/>
        <v>1</v>
      </c>
      <c r="N379" s="2">
        <f t="shared" si="382"/>
        <v>1</v>
      </c>
      <c r="O379" s="2">
        <f t="shared" si="382"/>
        <v>1</v>
      </c>
      <c r="P379" s="2">
        <f t="shared" si="382"/>
        <v>1</v>
      </c>
      <c r="Q379" s="2">
        <f t="shared" si="3"/>
        <v>1</v>
      </c>
      <c r="R379" s="2">
        <f>IF(ISERROR(VLOOKUP(A379, 'Project Reference'!A:A, 1, FALSE)), 0, 1)</f>
        <v>1</v>
      </c>
      <c r="S379" s="2">
        <f>IFERROR(__xludf.DUMMYFUNCTION("IF(AND(REGEXMATCH(D379, B379), REGEXMATCH(D379, C379)), 1, 0)"),1.0)</f>
        <v>1</v>
      </c>
      <c r="T379" s="2">
        <f t="shared" si="4"/>
        <v>1</v>
      </c>
      <c r="U379" s="2">
        <f t="shared" si="5"/>
        <v>1</v>
      </c>
      <c r="V379" s="2">
        <f t="shared" si="6"/>
        <v>1</v>
      </c>
    </row>
    <row r="380" ht="14.25" customHeight="1">
      <c r="A380" s="2" t="s">
        <v>407</v>
      </c>
      <c r="B380" s="2" t="s">
        <v>12</v>
      </c>
      <c r="C380" s="2" t="s">
        <v>31</v>
      </c>
      <c r="D380" s="8" t="s">
        <v>593</v>
      </c>
      <c r="E380" s="6">
        <v>45184.0</v>
      </c>
      <c r="F380" s="6">
        <v>45239.0</v>
      </c>
      <c r="G380" s="7">
        <v>6.28901605E8</v>
      </c>
      <c r="H380" s="2" t="s">
        <v>33</v>
      </c>
      <c r="I380" s="2">
        <f t="shared" ref="I380:P380" si="383">IF(ISBLANK(A380)=TRUE,0,1)</f>
        <v>1</v>
      </c>
      <c r="J380" s="2">
        <f t="shared" si="383"/>
        <v>1</v>
      </c>
      <c r="K380" s="2">
        <f t="shared" si="383"/>
        <v>1</v>
      </c>
      <c r="L380" s="2">
        <f t="shared" si="383"/>
        <v>1</v>
      </c>
      <c r="M380" s="2">
        <f t="shared" si="383"/>
        <v>1</v>
      </c>
      <c r="N380" s="2">
        <f t="shared" si="383"/>
        <v>1</v>
      </c>
      <c r="O380" s="2">
        <f t="shared" si="383"/>
        <v>1</v>
      </c>
      <c r="P380" s="2">
        <f t="shared" si="383"/>
        <v>1</v>
      </c>
      <c r="Q380" s="2">
        <f t="shared" si="3"/>
        <v>1</v>
      </c>
      <c r="R380" s="2">
        <f>IF(ISERROR(VLOOKUP(A380, 'Project Reference'!A:A, 1, FALSE)), 0, 1)</f>
        <v>1</v>
      </c>
      <c r="S380" s="2">
        <f>IFERROR(__xludf.DUMMYFUNCTION("IF(AND(REGEXMATCH(D380, B380), REGEXMATCH(D380, C380)), 1, 0)"),1.0)</f>
        <v>1</v>
      </c>
      <c r="T380" s="2">
        <f t="shared" si="4"/>
        <v>1</v>
      </c>
      <c r="U380" s="2">
        <f t="shared" si="5"/>
        <v>1</v>
      </c>
      <c r="V380" s="2">
        <f t="shared" si="6"/>
        <v>1</v>
      </c>
    </row>
    <row r="381" ht="14.25" customHeight="1">
      <c r="A381" s="2" t="s">
        <v>408</v>
      </c>
      <c r="B381" s="2" t="s">
        <v>30</v>
      </c>
      <c r="C381" s="2" t="s">
        <v>42</v>
      </c>
      <c r="D381" s="8" t="s">
        <v>627</v>
      </c>
      <c r="E381" s="6">
        <v>45185.0</v>
      </c>
      <c r="F381" s="6">
        <v>45273.0</v>
      </c>
      <c r="G381" s="7">
        <v>1.251866235E9</v>
      </c>
      <c r="H381" s="2" t="s">
        <v>21</v>
      </c>
      <c r="I381" s="2">
        <f t="shared" ref="I381:P381" si="384">IF(ISBLANK(A381)=TRUE,0,1)</f>
        <v>1</v>
      </c>
      <c r="J381" s="2">
        <f t="shared" si="384"/>
        <v>1</v>
      </c>
      <c r="K381" s="2">
        <f t="shared" si="384"/>
        <v>1</v>
      </c>
      <c r="L381" s="2">
        <f t="shared" si="384"/>
        <v>1</v>
      </c>
      <c r="M381" s="2">
        <f t="shared" si="384"/>
        <v>1</v>
      </c>
      <c r="N381" s="2">
        <f t="shared" si="384"/>
        <v>1</v>
      </c>
      <c r="O381" s="2">
        <f t="shared" si="384"/>
        <v>1</v>
      </c>
      <c r="P381" s="2">
        <f t="shared" si="384"/>
        <v>1</v>
      </c>
      <c r="Q381" s="2">
        <f t="shared" si="3"/>
        <v>1</v>
      </c>
      <c r="R381" s="2">
        <f>IF(ISERROR(VLOOKUP(A381, 'Project Reference'!A:A, 1, FALSE)), 0, 1)</f>
        <v>1</v>
      </c>
      <c r="S381" s="2">
        <f>IFERROR(__xludf.DUMMYFUNCTION("IF(AND(REGEXMATCH(D381, B381), REGEXMATCH(D381, C381)), 1, 0)"),1.0)</f>
        <v>1</v>
      </c>
      <c r="T381" s="2">
        <f t="shared" si="4"/>
        <v>1</v>
      </c>
      <c r="U381" s="2">
        <f t="shared" si="5"/>
        <v>1</v>
      </c>
      <c r="V381" s="2">
        <f t="shared" si="6"/>
        <v>1</v>
      </c>
    </row>
    <row r="382" ht="14.25" customHeight="1">
      <c r="A382" s="2" t="s">
        <v>409</v>
      </c>
      <c r="B382" s="2" t="s">
        <v>12</v>
      </c>
      <c r="C382" s="2" t="s">
        <v>39</v>
      </c>
      <c r="D382" s="8" t="s">
        <v>591</v>
      </c>
      <c r="E382" s="6">
        <v>45185.0</v>
      </c>
      <c r="F382" s="6">
        <v>45404.0</v>
      </c>
      <c r="G382" s="7">
        <v>3.21020182E8</v>
      </c>
      <c r="H382" s="2" t="s">
        <v>50</v>
      </c>
      <c r="I382" s="2">
        <f t="shared" ref="I382:P382" si="385">IF(ISBLANK(A382)=TRUE,0,1)</f>
        <v>1</v>
      </c>
      <c r="J382" s="2">
        <f t="shared" si="385"/>
        <v>1</v>
      </c>
      <c r="K382" s="2">
        <f t="shared" si="385"/>
        <v>1</v>
      </c>
      <c r="L382" s="2">
        <f t="shared" si="385"/>
        <v>1</v>
      </c>
      <c r="M382" s="2">
        <f t="shared" si="385"/>
        <v>1</v>
      </c>
      <c r="N382" s="2">
        <f t="shared" si="385"/>
        <v>1</v>
      </c>
      <c r="O382" s="2">
        <f t="shared" si="385"/>
        <v>1</v>
      </c>
      <c r="P382" s="2">
        <f t="shared" si="385"/>
        <v>1</v>
      </c>
      <c r="Q382" s="2">
        <f t="shared" si="3"/>
        <v>1</v>
      </c>
      <c r="R382" s="2">
        <f>IF(ISERROR(VLOOKUP(A382, 'Project Reference'!A:A, 1, FALSE)), 0, 1)</f>
        <v>1</v>
      </c>
      <c r="S382" s="2">
        <f>IFERROR(__xludf.DUMMYFUNCTION("IF(AND(REGEXMATCH(D382, B382), REGEXMATCH(D382, C382)), 1, 0)"),1.0)</f>
        <v>1</v>
      </c>
      <c r="T382" s="2">
        <f t="shared" si="4"/>
        <v>1</v>
      </c>
      <c r="U382" s="2">
        <f t="shared" si="5"/>
        <v>1</v>
      </c>
      <c r="V382" s="2">
        <f t="shared" si="6"/>
        <v>1</v>
      </c>
    </row>
    <row r="383" ht="14.25" customHeight="1">
      <c r="A383" s="2" t="s">
        <v>410</v>
      </c>
      <c r="B383" s="2" t="s">
        <v>30</v>
      </c>
      <c r="C383" s="2" t="s">
        <v>13</v>
      </c>
      <c r="D383" s="8" t="s">
        <v>630</v>
      </c>
      <c r="E383" s="6">
        <v>45186.0</v>
      </c>
      <c r="F383" s="6">
        <v>45477.0</v>
      </c>
      <c r="G383" s="7">
        <v>4.533278952E9</v>
      </c>
      <c r="H383" s="8" t="s">
        <v>581</v>
      </c>
      <c r="I383" s="2">
        <f t="shared" ref="I383:P383" si="386">IF(ISBLANK(A383)=TRUE,0,1)</f>
        <v>1</v>
      </c>
      <c r="J383" s="2">
        <f t="shared" si="386"/>
        <v>1</v>
      </c>
      <c r="K383" s="2">
        <f t="shared" si="386"/>
        <v>1</v>
      </c>
      <c r="L383" s="2">
        <f t="shared" si="386"/>
        <v>1</v>
      </c>
      <c r="M383" s="2">
        <f t="shared" si="386"/>
        <v>1</v>
      </c>
      <c r="N383" s="2">
        <f t="shared" si="386"/>
        <v>1</v>
      </c>
      <c r="O383" s="2">
        <f t="shared" si="386"/>
        <v>1</v>
      </c>
      <c r="P383" s="2">
        <f t="shared" si="386"/>
        <v>1</v>
      </c>
      <c r="Q383" s="2">
        <f t="shared" si="3"/>
        <v>1</v>
      </c>
      <c r="R383" s="2">
        <f>IF(ISERROR(VLOOKUP(A383, 'Project Reference'!A:A, 1, FALSE)), 0, 1)</f>
        <v>1</v>
      </c>
      <c r="S383" s="2">
        <f>IFERROR(__xludf.DUMMYFUNCTION("IF(AND(REGEXMATCH(D383, B383), REGEXMATCH(D383, C383)), 1, 0)"),1.0)</f>
        <v>1</v>
      </c>
      <c r="T383" s="2">
        <f t="shared" si="4"/>
        <v>1</v>
      </c>
      <c r="U383" s="2">
        <f t="shared" si="5"/>
        <v>1</v>
      </c>
      <c r="V383" s="2">
        <f t="shared" si="6"/>
        <v>1</v>
      </c>
    </row>
    <row r="384" ht="14.25" customHeight="1">
      <c r="A384" s="2" t="s">
        <v>411</v>
      </c>
      <c r="B384" s="2" t="s">
        <v>18</v>
      </c>
      <c r="C384" s="2" t="s">
        <v>39</v>
      </c>
      <c r="D384" s="8" t="s">
        <v>577</v>
      </c>
      <c r="E384" s="6">
        <v>45187.0</v>
      </c>
      <c r="F384" s="6">
        <v>45493.0</v>
      </c>
      <c r="G384" s="7">
        <v>4.814287975E9</v>
      </c>
      <c r="H384" s="8" t="s">
        <v>581</v>
      </c>
      <c r="I384" s="2">
        <f t="shared" ref="I384:P384" si="387">IF(ISBLANK(A384)=TRUE,0,1)</f>
        <v>1</v>
      </c>
      <c r="J384" s="2">
        <f t="shared" si="387"/>
        <v>1</v>
      </c>
      <c r="K384" s="2">
        <f t="shared" si="387"/>
        <v>1</v>
      </c>
      <c r="L384" s="2">
        <f t="shared" si="387"/>
        <v>1</v>
      </c>
      <c r="M384" s="2">
        <f t="shared" si="387"/>
        <v>1</v>
      </c>
      <c r="N384" s="2">
        <f t="shared" si="387"/>
        <v>1</v>
      </c>
      <c r="O384" s="2">
        <f t="shared" si="387"/>
        <v>1</v>
      </c>
      <c r="P384" s="2">
        <f t="shared" si="387"/>
        <v>1</v>
      </c>
      <c r="Q384" s="2">
        <f t="shared" si="3"/>
        <v>1</v>
      </c>
      <c r="R384" s="2">
        <f>IF(ISERROR(VLOOKUP(A384, 'Project Reference'!A:A, 1, FALSE)), 0, 1)</f>
        <v>1</v>
      </c>
      <c r="S384" s="2">
        <f>IFERROR(__xludf.DUMMYFUNCTION("IF(AND(REGEXMATCH(D384, B384), REGEXMATCH(D384, C384)), 1, 0)"),1.0)</f>
        <v>1</v>
      </c>
      <c r="T384" s="2">
        <f t="shared" si="4"/>
        <v>1</v>
      </c>
      <c r="U384" s="2">
        <f t="shared" si="5"/>
        <v>1</v>
      </c>
      <c r="V384" s="2">
        <f t="shared" si="6"/>
        <v>1</v>
      </c>
    </row>
    <row r="385" ht="14.25" customHeight="1">
      <c r="A385" s="2" t="s">
        <v>412</v>
      </c>
      <c r="B385" s="2" t="s">
        <v>30</v>
      </c>
      <c r="C385" s="2" t="s">
        <v>24</v>
      </c>
      <c r="D385" s="8" t="s">
        <v>637</v>
      </c>
      <c r="E385" s="6">
        <v>45188.0</v>
      </c>
      <c r="F385" s="6">
        <v>45328.0</v>
      </c>
      <c r="G385" s="7">
        <v>5.011848562E9</v>
      </c>
      <c r="H385" s="2" t="s">
        <v>67</v>
      </c>
      <c r="I385" s="2">
        <f t="shared" ref="I385:P385" si="388">IF(ISBLANK(A385)=TRUE,0,1)</f>
        <v>1</v>
      </c>
      <c r="J385" s="2">
        <f t="shared" si="388"/>
        <v>1</v>
      </c>
      <c r="K385" s="2">
        <f t="shared" si="388"/>
        <v>1</v>
      </c>
      <c r="L385" s="2">
        <f t="shared" si="388"/>
        <v>1</v>
      </c>
      <c r="M385" s="2">
        <f t="shared" si="388"/>
        <v>1</v>
      </c>
      <c r="N385" s="2">
        <f t="shared" si="388"/>
        <v>1</v>
      </c>
      <c r="O385" s="2">
        <f t="shared" si="388"/>
        <v>1</v>
      </c>
      <c r="P385" s="2">
        <f t="shared" si="388"/>
        <v>1</v>
      </c>
      <c r="Q385" s="2">
        <f t="shared" si="3"/>
        <v>1</v>
      </c>
      <c r="R385" s="2">
        <f>IF(ISERROR(VLOOKUP(A385, 'Project Reference'!A:A, 1, FALSE)), 0, 1)</f>
        <v>1</v>
      </c>
      <c r="S385" s="2">
        <f>IFERROR(__xludf.DUMMYFUNCTION("IF(AND(REGEXMATCH(D385, B385), REGEXMATCH(D385, C385)), 1, 0)"),1.0)</f>
        <v>1</v>
      </c>
      <c r="T385" s="2">
        <f t="shared" si="4"/>
        <v>1</v>
      </c>
      <c r="U385" s="2">
        <f t="shared" si="5"/>
        <v>1</v>
      </c>
      <c r="V385" s="2">
        <f t="shared" si="6"/>
        <v>1</v>
      </c>
    </row>
    <row r="386" ht="14.25" customHeight="1">
      <c r="A386" s="2" t="s">
        <v>413</v>
      </c>
      <c r="B386" s="2" t="s">
        <v>60</v>
      </c>
      <c r="C386" s="2" t="s">
        <v>36</v>
      </c>
      <c r="D386" s="8" t="s">
        <v>597</v>
      </c>
      <c r="E386" s="6">
        <v>45188.0</v>
      </c>
      <c r="F386" s="6">
        <v>45364.0</v>
      </c>
      <c r="G386" s="7">
        <v>2.187444281E9</v>
      </c>
      <c r="H386" s="2" t="s">
        <v>44</v>
      </c>
      <c r="I386" s="2">
        <f t="shared" ref="I386:P386" si="389">IF(ISBLANK(A386)=TRUE,0,1)</f>
        <v>1</v>
      </c>
      <c r="J386" s="2">
        <f t="shared" si="389"/>
        <v>1</v>
      </c>
      <c r="K386" s="2">
        <f t="shared" si="389"/>
        <v>1</v>
      </c>
      <c r="L386" s="2">
        <f t="shared" si="389"/>
        <v>1</v>
      </c>
      <c r="M386" s="2">
        <f t="shared" si="389"/>
        <v>1</v>
      </c>
      <c r="N386" s="2">
        <f t="shared" si="389"/>
        <v>1</v>
      </c>
      <c r="O386" s="2">
        <f t="shared" si="389"/>
        <v>1</v>
      </c>
      <c r="P386" s="2">
        <f t="shared" si="389"/>
        <v>1</v>
      </c>
      <c r="Q386" s="2">
        <f t="shared" si="3"/>
        <v>1</v>
      </c>
      <c r="R386" s="2">
        <f>IF(ISERROR(VLOOKUP(A386, 'Project Reference'!A:A, 1, FALSE)), 0, 1)</f>
        <v>1</v>
      </c>
      <c r="S386" s="2">
        <f>IFERROR(__xludf.DUMMYFUNCTION("IF(AND(REGEXMATCH(D386, B386), REGEXMATCH(D386, C386)), 1, 0)"),1.0)</f>
        <v>1</v>
      </c>
      <c r="T386" s="2">
        <f t="shared" si="4"/>
        <v>1</v>
      </c>
      <c r="U386" s="2">
        <f t="shared" si="5"/>
        <v>1</v>
      </c>
      <c r="V386" s="2">
        <f t="shared" si="6"/>
        <v>1</v>
      </c>
    </row>
    <row r="387" ht="14.25" customHeight="1">
      <c r="A387" s="2" t="s">
        <v>414</v>
      </c>
      <c r="B387" s="2" t="s">
        <v>30</v>
      </c>
      <c r="C387" s="2" t="s">
        <v>39</v>
      </c>
      <c r="D387" s="8" t="s">
        <v>638</v>
      </c>
      <c r="E387" s="6">
        <v>45188.0</v>
      </c>
      <c r="F387" s="6">
        <v>45245.0</v>
      </c>
      <c r="G387" s="7">
        <v>3.086567364E9</v>
      </c>
      <c r="H387" s="2" t="s">
        <v>50</v>
      </c>
      <c r="I387" s="2">
        <f t="shared" ref="I387:P387" si="390">IF(ISBLANK(A387)=TRUE,0,1)</f>
        <v>1</v>
      </c>
      <c r="J387" s="2">
        <f t="shared" si="390"/>
        <v>1</v>
      </c>
      <c r="K387" s="2">
        <f t="shared" si="390"/>
        <v>1</v>
      </c>
      <c r="L387" s="2">
        <f t="shared" si="390"/>
        <v>1</v>
      </c>
      <c r="M387" s="2">
        <f t="shared" si="390"/>
        <v>1</v>
      </c>
      <c r="N387" s="2">
        <f t="shared" si="390"/>
        <v>1</v>
      </c>
      <c r="O387" s="2">
        <f t="shared" si="390"/>
        <v>1</v>
      </c>
      <c r="P387" s="2">
        <f t="shared" si="390"/>
        <v>1</v>
      </c>
      <c r="Q387" s="2">
        <f t="shared" si="3"/>
        <v>1</v>
      </c>
      <c r="R387" s="2">
        <f>IF(ISERROR(VLOOKUP(A387, 'Project Reference'!A:A, 1, FALSE)), 0, 1)</f>
        <v>1</v>
      </c>
      <c r="S387" s="2">
        <f>IFERROR(__xludf.DUMMYFUNCTION("IF(AND(REGEXMATCH(D387, B387), REGEXMATCH(D387, C387)), 1, 0)"),1.0)</f>
        <v>1</v>
      </c>
      <c r="T387" s="2">
        <f t="shared" si="4"/>
        <v>1</v>
      </c>
      <c r="U387" s="2">
        <f t="shared" si="5"/>
        <v>1</v>
      </c>
      <c r="V387" s="2">
        <f t="shared" si="6"/>
        <v>1</v>
      </c>
    </row>
    <row r="388" ht="14.25" customHeight="1">
      <c r="A388" s="2" t="s">
        <v>415</v>
      </c>
      <c r="B388" s="2" t="s">
        <v>30</v>
      </c>
      <c r="C388" s="2" t="s">
        <v>31</v>
      </c>
      <c r="D388" s="8" t="s">
        <v>585</v>
      </c>
      <c r="E388" s="6">
        <v>45191.0</v>
      </c>
      <c r="F388" s="6">
        <v>45375.0</v>
      </c>
      <c r="G388" s="7">
        <v>3.308514312E9</v>
      </c>
      <c r="H388" s="2" t="s">
        <v>21</v>
      </c>
      <c r="I388" s="2">
        <f t="shared" ref="I388:P388" si="391">IF(ISBLANK(A388)=TRUE,0,1)</f>
        <v>1</v>
      </c>
      <c r="J388" s="2">
        <f t="shared" si="391"/>
        <v>1</v>
      </c>
      <c r="K388" s="2">
        <f t="shared" si="391"/>
        <v>1</v>
      </c>
      <c r="L388" s="2">
        <f t="shared" si="391"/>
        <v>1</v>
      </c>
      <c r="M388" s="2">
        <f t="shared" si="391"/>
        <v>1</v>
      </c>
      <c r="N388" s="2">
        <f t="shared" si="391"/>
        <v>1</v>
      </c>
      <c r="O388" s="2">
        <f t="shared" si="391"/>
        <v>1</v>
      </c>
      <c r="P388" s="2">
        <f t="shared" si="391"/>
        <v>1</v>
      </c>
      <c r="Q388" s="2">
        <f t="shared" si="3"/>
        <v>1</v>
      </c>
      <c r="R388" s="2">
        <f>IF(ISERROR(VLOOKUP(A388, 'Project Reference'!A:A, 1, FALSE)), 0, 1)</f>
        <v>1</v>
      </c>
      <c r="S388" s="2">
        <f>IFERROR(__xludf.DUMMYFUNCTION("IF(AND(REGEXMATCH(D388, B388), REGEXMATCH(D388, C388)), 1, 0)"),1.0)</f>
        <v>1</v>
      </c>
      <c r="T388" s="2">
        <f t="shared" si="4"/>
        <v>1</v>
      </c>
      <c r="U388" s="2">
        <f t="shared" si="5"/>
        <v>1</v>
      </c>
      <c r="V388" s="2">
        <f t="shared" si="6"/>
        <v>1</v>
      </c>
    </row>
    <row r="389" ht="14.25" customHeight="1">
      <c r="A389" s="2" t="s">
        <v>416</v>
      </c>
      <c r="B389" s="2" t="s">
        <v>12</v>
      </c>
      <c r="C389" s="2" t="s">
        <v>42</v>
      </c>
      <c r="D389" s="8" t="s">
        <v>603</v>
      </c>
      <c r="E389" s="6">
        <v>45192.0</v>
      </c>
      <c r="F389" s="6">
        <v>45532.0</v>
      </c>
      <c r="G389" s="7">
        <v>2.83571018E8</v>
      </c>
      <c r="H389" s="8" t="s">
        <v>581</v>
      </c>
      <c r="I389" s="2">
        <f t="shared" ref="I389:P389" si="392">IF(ISBLANK(A389)=TRUE,0,1)</f>
        <v>1</v>
      </c>
      <c r="J389" s="2">
        <f t="shared" si="392"/>
        <v>1</v>
      </c>
      <c r="K389" s="2">
        <f t="shared" si="392"/>
        <v>1</v>
      </c>
      <c r="L389" s="2">
        <f t="shared" si="392"/>
        <v>1</v>
      </c>
      <c r="M389" s="2">
        <f t="shared" si="392"/>
        <v>1</v>
      </c>
      <c r="N389" s="2">
        <f t="shared" si="392"/>
        <v>1</v>
      </c>
      <c r="O389" s="2">
        <f t="shared" si="392"/>
        <v>1</v>
      </c>
      <c r="P389" s="2">
        <f t="shared" si="392"/>
        <v>1</v>
      </c>
      <c r="Q389" s="2">
        <f t="shared" si="3"/>
        <v>1</v>
      </c>
      <c r="R389" s="2">
        <f>IF(ISERROR(VLOOKUP(A389, 'Project Reference'!A:A, 1, FALSE)), 0, 1)</f>
        <v>1</v>
      </c>
      <c r="S389" s="2">
        <f>IFERROR(__xludf.DUMMYFUNCTION("IF(AND(REGEXMATCH(D389, B389), REGEXMATCH(D389, C389)), 1, 0)"),1.0)</f>
        <v>1</v>
      </c>
      <c r="T389" s="2">
        <f t="shared" si="4"/>
        <v>1</v>
      </c>
      <c r="U389" s="2">
        <f t="shared" si="5"/>
        <v>1</v>
      </c>
      <c r="V389" s="2">
        <f t="shared" si="6"/>
        <v>1</v>
      </c>
    </row>
    <row r="390" ht="14.25" customHeight="1">
      <c r="A390" s="2" t="s">
        <v>417</v>
      </c>
      <c r="B390" s="2" t="s">
        <v>18</v>
      </c>
      <c r="C390" s="2" t="s">
        <v>42</v>
      </c>
      <c r="D390" s="8" t="s">
        <v>621</v>
      </c>
      <c r="E390" s="6">
        <v>45192.0</v>
      </c>
      <c r="F390" s="6">
        <v>45361.0</v>
      </c>
      <c r="G390" s="7">
        <v>7.071217769E9</v>
      </c>
      <c r="H390" s="2" t="s">
        <v>33</v>
      </c>
      <c r="I390" s="2">
        <f t="shared" ref="I390:P390" si="393">IF(ISBLANK(A390)=TRUE,0,1)</f>
        <v>1</v>
      </c>
      <c r="J390" s="2">
        <f t="shared" si="393"/>
        <v>1</v>
      </c>
      <c r="K390" s="2">
        <f t="shared" si="393"/>
        <v>1</v>
      </c>
      <c r="L390" s="2">
        <f t="shared" si="393"/>
        <v>1</v>
      </c>
      <c r="M390" s="2">
        <f t="shared" si="393"/>
        <v>1</v>
      </c>
      <c r="N390" s="2">
        <f t="shared" si="393"/>
        <v>1</v>
      </c>
      <c r="O390" s="2">
        <f t="shared" si="393"/>
        <v>1</v>
      </c>
      <c r="P390" s="2">
        <f t="shared" si="393"/>
        <v>1</v>
      </c>
      <c r="Q390" s="2">
        <f t="shared" si="3"/>
        <v>1</v>
      </c>
      <c r="R390" s="2">
        <f>IF(ISERROR(VLOOKUP(A390, 'Project Reference'!A:A, 1, FALSE)), 0, 1)</f>
        <v>1</v>
      </c>
      <c r="S390" s="2">
        <f>IFERROR(__xludf.DUMMYFUNCTION("IF(AND(REGEXMATCH(D390, B390), REGEXMATCH(D390, C390)), 1, 0)"),1.0)</f>
        <v>1</v>
      </c>
      <c r="T390" s="2">
        <f t="shared" si="4"/>
        <v>1</v>
      </c>
      <c r="U390" s="2">
        <f t="shared" si="5"/>
        <v>1</v>
      </c>
      <c r="V390" s="2">
        <f t="shared" si="6"/>
        <v>1</v>
      </c>
    </row>
    <row r="391" ht="14.25" customHeight="1">
      <c r="A391" s="2" t="s">
        <v>418</v>
      </c>
      <c r="B391" s="2" t="s">
        <v>30</v>
      </c>
      <c r="C391" s="2" t="s">
        <v>42</v>
      </c>
      <c r="D391" s="8" t="s">
        <v>632</v>
      </c>
      <c r="E391" s="6">
        <v>45193.0</v>
      </c>
      <c r="F391" s="6">
        <v>45267.0</v>
      </c>
      <c r="G391" s="7">
        <v>5.103380941E9</v>
      </c>
      <c r="H391" s="2" t="s">
        <v>33</v>
      </c>
      <c r="I391" s="2">
        <f t="shared" ref="I391:P391" si="394">IF(ISBLANK(A391)=TRUE,0,1)</f>
        <v>1</v>
      </c>
      <c r="J391" s="2">
        <f t="shared" si="394"/>
        <v>1</v>
      </c>
      <c r="K391" s="2">
        <f t="shared" si="394"/>
        <v>1</v>
      </c>
      <c r="L391" s="2">
        <f t="shared" si="394"/>
        <v>1</v>
      </c>
      <c r="M391" s="2">
        <f t="shared" si="394"/>
        <v>1</v>
      </c>
      <c r="N391" s="2">
        <f t="shared" si="394"/>
        <v>1</v>
      </c>
      <c r="O391" s="2">
        <f t="shared" si="394"/>
        <v>1</v>
      </c>
      <c r="P391" s="2">
        <f t="shared" si="394"/>
        <v>1</v>
      </c>
      <c r="Q391" s="2">
        <f t="shared" si="3"/>
        <v>1</v>
      </c>
      <c r="R391" s="2">
        <f>IF(ISERROR(VLOOKUP(A391, 'Project Reference'!A:A, 1, FALSE)), 0, 1)</f>
        <v>1</v>
      </c>
      <c r="S391" s="2">
        <f>IFERROR(__xludf.DUMMYFUNCTION("IF(AND(REGEXMATCH(D391, B391), REGEXMATCH(D391, C391)), 1, 0)"),1.0)</f>
        <v>1</v>
      </c>
      <c r="T391" s="2">
        <f t="shared" si="4"/>
        <v>1</v>
      </c>
      <c r="U391" s="2">
        <f t="shared" si="5"/>
        <v>1</v>
      </c>
      <c r="V391" s="2">
        <f t="shared" si="6"/>
        <v>1</v>
      </c>
    </row>
    <row r="392" ht="14.25" customHeight="1">
      <c r="A392" s="2" t="s">
        <v>419</v>
      </c>
      <c r="B392" s="2" t="s">
        <v>18</v>
      </c>
      <c r="C392" s="2" t="s">
        <v>39</v>
      </c>
      <c r="D392" s="8" t="s">
        <v>577</v>
      </c>
      <c r="E392" s="6">
        <v>45194.0</v>
      </c>
      <c r="F392" s="6">
        <v>45394.0</v>
      </c>
      <c r="G392" s="7">
        <v>4.342819473E9</v>
      </c>
      <c r="H392" s="2" t="s">
        <v>50</v>
      </c>
      <c r="I392" s="2">
        <f t="shared" ref="I392:P392" si="395">IF(ISBLANK(A392)=TRUE,0,1)</f>
        <v>1</v>
      </c>
      <c r="J392" s="2">
        <f t="shared" si="395"/>
        <v>1</v>
      </c>
      <c r="K392" s="2">
        <f t="shared" si="395"/>
        <v>1</v>
      </c>
      <c r="L392" s="2">
        <f t="shared" si="395"/>
        <v>1</v>
      </c>
      <c r="M392" s="2">
        <f t="shared" si="395"/>
        <v>1</v>
      </c>
      <c r="N392" s="2">
        <f t="shared" si="395"/>
        <v>1</v>
      </c>
      <c r="O392" s="2">
        <f t="shared" si="395"/>
        <v>1</v>
      </c>
      <c r="P392" s="2">
        <f t="shared" si="395"/>
        <v>1</v>
      </c>
      <c r="Q392" s="2">
        <f t="shared" si="3"/>
        <v>1</v>
      </c>
      <c r="R392" s="2">
        <f>IF(ISERROR(VLOOKUP(A392, 'Project Reference'!A:A, 1, FALSE)), 0, 1)</f>
        <v>1</v>
      </c>
      <c r="S392" s="2">
        <f>IFERROR(__xludf.DUMMYFUNCTION("IF(AND(REGEXMATCH(D392, B392), REGEXMATCH(D392, C392)), 1, 0)"),1.0)</f>
        <v>1</v>
      </c>
      <c r="T392" s="2">
        <f t="shared" si="4"/>
        <v>1</v>
      </c>
      <c r="U392" s="2">
        <f t="shared" si="5"/>
        <v>1</v>
      </c>
      <c r="V392" s="2">
        <f t="shared" si="6"/>
        <v>1</v>
      </c>
    </row>
    <row r="393" ht="14.25" customHeight="1">
      <c r="A393" s="2" t="s">
        <v>420</v>
      </c>
      <c r="B393" s="2" t="s">
        <v>30</v>
      </c>
      <c r="C393" s="2" t="s">
        <v>39</v>
      </c>
      <c r="D393" s="8" t="s">
        <v>638</v>
      </c>
      <c r="E393" s="6">
        <v>45194.0</v>
      </c>
      <c r="F393" s="6">
        <v>45231.0</v>
      </c>
      <c r="G393" s="7">
        <v>6.977377591E9</v>
      </c>
      <c r="H393" s="2" t="s">
        <v>67</v>
      </c>
      <c r="I393" s="2">
        <f t="shared" ref="I393:P393" si="396">IF(ISBLANK(A393)=TRUE,0,1)</f>
        <v>1</v>
      </c>
      <c r="J393" s="2">
        <f t="shared" si="396"/>
        <v>1</v>
      </c>
      <c r="K393" s="2">
        <f t="shared" si="396"/>
        <v>1</v>
      </c>
      <c r="L393" s="2">
        <f t="shared" si="396"/>
        <v>1</v>
      </c>
      <c r="M393" s="2">
        <f t="shared" si="396"/>
        <v>1</v>
      </c>
      <c r="N393" s="2">
        <f t="shared" si="396"/>
        <v>1</v>
      </c>
      <c r="O393" s="2">
        <f t="shared" si="396"/>
        <v>1</v>
      </c>
      <c r="P393" s="2">
        <f t="shared" si="396"/>
        <v>1</v>
      </c>
      <c r="Q393" s="2">
        <f t="shared" si="3"/>
        <v>1</v>
      </c>
      <c r="R393" s="2">
        <f>IF(ISERROR(VLOOKUP(A393, 'Project Reference'!A:A, 1, FALSE)), 0, 1)</f>
        <v>1</v>
      </c>
      <c r="S393" s="2">
        <f>IFERROR(__xludf.DUMMYFUNCTION("IF(AND(REGEXMATCH(D393, B393), REGEXMATCH(D393, C393)), 1, 0)"),1.0)</f>
        <v>1</v>
      </c>
      <c r="T393" s="2">
        <f t="shared" si="4"/>
        <v>1</v>
      </c>
      <c r="U393" s="2">
        <f t="shared" si="5"/>
        <v>1</v>
      </c>
      <c r="V393" s="2">
        <f t="shared" si="6"/>
        <v>1</v>
      </c>
    </row>
    <row r="394" ht="14.25" customHeight="1">
      <c r="A394" s="2" t="s">
        <v>421</v>
      </c>
      <c r="B394" s="2" t="s">
        <v>30</v>
      </c>
      <c r="C394" s="2" t="s">
        <v>13</v>
      </c>
      <c r="D394" s="8" t="s">
        <v>630</v>
      </c>
      <c r="E394" s="6">
        <v>45195.0</v>
      </c>
      <c r="F394" s="6">
        <v>45460.0</v>
      </c>
      <c r="G394" s="7">
        <v>5.457855102E9</v>
      </c>
      <c r="H394" s="2" t="s">
        <v>21</v>
      </c>
      <c r="I394" s="2">
        <f t="shared" ref="I394:P394" si="397">IF(ISBLANK(A394)=TRUE,0,1)</f>
        <v>1</v>
      </c>
      <c r="J394" s="2">
        <f t="shared" si="397"/>
        <v>1</v>
      </c>
      <c r="K394" s="2">
        <f t="shared" si="397"/>
        <v>1</v>
      </c>
      <c r="L394" s="2">
        <f t="shared" si="397"/>
        <v>1</v>
      </c>
      <c r="M394" s="2">
        <f t="shared" si="397"/>
        <v>1</v>
      </c>
      <c r="N394" s="2">
        <f t="shared" si="397"/>
        <v>1</v>
      </c>
      <c r="O394" s="2">
        <f t="shared" si="397"/>
        <v>1</v>
      </c>
      <c r="P394" s="2">
        <f t="shared" si="397"/>
        <v>1</v>
      </c>
      <c r="Q394" s="2">
        <f t="shared" si="3"/>
        <v>1</v>
      </c>
      <c r="R394" s="2">
        <f>IF(ISERROR(VLOOKUP(A394, 'Project Reference'!A:A, 1, FALSE)), 0, 1)</f>
        <v>1</v>
      </c>
      <c r="S394" s="2">
        <f>IFERROR(__xludf.DUMMYFUNCTION("IF(AND(REGEXMATCH(D394, B394), REGEXMATCH(D394, C394)), 1, 0)"),1.0)</f>
        <v>1</v>
      </c>
      <c r="T394" s="2">
        <f t="shared" si="4"/>
        <v>1</v>
      </c>
      <c r="U394" s="2">
        <f t="shared" si="5"/>
        <v>1</v>
      </c>
      <c r="V394" s="2">
        <f t="shared" si="6"/>
        <v>1</v>
      </c>
    </row>
    <row r="395" ht="14.25" customHeight="1">
      <c r="A395" s="2" t="s">
        <v>422</v>
      </c>
      <c r="B395" s="2" t="s">
        <v>18</v>
      </c>
      <c r="C395" s="2" t="s">
        <v>31</v>
      </c>
      <c r="D395" s="8" t="s">
        <v>636</v>
      </c>
      <c r="E395" s="6">
        <v>45195.0</v>
      </c>
      <c r="F395" s="6">
        <v>45533.0</v>
      </c>
      <c r="G395" s="7">
        <v>2.054160295E9</v>
      </c>
      <c r="H395" s="2" t="s">
        <v>44</v>
      </c>
      <c r="I395" s="2">
        <f t="shared" ref="I395:P395" si="398">IF(ISBLANK(A395)=TRUE,0,1)</f>
        <v>1</v>
      </c>
      <c r="J395" s="2">
        <f t="shared" si="398"/>
        <v>1</v>
      </c>
      <c r="K395" s="2">
        <f t="shared" si="398"/>
        <v>1</v>
      </c>
      <c r="L395" s="2">
        <f t="shared" si="398"/>
        <v>1</v>
      </c>
      <c r="M395" s="2">
        <f t="shared" si="398"/>
        <v>1</v>
      </c>
      <c r="N395" s="2">
        <f t="shared" si="398"/>
        <v>1</v>
      </c>
      <c r="O395" s="2">
        <f t="shared" si="398"/>
        <v>1</v>
      </c>
      <c r="P395" s="2">
        <f t="shared" si="398"/>
        <v>1</v>
      </c>
      <c r="Q395" s="2">
        <f t="shared" si="3"/>
        <v>1</v>
      </c>
      <c r="R395" s="2">
        <f>IF(ISERROR(VLOOKUP(A395, 'Project Reference'!A:A, 1, FALSE)), 0, 1)</f>
        <v>1</v>
      </c>
      <c r="S395" s="2">
        <f>IFERROR(__xludf.DUMMYFUNCTION("IF(AND(REGEXMATCH(D395, B395), REGEXMATCH(D395, C395)), 1, 0)"),1.0)</f>
        <v>1</v>
      </c>
      <c r="T395" s="2">
        <f t="shared" si="4"/>
        <v>1</v>
      </c>
      <c r="U395" s="2">
        <f t="shared" si="5"/>
        <v>1</v>
      </c>
      <c r="V395" s="2">
        <f t="shared" si="6"/>
        <v>1</v>
      </c>
    </row>
    <row r="396" ht="14.25" customHeight="1">
      <c r="A396" s="2" t="s">
        <v>423</v>
      </c>
      <c r="B396" s="2" t="s">
        <v>18</v>
      </c>
      <c r="C396" s="2" t="s">
        <v>24</v>
      </c>
      <c r="D396" s="8" t="s">
        <v>618</v>
      </c>
      <c r="E396" s="6">
        <v>45196.0</v>
      </c>
      <c r="F396" s="6">
        <v>45429.0</v>
      </c>
      <c r="G396" s="7">
        <v>2.343750073E9</v>
      </c>
      <c r="H396" s="2" t="s">
        <v>44</v>
      </c>
      <c r="I396" s="2">
        <f t="shared" ref="I396:P396" si="399">IF(ISBLANK(A396)=TRUE,0,1)</f>
        <v>1</v>
      </c>
      <c r="J396" s="2">
        <f t="shared" si="399"/>
        <v>1</v>
      </c>
      <c r="K396" s="2">
        <f t="shared" si="399"/>
        <v>1</v>
      </c>
      <c r="L396" s="2">
        <f t="shared" si="399"/>
        <v>1</v>
      </c>
      <c r="M396" s="2">
        <f t="shared" si="399"/>
        <v>1</v>
      </c>
      <c r="N396" s="2">
        <f t="shared" si="399"/>
        <v>1</v>
      </c>
      <c r="O396" s="2">
        <f t="shared" si="399"/>
        <v>1</v>
      </c>
      <c r="P396" s="2">
        <f t="shared" si="399"/>
        <v>1</v>
      </c>
      <c r="Q396" s="2">
        <f t="shared" si="3"/>
        <v>1</v>
      </c>
      <c r="R396" s="2">
        <f>IF(ISERROR(VLOOKUP(A396, 'Project Reference'!A:A, 1, FALSE)), 0, 1)</f>
        <v>1</v>
      </c>
      <c r="S396" s="2">
        <f>IFERROR(__xludf.DUMMYFUNCTION("IF(AND(REGEXMATCH(D396, B396), REGEXMATCH(D396, C396)), 1, 0)"),1.0)</f>
        <v>1</v>
      </c>
      <c r="T396" s="2">
        <f t="shared" si="4"/>
        <v>1</v>
      </c>
      <c r="U396" s="2">
        <f t="shared" si="5"/>
        <v>1</v>
      </c>
      <c r="V396" s="2">
        <f t="shared" si="6"/>
        <v>1</v>
      </c>
    </row>
    <row r="397" ht="14.25" customHeight="1">
      <c r="A397" s="2" t="s">
        <v>424</v>
      </c>
      <c r="B397" s="2" t="s">
        <v>18</v>
      </c>
      <c r="C397" s="2" t="s">
        <v>31</v>
      </c>
      <c r="D397" s="8" t="s">
        <v>636</v>
      </c>
      <c r="E397" s="6">
        <v>45197.0</v>
      </c>
      <c r="F397" s="6">
        <v>45426.0</v>
      </c>
      <c r="G397" s="7">
        <v>1.02526981E9</v>
      </c>
      <c r="H397" s="2" t="s">
        <v>33</v>
      </c>
      <c r="I397" s="2">
        <f t="shared" ref="I397:P397" si="400">IF(ISBLANK(A397)=TRUE,0,1)</f>
        <v>1</v>
      </c>
      <c r="J397" s="2">
        <f t="shared" si="400"/>
        <v>1</v>
      </c>
      <c r="K397" s="2">
        <f t="shared" si="400"/>
        <v>1</v>
      </c>
      <c r="L397" s="2">
        <f t="shared" si="400"/>
        <v>1</v>
      </c>
      <c r="M397" s="2">
        <f t="shared" si="400"/>
        <v>1</v>
      </c>
      <c r="N397" s="2">
        <f t="shared" si="400"/>
        <v>1</v>
      </c>
      <c r="O397" s="2">
        <f t="shared" si="400"/>
        <v>1</v>
      </c>
      <c r="P397" s="2">
        <f t="shared" si="400"/>
        <v>1</v>
      </c>
      <c r="Q397" s="2">
        <f t="shared" si="3"/>
        <v>1</v>
      </c>
      <c r="R397" s="2">
        <f>IF(ISERROR(VLOOKUP(A397, 'Project Reference'!A:A, 1, FALSE)), 0, 1)</f>
        <v>1</v>
      </c>
      <c r="S397" s="2">
        <f>IFERROR(__xludf.DUMMYFUNCTION("IF(AND(REGEXMATCH(D397, B397), REGEXMATCH(D397, C397)), 1, 0)"),1.0)</f>
        <v>1</v>
      </c>
      <c r="T397" s="2">
        <f t="shared" si="4"/>
        <v>1</v>
      </c>
      <c r="U397" s="2">
        <f t="shared" si="5"/>
        <v>1</v>
      </c>
      <c r="V397" s="2">
        <f t="shared" si="6"/>
        <v>1</v>
      </c>
    </row>
    <row r="398" ht="14.25" customHeight="1">
      <c r="A398" s="2" t="s">
        <v>425</v>
      </c>
      <c r="B398" s="2" t="s">
        <v>35</v>
      </c>
      <c r="C398" s="2" t="s">
        <v>13</v>
      </c>
      <c r="D398" s="2" t="s">
        <v>78</v>
      </c>
      <c r="E398" s="6">
        <v>45199.0</v>
      </c>
      <c r="F398" s="6">
        <v>45276.0</v>
      </c>
      <c r="G398" s="7">
        <v>3.50434222E8</v>
      </c>
      <c r="H398" s="2" t="s">
        <v>67</v>
      </c>
      <c r="I398" s="2">
        <f t="shared" ref="I398:P398" si="401">IF(ISBLANK(A398)=TRUE,0,1)</f>
        <v>1</v>
      </c>
      <c r="J398" s="2">
        <f t="shared" si="401"/>
        <v>1</v>
      </c>
      <c r="K398" s="2">
        <f t="shared" si="401"/>
        <v>1</v>
      </c>
      <c r="L398" s="2">
        <f t="shared" si="401"/>
        <v>1</v>
      </c>
      <c r="M398" s="2">
        <f t="shared" si="401"/>
        <v>1</v>
      </c>
      <c r="N398" s="2">
        <f t="shared" si="401"/>
        <v>1</v>
      </c>
      <c r="O398" s="2">
        <f t="shared" si="401"/>
        <v>1</v>
      </c>
      <c r="P398" s="2">
        <f t="shared" si="401"/>
        <v>1</v>
      </c>
      <c r="Q398" s="2">
        <f t="shared" si="3"/>
        <v>1</v>
      </c>
      <c r="R398" s="2">
        <f>IF(ISERROR(VLOOKUP(A398, 'Project Reference'!A:A, 1, FALSE)), 0, 1)</f>
        <v>1</v>
      </c>
      <c r="S398" s="2">
        <f>IFERROR(__xludf.DUMMYFUNCTION("IF(AND(REGEXMATCH(D398, B398), REGEXMATCH(D398, C398)), 1, 0)"),1.0)</f>
        <v>1</v>
      </c>
      <c r="T398" s="2">
        <f t="shared" si="4"/>
        <v>1</v>
      </c>
      <c r="U398" s="2">
        <f t="shared" si="5"/>
        <v>1</v>
      </c>
      <c r="V398" s="2">
        <f t="shared" si="6"/>
        <v>1</v>
      </c>
    </row>
    <row r="399" ht="14.25" customHeight="1">
      <c r="A399" s="2" t="s">
        <v>426</v>
      </c>
      <c r="B399" s="2" t="s">
        <v>12</v>
      </c>
      <c r="C399" s="2" t="s">
        <v>48</v>
      </c>
      <c r="D399" s="8" t="s">
        <v>602</v>
      </c>
      <c r="E399" s="6">
        <v>45201.0</v>
      </c>
      <c r="F399" s="6">
        <v>45418.0</v>
      </c>
      <c r="G399" s="7">
        <v>4.97218843E8</v>
      </c>
      <c r="H399" s="2" t="s">
        <v>67</v>
      </c>
      <c r="I399" s="2">
        <f t="shared" ref="I399:P399" si="402">IF(ISBLANK(A399)=TRUE,0,1)</f>
        <v>1</v>
      </c>
      <c r="J399" s="2">
        <f t="shared" si="402"/>
        <v>1</v>
      </c>
      <c r="K399" s="2">
        <f t="shared" si="402"/>
        <v>1</v>
      </c>
      <c r="L399" s="2">
        <f t="shared" si="402"/>
        <v>1</v>
      </c>
      <c r="M399" s="2">
        <f t="shared" si="402"/>
        <v>1</v>
      </c>
      <c r="N399" s="2">
        <f t="shared" si="402"/>
        <v>1</v>
      </c>
      <c r="O399" s="2">
        <f t="shared" si="402"/>
        <v>1</v>
      </c>
      <c r="P399" s="2">
        <f t="shared" si="402"/>
        <v>1</v>
      </c>
      <c r="Q399" s="2">
        <f t="shared" si="3"/>
        <v>1</v>
      </c>
      <c r="R399" s="2">
        <f>IF(ISERROR(VLOOKUP(A399, 'Project Reference'!A:A, 1, FALSE)), 0, 1)</f>
        <v>1</v>
      </c>
      <c r="S399" s="2">
        <f>IFERROR(__xludf.DUMMYFUNCTION("IF(AND(REGEXMATCH(D399, B399), REGEXMATCH(D399, C399)), 1, 0)"),1.0)</f>
        <v>1</v>
      </c>
      <c r="T399" s="2">
        <f t="shared" si="4"/>
        <v>1</v>
      </c>
      <c r="U399" s="2">
        <f t="shared" si="5"/>
        <v>1</v>
      </c>
      <c r="V399" s="2">
        <f t="shared" si="6"/>
        <v>1</v>
      </c>
    </row>
    <row r="400" ht="14.25" customHeight="1">
      <c r="A400" s="2" t="s">
        <v>427</v>
      </c>
      <c r="B400" s="2" t="s">
        <v>12</v>
      </c>
      <c r="C400" s="2" t="s">
        <v>42</v>
      </c>
      <c r="D400" s="8" t="s">
        <v>603</v>
      </c>
      <c r="E400" s="6">
        <v>45201.0</v>
      </c>
      <c r="F400" s="6">
        <v>45499.0</v>
      </c>
      <c r="G400" s="7">
        <v>8.72130533E8</v>
      </c>
      <c r="H400" s="8" t="s">
        <v>573</v>
      </c>
      <c r="I400" s="2">
        <f t="shared" ref="I400:P400" si="403">IF(ISBLANK(A400)=TRUE,0,1)</f>
        <v>1</v>
      </c>
      <c r="J400" s="2">
        <f t="shared" si="403"/>
        <v>1</v>
      </c>
      <c r="K400" s="2">
        <f t="shared" si="403"/>
        <v>1</v>
      </c>
      <c r="L400" s="2">
        <f t="shared" si="403"/>
        <v>1</v>
      </c>
      <c r="M400" s="2">
        <f t="shared" si="403"/>
        <v>1</v>
      </c>
      <c r="N400" s="2">
        <f t="shared" si="403"/>
        <v>1</v>
      </c>
      <c r="O400" s="2">
        <f t="shared" si="403"/>
        <v>1</v>
      </c>
      <c r="P400" s="2">
        <f t="shared" si="403"/>
        <v>1</v>
      </c>
      <c r="Q400" s="2">
        <f t="shared" si="3"/>
        <v>1</v>
      </c>
      <c r="R400" s="2">
        <f>IF(ISERROR(VLOOKUP(A400, 'Project Reference'!A:A, 1, FALSE)), 0, 1)</f>
        <v>1</v>
      </c>
      <c r="S400" s="2">
        <f>IFERROR(__xludf.DUMMYFUNCTION("IF(AND(REGEXMATCH(D400, B400), REGEXMATCH(D400, C400)), 1, 0)"),1.0)</f>
        <v>1</v>
      </c>
      <c r="T400" s="2">
        <f t="shared" si="4"/>
        <v>1</v>
      </c>
      <c r="U400" s="2">
        <f t="shared" si="5"/>
        <v>1</v>
      </c>
      <c r="V400" s="2">
        <f t="shared" si="6"/>
        <v>1</v>
      </c>
    </row>
    <row r="401" ht="14.25" customHeight="1">
      <c r="A401" s="2" t="s">
        <v>428</v>
      </c>
      <c r="B401" s="2" t="s">
        <v>60</v>
      </c>
      <c r="C401" s="2" t="s">
        <v>24</v>
      </c>
      <c r="D401" s="8" t="s">
        <v>575</v>
      </c>
      <c r="E401" s="6">
        <v>45202.0</v>
      </c>
      <c r="F401" s="6">
        <v>45487.0</v>
      </c>
      <c r="G401" s="7">
        <v>4.90701278E9</v>
      </c>
      <c r="H401" s="2" t="s">
        <v>44</v>
      </c>
      <c r="I401" s="2">
        <f t="shared" ref="I401:P401" si="404">IF(ISBLANK(A401)=TRUE,0,1)</f>
        <v>1</v>
      </c>
      <c r="J401" s="2">
        <f t="shared" si="404"/>
        <v>1</v>
      </c>
      <c r="K401" s="2">
        <f t="shared" si="404"/>
        <v>1</v>
      </c>
      <c r="L401" s="2">
        <f t="shared" si="404"/>
        <v>1</v>
      </c>
      <c r="M401" s="2">
        <f t="shared" si="404"/>
        <v>1</v>
      </c>
      <c r="N401" s="2">
        <f t="shared" si="404"/>
        <v>1</v>
      </c>
      <c r="O401" s="2">
        <f t="shared" si="404"/>
        <v>1</v>
      </c>
      <c r="P401" s="2">
        <f t="shared" si="404"/>
        <v>1</v>
      </c>
      <c r="Q401" s="2">
        <f t="shared" si="3"/>
        <v>1</v>
      </c>
      <c r="R401" s="2">
        <f>IF(ISERROR(VLOOKUP(A401, 'Project Reference'!A:A, 1, FALSE)), 0, 1)</f>
        <v>1</v>
      </c>
      <c r="S401" s="2">
        <f>IFERROR(__xludf.DUMMYFUNCTION("IF(AND(REGEXMATCH(D401, B401), REGEXMATCH(D401, C401)), 1, 0)"),1.0)</f>
        <v>1</v>
      </c>
      <c r="T401" s="2">
        <f t="shared" si="4"/>
        <v>1</v>
      </c>
      <c r="U401" s="2">
        <f t="shared" si="5"/>
        <v>1</v>
      </c>
      <c r="V401" s="2">
        <f t="shared" si="6"/>
        <v>1</v>
      </c>
    </row>
    <row r="402" ht="14.25" customHeight="1">
      <c r="A402" s="2" t="s">
        <v>429</v>
      </c>
      <c r="B402" s="2" t="s">
        <v>60</v>
      </c>
      <c r="C402" s="2" t="s">
        <v>42</v>
      </c>
      <c r="D402" s="8" t="s">
        <v>587</v>
      </c>
      <c r="E402" s="6">
        <v>45202.0</v>
      </c>
      <c r="F402" s="6">
        <v>45456.0</v>
      </c>
      <c r="G402" s="7">
        <v>3.253936748E9</v>
      </c>
      <c r="H402" s="2" t="s">
        <v>50</v>
      </c>
      <c r="I402" s="2">
        <f t="shared" ref="I402:P402" si="405">IF(ISBLANK(A402)=TRUE,0,1)</f>
        <v>1</v>
      </c>
      <c r="J402" s="2">
        <f t="shared" si="405"/>
        <v>1</v>
      </c>
      <c r="K402" s="2">
        <f t="shared" si="405"/>
        <v>1</v>
      </c>
      <c r="L402" s="2">
        <f t="shared" si="405"/>
        <v>1</v>
      </c>
      <c r="M402" s="2">
        <f t="shared" si="405"/>
        <v>1</v>
      </c>
      <c r="N402" s="2">
        <f t="shared" si="405"/>
        <v>1</v>
      </c>
      <c r="O402" s="2">
        <f t="shared" si="405"/>
        <v>1</v>
      </c>
      <c r="P402" s="2">
        <f t="shared" si="405"/>
        <v>1</v>
      </c>
      <c r="Q402" s="2">
        <f t="shared" si="3"/>
        <v>1</v>
      </c>
      <c r="R402" s="2">
        <f>IF(ISERROR(VLOOKUP(A402, 'Project Reference'!A:A, 1, FALSE)), 0, 1)</f>
        <v>1</v>
      </c>
      <c r="S402" s="2">
        <f>IFERROR(__xludf.DUMMYFUNCTION("IF(AND(REGEXMATCH(D402, B402), REGEXMATCH(D402, C402)), 1, 0)"),1.0)</f>
        <v>1</v>
      </c>
      <c r="T402" s="2">
        <f t="shared" si="4"/>
        <v>1</v>
      </c>
      <c r="U402" s="2">
        <f t="shared" si="5"/>
        <v>1</v>
      </c>
      <c r="V402" s="2">
        <f t="shared" si="6"/>
        <v>1</v>
      </c>
    </row>
    <row r="403" ht="14.25" customHeight="1">
      <c r="A403" s="2" t="s">
        <v>431</v>
      </c>
      <c r="B403" s="2" t="s">
        <v>30</v>
      </c>
      <c r="C403" s="2" t="s">
        <v>42</v>
      </c>
      <c r="D403" s="8" t="s">
        <v>632</v>
      </c>
      <c r="E403" s="6">
        <v>45202.0</v>
      </c>
      <c r="F403" s="6">
        <v>45551.0</v>
      </c>
      <c r="G403" s="7">
        <v>1.635038686E9</v>
      </c>
      <c r="H403" s="2" t="s">
        <v>67</v>
      </c>
      <c r="I403" s="2">
        <f t="shared" ref="I403:P403" si="406">IF(ISBLANK(A403)=TRUE,0,1)</f>
        <v>1</v>
      </c>
      <c r="J403" s="2">
        <f t="shared" si="406"/>
        <v>1</v>
      </c>
      <c r="K403" s="2">
        <f t="shared" si="406"/>
        <v>1</v>
      </c>
      <c r="L403" s="2">
        <f t="shared" si="406"/>
        <v>1</v>
      </c>
      <c r="M403" s="2">
        <f t="shared" si="406"/>
        <v>1</v>
      </c>
      <c r="N403" s="2">
        <f t="shared" si="406"/>
        <v>1</v>
      </c>
      <c r="O403" s="2">
        <f t="shared" si="406"/>
        <v>1</v>
      </c>
      <c r="P403" s="2">
        <f t="shared" si="406"/>
        <v>1</v>
      </c>
      <c r="Q403" s="2">
        <f t="shared" si="3"/>
        <v>1</v>
      </c>
      <c r="R403" s="2">
        <f>IF(ISERROR(VLOOKUP(A403, 'Project Reference'!A:A, 1, FALSE)), 0, 1)</f>
        <v>1</v>
      </c>
      <c r="S403" s="2">
        <f>IFERROR(__xludf.DUMMYFUNCTION("IF(AND(REGEXMATCH(D403, B403), REGEXMATCH(D403, C403)), 1, 0)"),1.0)</f>
        <v>1</v>
      </c>
      <c r="T403" s="2">
        <f t="shared" si="4"/>
        <v>1</v>
      </c>
      <c r="U403" s="2">
        <f t="shared" si="5"/>
        <v>1</v>
      </c>
      <c r="V403" s="2">
        <f t="shared" si="6"/>
        <v>1</v>
      </c>
    </row>
    <row r="404" ht="14.25" customHeight="1">
      <c r="A404" s="2" t="s">
        <v>432</v>
      </c>
      <c r="B404" s="2" t="s">
        <v>18</v>
      </c>
      <c r="C404" s="2" t="s">
        <v>42</v>
      </c>
      <c r="D404" s="8" t="s">
        <v>621</v>
      </c>
      <c r="E404" s="6">
        <v>45202.0</v>
      </c>
      <c r="F404" s="6">
        <v>45532.0</v>
      </c>
      <c r="G404" s="7">
        <v>9.829087531E9</v>
      </c>
      <c r="H404" s="2" t="s">
        <v>21</v>
      </c>
      <c r="I404" s="2">
        <f t="shared" ref="I404:P404" si="407">IF(ISBLANK(A404)=TRUE,0,1)</f>
        <v>1</v>
      </c>
      <c r="J404" s="2">
        <f t="shared" si="407"/>
        <v>1</v>
      </c>
      <c r="K404" s="2">
        <f t="shared" si="407"/>
        <v>1</v>
      </c>
      <c r="L404" s="2">
        <f t="shared" si="407"/>
        <v>1</v>
      </c>
      <c r="M404" s="2">
        <f t="shared" si="407"/>
        <v>1</v>
      </c>
      <c r="N404" s="2">
        <f t="shared" si="407"/>
        <v>1</v>
      </c>
      <c r="O404" s="2">
        <f t="shared" si="407"/>
        <v>1</v>
      </c>
      <c r="P404" s="2">
        <f t="shared" si="407"/>
        <v>1</v>
      </c>
      <c r="Q404" s="2">
        <f t="shared" si="3"/>
        <v>1</v>
      </c>
      <c r="R404" s="2">
        <f>IF(ISERROR(VLOOKUP(A404, 'Project Reference'!A:A, 1, FALSE)), 0, 1)</f>
        <v>1</v>
      </c>
      <c r="S404" s="2">
        <f>IFERROR(__xludf.DUMMYFUNCTION("IF(AND(REGEXMATCH(D404, B404), REGEXMATCH(D404, C404)), 1, 0)"),1.0)</f>
        <v>1</v>
      </c>
      <c r="T404" s="2">
        <f t="shared" si="4"/>
        <v>1</v>
      </c>
      <c r="U404" s="2">
        <f t="shared" si="5"/>
        <v>1</v>
      </c>
      <c r="V404" s="2">
        <f t="shared" si="6"/>
        <v>1</v>
      </c>
    </row>
    <row r="405" ht="14.25" customHeight="1">
      <c r="A405" s="2" t="s">
        <v>433</v>
      </c>
      <c r="B405" s="2" t="s">
        <v>18</v>
      </c>
      <c r="C405" s="2" t="s">
        <v>48</v>
      </c>
      <c r="D405" s="8" t="s">
        <v>629</v>
      </c>
      <c r="E405" s="6">
        <v>45202.0</v>
      </c>
      <c r="F405" s="6">
        <v>45387.0</v>
      </c>
      <c r="G405" s="7">
        <v>1.057037862E9</v>
      </c>
      <c r="H405" s="8" t="s">
        <v>573</v>
      </c>
      <c r="I405" s="2">
        <f t="shared" ref="I405:P405" si="408">IF(ISBLANK(A405)=TRUE,0,1)</f>
        <v>1</v>
      </c>
      <c r="J405" s="2">
        <f t="shared" si="408"/>
        <v>1</v>
      </c>
      <c r="K405" s="2">
        <f t="shared" si="408"/>
        <v>1</v>
      </c>
      <c r="L405" s="2">
        <f t="shared" si="408"/>
        <v>1</v>
      </c>
      <c r="M405" s="2">
        <f t="shared" si="408"/>
        <v>1</v>
      </c>
      <c r="N405" s="2">
        <f t="shared" si="408"/>
        <v>1</v>
      </c>
      <c r="O405" s="2">
        <f t="shared" si="408"/>
        <v>1</v>
      </c>
      <c r="P405" s="2">
        <f t="shared" si="408"/>
        <v>1</v>
      </c>
      <c r="Q405" s="2">
        <f t="shared" si="3"/>
        <v>1</v>
      </c>
      <c r="R405" s="2">
        <f>IF(ISERROR(VLOOKUP(A405, 'Project Reference'!A:A, 1, FALSE)), 0, 1)</f>
        <v>1</v>
      </c>
      <c r="S405" s="2">
        <f>IFERROR(__xludf.DUMMYFUNCTION("IF(AND(REGEXMATCH(D405, B405), REGEXMATCH(D405, C405)), 1, 0)"),1.0)</f>
        <v>1</v>
      </c>
      <c r="T405" s="2">
        <f t="shared" si="4"/>
        <v>1</v>
      </c>
      <c r="U405" s="2">
        <f t="shared" si="5"/>
        <v>1</v>
      </c>
      <c r="V405" s="2">
        <f t="shared" si="6"/>
        <v>1</v>
      </c>
    </row>
    <row r="406" ht="14.25" customHeight="1">
      <c r="A406" s="2" t="s">
        <v>434</v>
      </c>
      <c r="B406" s="2" t="s">
        <v>30</v>
      </c>
      <c r="C406" s="2" t="s">
        <v>36</v>
      </c>
      <c r="D406" s="8" t="s">
        <v>639</v>
      </c>
      <c r="E406" s="6">
        <v>45203.0</v>
      </c>
      <c r="F406" s="6">
        <v>45407.0</v>
      </c>
      <c r="G406" s="7">
        <v>5.469982538E9</v>
      </c>
      <c r="H406" s="2" t="s">
        <v>44</v>
      </c>
      <c r="I406" s="2">
        <f t="shared" ref="I406:P406" si="409">IF(ISBLANK(A406)=TRUE,0,1)</f>
        <v>1</v>
      </c>
      <c r="J406" s="2">
        <f t="shared" si="409"/>
        <v>1</v>
      </c>
      <c r="K406" s="2">
        <f t="shared" si="409"/>
        <v>1</v>
      </c>
      <c r="L406" s="2">
        <f t="shared" si="409"/>
        <v>1</v>
      </c>
      <c r="M406" s="2">
        <f t="shared" si="409"/>
        <v>1</v>
      </c>
      <c r="N406" s="2">
        <f t="shared" si="409"/>
        <v>1</v>
      </c>
      <c r="O406" s="2">
        <f t="shared" si="409"/>
        <v>1</v>
      </c>
      <c r="P406" s="2">
        <f t="shared" si="409"/>
        <v>1</v>
      </c>
      <c r="Q406" s="2">
        <f t="shared" si="3"/>
        <v>1</v>
      </c>
      <c r="R406" s="2">
        <f>IF(ISERROR(VLOOKUP(A406, 'Project Reference'!A:A, 1, FALSE)), 0, 1)</f>
        <v>1</v>
      </c>
      <c r="S406" s="2">
        <f>IFERROR(__xludf.DUMMYFUNCTION("IF(AND(REGEXMATCH(D406, B406), REGEXMATCH(D406, C406)), 1, 0)"),1.0)</f>
        <v>1</v>
      </c>
      <c r="T406" s="2">
        <f t="shared" si="4"/>
        <v>1</v>
      </c>
      <c r="U406" s="2">
        <f t="shared" si="5"/>
        <v>1</v>
      </c>
      <c r="V406" s="2">
        <f t="shared" si="6"/>
        <v>1</v>
      </c>
    </row>
    <row r="407" ht="14.25" customHeight="1">
      <c r="A407" s="2" t="s">
        <v>435</v>
      </c>
      <c r="B407" s="2" t="s">
        <v>30</v>
      </c>
      <c r="C407" s="2" t="s">
        <v>13</v>
      </c>
      <c r="D407" s="8" t="s">
        <v>630</v>
      </c>
      <c r="E407" s="6">
        <v>45204.0</v>
      </c>
      <c r="F407" s="6">
        <v>45308.0</v>
      </c>
      <c r="G407" s="7">
        <v>5.05551529E9</v>
      </c>
      <c r="H407" s="2" t="s">
        <v>67</v>
      </c>
      <c r="I407" s="2">
        <f t="shared" ref="I407:P407" si="410">IF(ISBLANK(A407)=TRUE,0,1)</f>
        <v>1</v>
      </c>
      <c r="J407" s="2">
        <f t="shared" si="410"/>
        <v>1</v>
      </c>
      <c r="K407" s="2">
        <f t="shared" si="410"/>
        <v>1</v>
      </c>
      <c r="L407" s="2">
        <f t="shared" si="410"/>
        <v>1</v>
      </c>
      <c r="M407" s="2">
        <f t="shared" si="410"/>
        <v>1</v>
      </c>
      <c r="N407" s="2">
        <f t="shared" si="410"/>
        <v>1</v>
      </c>
      <c r="O407" s="2">
        <f t="shared" si="410"/>
        <v>1</v>
      </c>
      <c r="P407" s="2">
        <f t="shared" si="410"/>
        <v>1</v>
      </c>
      <c r="Q407" s="2">
        <f t="shared" si="3"/>
        <v>1</v>
      </c>
      <c r="R407" s="2">
        <f>IF(ISERROR(VLOOKUP(A407, 'Project Reference'!A:A, 1, FALSE)), 0, 1)</f>
        <v>1</v>
      </c>
      <c r="S407" s="2">
        <f>IFERROR(__xludf.DUMMYFUNCTION("IF(AND(REGEXMATCH(D407, B407), REGEXMATCH(D407, C407)), 1, 0)"),1.0)</f>
        <v>1</v>
      </c>
      <c r="T407" s="2">
        <f t="shared" si="4"/>
        <v>1</v>
      </c>
      <c r="U407" s="2">
        <f t="shared" si="5"/>
        <v>1</v>
      </c>
      <c r="V407" s="2">
        <f t="shared" si="6"/>
        <v>1</v>
      </c>
    </row>
    <row r="408" ht="14.25" customHeight="1">
      <c r="A408" s="2" t="s">
        <v>437</v>
      </c>
      <c r="B408" s="2" t="s">
        <v>30</v>
      </c>
      <c r="C408" s="2" t="s">
        <v>36</v>
      </c>
      <c r="D408" s="8" t="s">
        <v>614</v>
      </c>
      <c r="E408" s="6">
        <v>45205.0</v>
      </c>
      <c r="F408" s="6">
        <v>45384.0</v>
      </c>
      <c r="G408" s="7">
        <v>6.904869726E9</v>
      </c>
      <c r="H408" s="8" t="s">
        <v>573</v>
      </c>
      <c r="I408" s="2">
        <f t="shared" ref="I408:P408" si="411">IF(ISBLANK(A408)=TRUE,0,1)</f>
        <v>1</v>
      </c>
      <c r="J408" s="2">
        <f t="shared" si="411"/>
        <v>1</v>
      </c>
      <c r="K408" s="2">
        <f t="shared" si="411"/>
        <v>1</v>
      </c>
      <c r="L408" s="2">
        <f t="shared" si="411"/>
        <v>1</v>
      </c>
      <c r="M408" s="2">
        <f t="shared" si="411"/>
        <v>1</v>
      </c>
      <c r="N408" s="2">
        <f t="shared" si="411"/>
        <v>1</v>
      </c>
      <c r="O408" s="2">
        <f t="shared" si="411"/>
        <v>1</v>
      </c>
      <c r="P408" s="2">
        <f t="shared" si="411"/>
        <v>1</v>
      </c>
      <c r="Q408" s="2">
        <f t="shared" si="3"/>
        <v>1</v>
      </c>
      <c r="R408" s="2">
        <f>IF(ISERROR(VLOOKUP(A408, 'Project Reference'!A:A, 1, FALSE)), 0, 1)</f>
        <v>1</v>
      </c>
      <c r="S408" s="2">
        <f>IFERROR(__xludf.DUMMYFUNCTION("IF(AND(REGEXMATCH(D408, B408), REGEXMATCH(D408, C408)), 1, 0)"),1.0)</f>
        <v>1</v>
      </c>
      <c r="T408" s="2">
        <f t="shared" si="4"/>
        <v>1</v>
      </c>
      <c r="U408" s="2">
        <f t="shared" si="5"/>
        <v>1</v>
      </c>
      <c r="V408" s="2">
        <f t="shared" si="6"/>
        <v>1</v>
      </c>
    </row>
    <row r="409" ht="14.25" customHeight="1">
      <c r="A409" s="2" t="s">
        <v>439</v>
      </c>
      <c r="B409" s="2" t="s">
        <v>12</v>
      </c>
      <c r="C409" s="2" t="s">
        <v>36</v>
      </c>
      <c r="D409" s="8" t="s">
        <v>578</v>
      </c>
      <c r="E409" s="6">
        <v>45205.0</v>
      </c>
      <c r="F409" s="6">
        <v>45535.0</v>
      </c>
      <c r="G409" s="7">
        <v>8.88436167E8</v>
      </c>
      <c r="H409" s="8" t="s">
        <v>573</v>
      </c>
      <c r="I409" s="2">
        <f t="shared" ref="I409:P409" si="412">IF(ISBLANK(A409)=TRUE,0,1)</f>
        <v>1</v>
      </c>
      <c r="J409" s="2">
        <f t="shared" si="412"/>
        <v>1</v>
      </c>
      <c r="K409" s="2">
        <f t="shared" si="412"/>
        <v>1</v>
      </c>
      <c r="L409" s="2">
        <f t="shared" si="412"/>
        <v>1</v>
      </c>
      <c r="M409" s="2">
        <f t="shared" si="412"/>
        <v>1</v>
      </c>
      <c r="N409" s="2">
        <f t="shared" si="412"/>
        <v>1</v>
      </c>
      <c r="O409" s="2">
        <f t="shared" si="412"/>
        <v>1</v>
      </c>
      <c r="P409" s="2">
        <f t="shared" si="412"/>
        <v>1</v>
      </c>
      <c r="Q409" s="2">
        <f t="shared" si="3"/>
        <v>1</v>
      </c>
      <c r="R409" s="2">
        <f>IF(ISERROR(VLOOKUP(A409, 'Project Reference'!A:A, 1, FALSE)), 0, 1)</f>
        <v>1</v>
      </c>
      <c r="S409" s="2">
        <f>IFERROR(__xludf.DUMMYFUNCTION("IF(AND(REGEXMATCH(D409, B409), REGEXMATCH(D409, C409)), 1, 0)"),1.0)</f>
        <v>1</v>
      </c>
      <c r="T409" s="2">
        <f t="shared" si="4"/>
        <v>1</v>
      </c>
      <c r="U409" s="2">
        <f t="shared" si="5"/>
        <v>1</v>
      </c>
      <c r="V409" s="2">
        <f t="shared" si="6"/>
        <v>1</v>
      </c>
    </row>
    <row r="410" ht="14.25" customHeight="1">
      <c r="A410" s="2" t="s">
        <v>440</v>
      </c>
      <c r="B410" s="2" t="s">
        <v>30</v>
      </c>
      <c r="C410" s="2" t="s">
        <v>39</v>
      </c>
      <c r="D410" s="8" t="s">
        <v>590</v>
      </c>
      <c r="E410" s="6">
        <v>45205.0</v>
      </c>
      <c r="F410" s="6">
        <v>45283.0</v>
      </c>
      <c r="G410" s="7">
        <v>1.354806627E9</v>
      </c>
      <c r="H410" s="2" t="s">
        <v>44</v>
      </c>
      <c r="I410" s="2">
        <f t="shared" ref="I410:P410" si="413">IF(ISBLANK(A410)=TRUE,0,1)</f>
        <v>1</v>
      </c>
      <c r="J410" s="2">
        <f t="shared" si="413"/>
        <v>1</v>
      </c>
      <c r="K410" s="2">
        <f t="shared" si="413"/>
        <v>1</v>
      </c>
      <c r="L410" s="2">
        <f t="shared" si="413"/>
        <v>1</v>
      </c>
      <c r="M410" s="2">
        <f t="shared" si="413"/>
        <v>1</v>
      </c>
      <c r="N410" s="2">
        <f t="shared" si="413"/>
        <v>1</v>
      </c>
      <c r="O410" s="2">
        <f t="shared" si="413"/>
        <v>1</v>
      </c>
      <c r="P410" s="2">
        <f t="shared" si="413"/>
        <v>1</v>
      </c>
      <c r="Q410" s="2">
        <f t="shared" si="3"/>
        <v>1</v>
      </c>
      <c r="R410" s="2">
        <f>IF(ISERROR(VLOOKUP(A410, 'Project Reference'!A:A, 1, FALSE)), 0, 1)</f>
        <v>1</v>
      </c>
      <c r="S410" s="2">
        <f>IFERROR(__xludf.DUMMYFUNCTION("IF(AND(REGEXMATCH(D410, B410), REGEXMATCH(D410, C410)), 1, 0)"),1.0)</f>
        <v>1</v>
      </c>
      <c r="T410" s="2">
        <f t="shared" si="4"/>
        <v>1</v>
      </c>
      <c r="U410" s="2">
        <f t="shared" si="5"/>
        <v>1</v>
      </c>
      <c r="V410" s="2">
        <f t="shared" si="6"/>
        <v>1</v>
      </c>
    </row>
    <row r="411" ht="14.25" customHeight="1">
      <c r="A411" s="2" t="s">
        <v>441</v>
      </c>
      <c r="B411" s="2" t="s">
        <v>12</v>
      </c>
      <c r="C411" s="2" t="s">
        <v>31</v>
      </c>
      <c r="D411" s="8" t="s">
        <v>593</v>
      </c>
      <c r="E411" s="6">
        <v>45206.0</v>
      </c>
      <c r="F411" s="6">
        <v>45293.0</v>
      </c>
      <c r="G411" s="7">
        <v>9.84605716E8</v>
      </c>
      <c r="H411" s="2" t="s">
        <v>50</v>
      </c>
      <c r="I411" s="2">
        <f t="shared" ref="I411:P411" si="414">IF(ISBLANK(A411)=TRUE,0,1)</f>
        <v>1</v>
      </c>
      <c r="J411" s="2">
        <f t="shared" si="414"/>
        <v>1</v>
      </c>
      <c r="K411" s="2">
        <f t="shared" si="414"/>
        <v>1</v>
      </c>
      <c r="L411" s="2">
        <f t="shared" si="414"/>
        <v>1</v>
      </c>
      <c r="M411" s="2">
        <f t="shared" si="414"/>
        <v>1</v>
      </c>
      <c r="N411" s="2">
        <f t="shared" si="414"/>
        <v>1</v>
      </c>
      <c r="O411" s="2">
        <f t="shared" si="414"/>
        <v>1</v>
      </c>
      <c r="P411" s="2">
        <f t="shared" si="414"/>
        <v>1</v>
      </c>
      <c r="Q411" s="2">
        <f t="shared" si="3"/>
        <v>1</v>
      </c>
      <c r="R411" s="2">
        <f>IF(ISERROR(VLOOKUP(A411, 'Project Reference'!A:A, 1, FALSE)), 0, 1)</f>
        <v>1</v>
      </c>
      <c r="S411" s="2">
        <f>IFERROR(__xludf.DUMMYFUNCTION("IF(AND(REGEXMATCH(D411, B411), REGEXMATCH(D411, C411)), 1, 0)"),1.0)</f>
        <v>1</v>
      </c>
      <c r="T411" s="2">
        <f t="shared" si="4"/>
        <v>1</v>
      </c>
      <c r="U411" s="2">
        <f t="shared" si="5"/>
        <v>1</v>
      </c>
      <c r="V411" s="2">
        <f t="shared" si="6"/>
        <v>1</v>
      </c>
    </row>
    <row r="412" ht="14.25" customHeight="1">
      <c r="A412" s="2" t="s">
        <v>442</v>
      </c>
      <c r="B412" s="2" t="s">
        <v>12</v>
      </c>
      <c r="C412" s="2" t="s">
        <v>36</v>
      </c>
      <c r="D412" s="8" t="s">
        <v>578</v>
      </c>
      <c r="E412" s="6">
        <v>45207.0</v>
      </c>
      <c r="F412" s="6">
        <v>45141.0</v>
      </c>
      <c r="G412" s="7">
        <v>3.71601786E8</v>
      </c>
      <c r="H412" s="8" t="s">
        <v>573</v>
      </c>
      <c r="I412" s="2">
        <f t="shared" ref="I412:P412" si="415">IF(ISBLANK(A412)=TRUE,0,1)</f>
        <v>1</v>
      </c>
      <c r="J412" s="2">
        <f t="shared" si="415"/>
        <v>1</v>
      </c>
      <c r="K412" s="2">
        <f t="shared" si="415"/>
        <v>1</v>
      </c>
      <c r="L412" s="2">
        <f t="shared" si="415"/>
        <v>1</v>
      </c>
      <c r="M412" s="2">
        <f t="shared" si="415"/>
        <v>1</v>
      </c>
      <c r="N412" s="2">
        <f t="shared" si="415"/>
        <v>1</v>
      </c>
      <c r="O412" s="2">
        <f t="shared" si="415"/>
        <v>1</v>
      </c>
      <c r="P412" s="2">
        <f t="shared" si="415"/>
        <v>1</v>
      </c>
      <c r="Q412" s="2">
        <f t="shared" si="3"/>
        <v>1</v>
      </c>
      <c r="R412" s="2">
        <f>IF(ISERROR(VLOOKUP(A412, 'Project Reference'!A:A, 1, FALSE)), 0, 1)</f>
        <v>1</v>
      </c>
      <c r="S412" s="2">
        <f>IFERROR(__xludf.DUMMYFUNCTION("IF(AND(REGEXMATCH(D412, B412), REGEXMATCH(D412, C412)), 1, 0)"),1.0)</f>
        <v>1</v>
      </c>
      <c r="T412" s="2">
        <f t="shared" si="4"/>
        <v>1</v>
      </c>
      <c r="U412" s="2">
        <f t="shared" si="5"/>
        <v>0</v>
      </c>
      <c r="V412" s="2">
        <f t="shared" si="6"/>
        <v>1</v>
      </c>
    </row>
    <row r="413" ht="14.25" customHeight="1">
      <c r="A413" s="2" t="s">
        <v>443</v>
      </c>
      <c r="B413" s="2" t="s">
        <v>12</v>
      </c>
      <c r="C413" s="2" t="s">
        <v>24</v>
      </c>
      <c r="D413" s="8" t="s">
        <v>610</v>
      </c>
      <c r="E413" s="6">
        <v>45207.0</v>
      </c>
      <c r="F413" s="6">
        <v>45396.0</v>
      </c>
      <c r="G413" s="7">
        <v>5.16197294E8</v>
      </c>
      <c r="H413" s="2" t="s">
        <v>21</v>
      </c>
      <c r="I413" s="2">
        <f t="shared" ref="I413:P413" si="416">IF(ISBLANK(A413)=TRUE,0,1)</f>
        <v>1</v>
      </c>
      <c r="J413" s="2">
        <f t="shared" si="416"/>
        <v>1</v>
      </c>
      <c r="K413" s="2">
        <f t="shared" si="416"/>
        <v>1</v>
      </c>
      <c r="L413" s="2">
        <f t="shared" si="416"/>
        <v>1</v>
      </c>
      <c r="M413" s="2">
        <f t="shared" si="416"/>
        <v>1</v>
      </c>
      <c r="N413" s="2">
        <f t="shared" si="416"/>
        <v>1</v>
      </c>
      <c r="O413" s="2">
        <f t="shared" si="416"/>
        <v>1</v>
      </c>
      <c r="P413" s="2">
        <f t="shared" si="416"/>
        <v>1</v>
      </c>
      <c r="Q413" s="2">
        <f t="shared" si="3"/>
        <v>1</v>
      </c>
      <c r="R413" s="2">
        <f>IF(ISERROR(VLOOKUP(A413, 'Project Reference'!A:A, 1, FALSE)), 0, 1)</f>
        <v>1</v>
      </c>
      <c r="S413" s="2">
        <f>IFERROR(__xludf.DUMMYFUNCTION("IF(AND(REGEXMATCH(D413, B413), REGEXMATCH(D413, C413)), 1, 0)"),1.0)</f>
        <v>1</v>
      </c>
      <c r="T413" s="2">
        <f t="shared" si="4"/>
        <v>1</v>
      </c>
      <c r="U413" s="2">
        <f t="shared" si="5"/>
        <v>1</v>
      </c>
      <c r="V413" s="2">
        <f t="shared" si="6"/>
        <v>1</v>
      </c>
    </row>
    <row r="414" ht="14.25" customHeight="1">
      <c r="A414" s="2" t="s">
        <v>444</v>
      </c>
      <c r="B414" s="2" t="s">
        <v>12</v>
      </c>
      <c r="C414" s="2" t="s">
        <v>48</v>
      </c>
      <c r="D414" s="8" t="s">
        <v>602</v>
      </c>
      <c r="E414" s="6">
        <v>45207.0</v>
      </c>
      <c r="F414" s="6">
        <v>45572.0</v>
      </c>
      <c r="G414" s="7">
        <v>5.40697362E8</v>
      </c>
      <c r="H414" s="2" t="s">
        <v>67</v>
      </c>
      <c r="I414" s="2">
        <f t="shared" ref="I414:P414" si="417">IF(ISBLANK(A414)=TRUE,0,1)</f>
        <v>1</v>
      </c>
      <c r="J414" s="2">
        <f t="shared" si="417"/>
        <v>1</v>
      </c>
      <c r="K414" s="2">
        <f t="shared" si="417"/>
        <v>1</v>
      </c>
      <c r="L414" s="2">
        <f t="shared" si="417"/>
        <v>1</v>
      </c>
      <c r="M414" s="2">
        <f t="shared" si="417"/>
        <v>1</v>
      </c>
      <c r="N414" s="2">
        <f t="shared" si="417"/>
        <v>1</v>
      </c>
      <c r="O414" s="2">
        <f t="shared" si="417"/>
        <v>1</v>
      </c>
      <c r="P414" s="2">
        <f t="shared" si="417"/>
        <v>1</v>
      </c>
      <c r="Q414" s="2">
        <f t="shared" si="3"/>
        <v>1</v>
      </c>
      <c r="R414" s="2">
        <f>IF(ISERROR(VLOOKUP(A414, 'Project Reference'!A:A, 1, FALSE)), 0, 1)</f>
        <v>1</v>
      </c>
      <c r="S414" s="2">
        <f>IFERROR(__xludf.DUMMYFUNCTION("IF(AND(REGEXMATCH(D414, B414), REGEXMATCH(D414, C414)), 1, 0)"),1.0)</f>
        <v>1</v>
      </c>
      <c r="T414" s="2">
        <f t="shared" si="4"/>
        <v>1</v>
      </c>
      <c r="U414" s="2">
        <f t="shared" si="5"/>
        <v>1</v>
      </c>
      <c r="V414" s="2">
        <f t="shared" si="6"/>
        <v>1</v>
      </c>
    </row>
    <row r="415" ht="14.25" customHeight="1">
      <c r="A415" s="2" t="s">
        <v>445</v>
      </c>
      <c r="B415" s="2" t="s">
        <v>18</v>
      </c>
      <c r="C415" s="2" t="s">
        <v>24</v>
      </c>
      <c r="D415" s="8" t="s">
        <v>618</v>
      </c>
      <c r="E415" s="6">
        <v>45208.0</v>
      </c>
      <c r="F415" s="6">
        <v>45388.0</v>
      </c>
      <c r="G415" s="7">
        <v>6.374609108E9</v>
      </c>
      <c r="H415" s="2" t="s">
        <v>21</v>
      </c>
      <c r="I415" s="2">
        <f t="shared" ref="I415:P415" si="418">IF(ISBLANK(A415)=TRUE,0,1)</f>
        <v>1</v>
      </c>
      <c r="J415" s="2">
        <f t="shared" si="418"/>
        <v>1</v>
      </c>
      <c r="K415" s="2">
        <f t="shared" si="418"/>
        <v>1</v>
      </c>
      <c r="L415" s="2">
        <f t="shared" si="418"/>
        <v>1</v>
      </c>
      <c r="M415" s="2">
        <f t="shared" si="418"/>
        <v>1</v>
      </c>
      <c r="N415" s="2">
        <f t="shared" si="418"/>
        <v>1</v>
      </c>
      <c r="O415" s="2">
        <f t="shared" si="418"/>
        <v>1</v>
      </c>
      <c r="P415" s="2">
        <f t="shared" si="418"/>
        <v>1</v>
      </c>
      <c r="Q415" s="2">
        <f t="shared" si="3"/>
        <v>1</v>
      </c>
      <c r="R415" s="2">
        <f>IF(ISERROR(VLOOKUP(A415, 'Project Reference'!A:A, 1, FALSE)), 0, 1)</f>
        <v>1</v>
      </c>
      <c r="S415" s="2">
        <f>IFERROR(__xludf.DUMMYFUNCTION("IF(AND(REGEXMATCH(D415, B415), REGEXMATCH(D415, C415)), 1, 0)"),1.0)</f>
        <v>1</v>
      </c>
      <c r="T415" s="2">
        <f t="shared" si="4"/>
        <v>1</v>
      </c>
      <c r="U415" s="2">
        <f t="shared" si="5"/>
        <v>1</v>
      </c>
      <c r="V415" s="2">
        <f t="shared" si="6"/>
        <v>1</v>
      </c>
    </row>
    <row r="416" ht="14.25" customHeight="1">
      <c r="A416" s="2" t="s">
        <v>446</v>
      </c>
      <c r="B416" s="2" t="s">
        <v>30</v>
      </c>
      <c r="C416" s="2" t="s">
        <v>48</v>
      </c>
      <c r="D416" s="8" t="s">
        <v>620</v>
      </c>
      <c r="E416" s="6">
        <v>45208.0</v>
      </c>
      <c r="F416" s="6">
        <v>45271.0</v>
      </c>
      <c r="G416" s="7">
        <v>2.805083829E9</v>
      </c>
      <c r="H416" s="8" t="s">
        <v>581</v>
      </c>
      <c r="I416" s="2">
        <f t="shared" ref="I416:P416" si="419">IF(ISBLANK(A416)=TRUE,0,1)</f>
        <v>1</v>
      </c>
      <c r="J416" s="2">
        <f t="shared" si="419"/>
        <v>1</v>
      </c>
      <c r="K416" s="2">
        <f t="shared" si="419"/>
        <v>1</v>
      </c>
      <c r="L416" s="2">
        <f t="shared" si="419"/>
        <v>1</v>
      </c>
      <c r="M416" s="2">
        <f t="shared" si="419"/>
        <v>1</v>
      </c>
      <c r="N416" s="2">
        <f t="shared" si="419"/>
        <v>1</v>
      </c>
      <c r="O416" s="2">
        <f t="shared" si="419"/>
        <v>1</v>
      </c>
      <c r="P416" s="2">
        <f t="shared" si="419"/>
        <v>1</v>
      </c>
      <c r="Q416" s="2">
        <f t="shared" si="3"/>
        <v>1</v>
      </c>
      <c r="R416" s="2">
        <f>IF(ISERROR(VLOOKUP(A416, 'Project Reference'!A:A, 1, FALSE)), 0, 1)</f>
        <v>1</v>
      </c>
      <c r="S416" s="2">
        <f>IFERROR(__xludf.DUMMYFUNCTION("IF(AND(REGEXMATCH(D416, B416), REGEXMATCH(D416, C416)), 1, 0)"),1.0)</f>
        <v>1</v>
      </c>
      <c r="T416" s="2">
        <f t="shared" si="4"/>
        <v>1</v>
      </c>
      <c r="U416" s="2">
        <f t="shared" si="5"/>
        <v>1</v>
      </c>
      <c r="V416" s="2">
        <f t="shared" si="6"/>
        <v>1</v>
      </c>
    </row>
    <row r="417" ht="14.25" customHeight="1">
      <c r="A417" s="2" t="s">
        <v>447</v>
      </c>
      <c r="B417" s="2" t="s">
        <v>18</v>
      </c>
      <c r="C417" s="2" t="s">
        <v>13</v>
      </c>
      <c r="D417" s="8" t="s">
        <v>580</v>
      </c>
      <c r="E417" s="6">
        <v>45210.0</v>
      </c>
      <c r="F417" s="6">
        <v>45557.0</v>
      </c>
      <c r="G417" s="7">
        <v>7.779607484E9</v>
      </c>
      <c r="H417" s="8" t="s">
        <v>573</v>
      </c>
      <c r="I417" s="2">
        <f t="shared" ref="I417:P417" si="420">IF(ISBLANK(A417)=TRUE,0,1)</f>
        <v>1</v>
      </c>
      <c r="J417" s="2">
        <f t="shared" si="420"/>
        <v>1</v>
      </c>
      <c r="K417" s="2">
        <f t="shared" si="420"/>
        <v>1</v>
      </c>
      <c r="L417" s="2">
        <f t="shared" si="420"/>
        <v>1</v>
      </c>
      <c r="M417" s="2">
        <f t="shared" si="420"/>
        <v>1</v>
      </c>
      <c r="N417" s="2">
        <f t="shared" si="420"/>
        <v>1</v>
      </c>
      <c r="O417" s="2">
        <f t="shared" si="420"/>
        <v>1</v>
      </c>
      <c r="P417" s="2">
        <f t="shared" si="420"/>
        <v>1</v>
      </c>
      <c r="Q417" s="2">
        <f t="shared" si="3"/>
        <v>1</v>
      </c>
      <c r="R417" s="2">
        <f>IF(ISERROR(VLOOKUP(A417, 'Project Reference'!A:A, 1, FALSE)), 0, 1)</f>
        <v>1</v>
      </c>
      <c r="S417" s="2">
        <f>IFERROR(__xludf.DUMMYFUNCTION("IF(AND(REGEXMATCH(D417, B417), REGEXMATCH(D417, C417)), 1, 0)"),1.0)</f>
        <v>1</v>
      </c>
      <c r="T417" s="2">
        <f t="shared" si="4"/>
        <v>1</v>
      </c>
      <c r="U417" s="2">
        <f t="shared" si="5"/>
        <v>1</v>
      </c>
      <c r="V417" s="2">
        <f t="shared" si="6"/>
        <v>1</v>
      </c>
    </row>
    <row r="418" ht="14.25" customHeight="1">
      <c r="A418" s="2" t="s">
        <v>449</v>
      </c>
      <c r="B418" s="2" t="s">
        <v>12</v>
      </c>
      <c r="C418" s="2" t="s">
        <v>24</v>
      </c>
      <c r="D418" s="8" t="s">
        <v>610</v>
      </c>
      <c r="E418" s="6">
        <v>45214.0</v>
      </c>
      <c r="F418" s="6">
        <v>45488.0</v>
      </c>
      <c r="G418" s="7">
        <v>9.09945479E8</v>
      </c>
      <c r="H418" s="2" t="s">
        <v>44</v>
      </c>
      <c r="I418" s="2">
        <f t="shared" ref="I418:P418" si="421">IF(ISBLANK(A418)=TRUE,0,1)</f>
        <v>1</v>
      </c>
      <c r="J418" s="2">
        <f t="shared" si="421"/>
        <v>1</v>
      </c>
      <c r="K418" s="2">
        <f t="shared" si="421"/>
        <v>1</v>
      </c>
      <c r="L418" s="2">
        <f t="shared" si="421"/>
        <v>1</v>
      </c>
      <c r="M418" s="2">
        <f t="shared" si="421"/>
        <v>1</v>
      </c>
      <c r="N418" s="2">
        <f t="shared" si="421"/>
        <v>1</v>
      </c>
      <c r="O418" s="2">
        <f t="shared" si="421"/>
        <v>1</v>
      </c>
      <c r="P418" s="2">
        <f t="shared" si="421"/>
        <v>1</v>
      </c>
      <c r="Q418" s="2">
        <f t="shared" si="3"/>
        <v>1</v>
      </c>
      <c r="R418" s="2">
        <f>IF(ISERROR(VLOOKUP(A418, 'Project Reference'!A:A, 1, FALSE)), 0, 1)</f>
        <v>1</v>
      </c>
      <c r="S418" s="2">
        <f>IFERROR(__xludf.DUMMYFUNCTION("IF(AND(REGEXMATCH(D418, B418), REGEXMATCH(D418, C418)), 1, 0)"),1.0)</f>
        <v>1</v>
      </c>
      <c r="T418" s="2">
        <f t="shared" si="4"/>
        <v>1</v>
      </c>
      <c r="U418" s="2">
        <f t="shared" si="5"/>
        <v>1</v>
      </c>
      <c r="V418" s="2">
        <f t="shared" si="6"/>
        <v>1</v>
      </c>
    </row>
    <row r="419" ht="14.25" customHeight="1">
      <c r="A419" s="2" t="s">
        <v>451</v>
      </c>
      <c r="B419" s="2" t="s">
        <v>35</v>
      </c>
      <c r="C419" s="2" t="s">
        <v>39</v>
      </c>
      <c r="D419" s="2" t="s">
        <v>145</v>
      </c>
      <c r="E419" s="6">
        <v>45217.0</v>
      </c>
      <c r="F419" s="6">
        <v>45469.0</v>
      </c>
      <c r="G419" s="7">
        <v>3.20968841E8</v>
      </c>
      <c r="H419" s="2" t="s">
        <v>21</v>
      </c>
      <c r="I419" s="2">
        <f t="shared" ref="I419:P419" si="422">IF(ISBLANK(A419)=TRUE,0,1)</f>
        <v>1</v>
      </c>
      <c r="J419" s="2">
        <f t="shared" si="422"/>
        <v>1</v>
      </c>
      <c r="K419" s="2">
        <f t="shared" si="422"/>
        <v>1</v>
      </c>
      <c r="L419" s="2">
        <f t="shared" si="422"/>
        <v>1</v>
      </c>
      <c r="M419" s="2">
        <f t="shared" si="422"/>
        <v>1</v>
      </c>
      <c r="N419" s="2">
        <f t="shared" si="422"/>
        <v>1</v>
      </c>
      <c r="O419" s="2">
        <f t="shared" si="422"/>
        <v>1</v>
      </c>
      <c r="P419" s="2">
        <f t="shared" si="422"/>
        <v>1</v>
      </c>
      <c r="Q419" s="2">
        <f t="shared" si="3"/>
        <v>1</v>
      </c>
      <c r="R419" s="2">
        <f>IF(ISERROR(VLOOKUP(A419, 'Project Reference'!A:A, 1, FALSE)), 0, 1)</f>
        <v>1</v>
      </c>
      <c r="S419" s="2">
        <f>IFERROR(__xludf.DUMMYFUNCTION("IF(AND(REGEXMATCH(D419, B419), REGEXMATCH(D419, C419)), 1, 0)"),1.0)</f>
        <v>1</v>
      </c>
      <c r="T419" s="2">
        <f t="shared" si="4"/>
        <v>1</v>
      </c>
      <c r="U419" s="2">
        <f t="shared" si="5"/>
        <v>1</v>
      </c>
      <c r="V419" s="2">
        <f t="shared" si="6"/>
        <v>1</v>
      </c>
    </row>
    <row r="420" ht="14.25" customHeight="1">
      <c r="A420" s="2" t="s">
        <v>452</v>
      </c>
      <c r="B420" s="2" t="s">
        <v>60</v>
      </c>
      <c r="C420" s="2" t="s">
        <v>39</v>
      </c>
      <c r="D420" s="8" t="s">
        <v>626</v>
      </c>
      <c r="E420" s="6">
        <v>45217.0</v>
      </c>
      <c r="F420" s="6">
        <v>45524.0</v>
      </c>
      <c r="G420" s="7">
        <v>2.879285863E9</v>
      </c>
      <c r="H420" s="2" t="s">
        <v>50</v>
      </c>
      <c r="I420" s="2">
        <f t="shared" ref="I420:P420" si="423">IF(ISBLANK(A420)=TRUE,0,1)</f>
        <v>1</v>
      </c>
      <c r="J420" s="2">
        <f t="shared" si="423"/>
        <v>1</v>
      </c>
      <c r="K420" s="2">
        <f t="shared" si="423"/>
        <v>1</v>
      </c>
      <c r="L420" s="2">
        <f t="shared" si="423"/>
        <v>1</v>
      </c>
      <c r="M420" s="2">
        <f t="shared" si="423"/>
        <v>1</v>
      </c>
      <c r="N420" s="2">
        <f t="shared" si="423"/>
        <v>1</v>
      </c>
      <c r="O420" s="2">
        <f t="shared" si="423"/>
        <v>1</v>
      </c>
      <c r="P420" s="2">
        <f t="shared" si="423"/>
        <v>1</v>
      </c>
      <c r="Q420" s="2">
        <f t="shared" si="3"/>
        <v>1</v>
      </c>
      <c r="R420" s="2">
        <f>IF(ISERROR(VLOOKUP(A420, 'Project Reference'!A:A, 1, FALSE)), 0, 1)</f>
        <v>1</v>
      </c>
      <c r="S420" s="2">
        <f>IFERROR(__xludf.DUMMYFUNCTION("IF(AND(REGEXMATCH(D420, B420), REGEXMATCH(D420, C420)), 1, 0)"),1.0)</f>
        <v>1</v>
      </c>
      <c r="T420" s="2">
        <f t="shared" si="4"/>
        <v>1</v>
      </c>
      <c r="U420" s="2">
        <f t="shared" si="5"/>
        <v>1</v>
      </c>
      <c r="V420" s="2">
        <f t="shared" si="6"/>
        <v>1</v>
      </c>
    </row>
    <row r="421" ht="14.25" customHeight="1">
      <c r="A421" s="2" t="s">
        <v>453</v>
      </c>
      <c r="B421" s="2" t="s">
        <v>60</v>
      </c>
      <c r="C421" s="2" t="s">
        <v>13</v>
      </c>
      <c r="D421" s="8" t="s">
        <v>582</v>
      </c>
      <c r="E421" s="6">
        <v>45219.0</v>
      </c>
      <c r="F421" s="6">
        <v>45583.0</v>
      </c>
      <c r="G421" s="7">
        <v>4.595916165E9</v>
      </c>
      <c r="H421" s="2" t="s">
        <v>33</v>
      </c>
      <c r="I421" s="2">
        <f t="shared" ref="I421:P421" si="424">IF(ISBLANK(A421)=TRUE,0,1)</f>
        <v>1</v>
      </c>
      <c r="J421" s="2">
        <f t="shared" si="424"/>
        <v>1</v>
      </c>
      <c r="K421" s="2">
        <f t="shared" si="424"/>
        <v>1</v>
      </c>
      <c r="L421" s="2">
        <f t="shared" si="424"/>
        <v>1</v>
      </c>
      <c r="M421" s="2">
        <f t="shared" si="424"/>
        <v>1</v>
      </c>
      <c r="N421" s="2">
        <f t="shared" si="424"/>
        <v>1</v>
      </c>
      <c r="O421" s="2">
        <f t="shared" si="424"/>
        <v>1</v>
      </c>
      <c r="P421" s="2">
        <f t="shared" si="424"/>
        <v>1</v>
      </c>
      <c r="Q421" s="2">
        <f t="shared" si="3"/>
        <v>1</v>
      </c>
      <c r="R421" s="2">
        <f>IF(ISERROR(VLOOKUP(A421, 'Project Reference'!A:A, 1, FALSE)), 0, 1)</f>
        <v>1</v>
      </c>
      <c r="S421" s="2">
        <f>IFERROR(__xludf.DUMMYFUNCTION("IF(AND(REGEXMATCH(D421, B421), REGEXMATCH(D421, C421)), 1, 0)"),1.0)</f>
        <v>1</v>
      </c>
      <c r="T421" s="2">
        <f t="shared" si="4"/>
        <v>1</v>
      </c>
      <c r="U421" s="2">
        <f t="shared" si="5"/>
        <v>1</v>
      </c>
      <c r="V421" s="2">
        <f t="shared" si="6"/>
        <v>1</v>
      </c>
    </row>
    <row r="422" ht="14.25" customHeight="1">
      <c r="A422" s="2" t="s">
        <v>454</v>
      </c>
      <c r="B422" s="2" t="s">
        <v>30</v>
      </c>
      <c r="C422" s="2" t="s">
        <v>48</v>
      </c>
      <c r="D422" s="8" t="s">
        <v>620</v>
      </c>
      <c r="E422" s="6">
        <v>45220.0</v>
      </c>
      <c r="F422" s="6">
        <v>45327.0</v>
      </c>
      <c r="G422" s="7">
        <v>1.29984874E9</v>
      </c>
      <c r="H422" s="2" t="s">
        <v>67</v>
      </c>
      <c r="I422" s="2">
        <f t="shared" ref="I422:P422" si="425">IF(ISBLANK(A422)=TRUE,0,1)</f>
        <v>1</v>
      </c>
      <c r="J422" s="2">
        <f t="shared" si="425"/>
        <v>1</v>
      </c>
      <c r="K422" s="2">
        <f t="shared" si="425"/>
        <v>1</v>
      </c>
      <c r="L422" s="2">
        <f t="shared" si="425"/>
        <v>1</v>
      </c>
      <c r="M422" s="2">
        <f t="shared" si="425"/>
        <v>1</v>
      </c>
      <c r="N422" s="2">
        <f t="shared" si="425"/>
        <v>1</v>
      </c>
      <c r="O422" s="2">
        <f t="shared" si="425"/>
        <v>1</v>
      </c>
      <c r="P422" s="2">
        <f t="shared" si="425"/>
        <v>1</v>
      </c>
      <c r="Q422" s="2">
        <f t="shared" si="3"/>
        <v>1</v>
      </c>
      <c r="R422" s="2">
        <f>IF(ISERROR(VLOOKUP(A422, 'Project Reference'!A:A, 1, FALSE)), 0, 1)</f>
        <v>1</v>
      </c>
      <c r="S422" s="2">
        <f>IFERROR(__xludf.DUMMYFUNCTION("IF(AND(REGEXMATCH(D422, B422), REGEXMATCH(D422, C422)), 1, 0)"),1.0)</f>
        <v>1</v>
      </c>
      <c r="T422" s="2">
        <f t="shared" si="4"/>
        <v>1</v>
      </c>
      <c r="U422" s="2">
        <f t="shared" si="5"/>
        <v>1</v>
      </c>
      <c r="V422" s="2">
        <f t="shared" si="6"/>
        <v>1</v>
      </c>
    </row>
    <row r="423" ht="14.25" customHeight="1">
      <c r="A423" s="2" t="s">
        <v>455</v>
      </c>
      <c r="B423" s="2" t="s">
        <v>18</v>
      </c>
      <c r="C423" s="2" t="s">
        <v>48</v>
      </c>
      <c r="D423" s="8" t="s">
        <v>629</v>
      </c>
      <c r="E423" s="6">
        <v>45221.0</v>
      </c>
      <c r="F423" s="6">
        <v>45307.0</v>
      </c>
      <c r="G423" s="7">
        <v>3.206827076E9</v>
      </c>
      <c r="H423" s="2" t="s">
        <v>50</v>
      </c>
      <c r="I423" s="2">
        <f t="shared" ref="I423:P423" si="426">IF(ISBLANK(A423)=TRUE,0,1)</f>
        <v>1</v>
      </c>
      <c r="J423" s="2">
        <f t="shared" si="426"/>
        <v>1</v>
      </c>
      <c r="K423" s="2">
        <f t="shared" si="426"/>
        <v>1</v>
      </c>
      <c r="L423" s="2">
        <f t="shared" si="426"/>
        <v>1</v>
      </c>
      <c r="M423" s="2">
        <f t="shared" si="426"/>
        <v>1</v>
      </c>
      <c r="N423" s="2">
        <f t="shared" si="426"/>
        <v>1</v>
      </c>
      <c r="O423" s="2">
        <f t="shared" si="426"/>
        <v>1</v>
      </c>
      <c r="P423" s="2">
        <f t="shared" si="426"/>
        <v>1</v>
      </c>
      <c r="Q423" s="2">
        <f t="shared" si="3"/>
        <v>1</v>
      </c>
      <c r="R423" s="2">
        <f>IF(ISERROR(VLOOKUP(A423, 'Project Reference'!A:A, 1, FALSE)), 0, 1)</f>
        <v>1</v>
      </c>
      <c r="S423" s="2">
        <f>IFERROR(__xludf.DUMMYFUNCTION("IF(AND(REGEXMATCH(D423, B423), REGEXMATCH(D423, C423)), 1, 0)"),1.0)</f>
        <v>1</v>
      </c>
      <c r="T423" s="2">
        <f t="shared" si="4"/>
        <v>1</v>
      </c>
      <c r="U423" s="2">
        <f t="shared" si="5"/>
        <v>1</v>
      </c>
      <c r="V423" s="2">
        <f t="shared" si="6"/>
        <v>1</v>
      </c>
    </row>
    <row r="424" ht="14.25" customHeight="1">
      <c r="A424" s="2" t="s">
        <v>456</v>
      </c>
      <c r="B424" s="2" t="s">
        <v>35</v>
      </c>
      <c r="C424" s="2" t="s">
        <v>31</v>
      </c>
      <c r="D424" s="2" t="s">
        <v>91</v>
      </c>
      <c r="E424" s="6">
        <v>45222.0</v>
      </c>
      <c r="F424" s="6">
        <v>45341.0</v>
      </c>
      <c r="G424" s="7">
        <v>5.59804949E8</v>
      </c>
      <c r="H424" s="8" t="s">
        <v>581</v>
      </c>
      <c r="I424" s="2">
        <f t="shared" ref="I424:P424" si="427">IF(ISBLANK(A424)=TRUE,0,1)</f>
        <v>1</v>
      </c>
      <c r="J424" s="2">
        <f t="shared" si="427"/>
        <v>1</v>
      </c>
      <c r="K424" s="2">
        <f t="shared" si="427"/>
        <v>1</v>
      </c>
      <c r="L424" s="2">
        <f t="shared" si="427"/>
        <v>1</v>
      </c>
      <c r="M424" s="2">
        <f t="shared" si="427"/>
        <v>1</v>
      </c>
      <c r="N424" s="2">
        <f t="shared" si="427"/>
        <v>1</v>
      </c>
      <c r="O424" s="2">
        <f t="shared" si="427"/>
        <v>1</v>
      </c>
      <c r="P424" s="2">
        <f t="shared" si="427"/>
        <v>1</v>
      </c>
      <c r="Q424" s="2">
        <f t="shared" si="3"/>
        <v>1</v>
      </c>
      <c r="R424" s="2">
        <f>IF(ISERROR(VLOOKUP(A424, 'Project Reference'!A:A, 1, FALSE)), 0, 1)</f>
        <v>1</v>
      </c>
      <c r="S424" s="2">
        <f>IFERROR(__xludf.DUMMYFUNCTION("IF(AND(REGEXMATCH(D424, B424), REGEXMATCH(D424, C424)), 1, 0)"),1.0)</f>
        <v>1</v>
      </c>
      <c r="T424" s="2">
        <f t="shared" si="4"/>
        <v>1</v>
      </c>
      <c r="U424" s="2">
        <f t="shared" si="5"/>
        <v>1</v>
      </c>
      <c r="V424" s="2">
        <f t="shared" si="6"/>
        <v>1</v>
      </c>
    </row>
    <row r="425" ht="14.25" customHeight="1">
      <c r="A425" s="2" t="s">
        <v>458</v>
      </c>
      <c r="B425" s="2" t="s">
        <v>12</v>
      </c>
      <c r="C425" s="2" t="s">
        <v>13</v>
      </c>
      <c r="D425" s="8" t="s">
        <v>605</v>
      </c>
      <c r="E425" s="6">
        <v>45223.0</v>
      </c>
      <c r="F425" s="6">
        <v>45484.0</v>
      </c>
      <c r="G425" s="7">
        <v>6.85929486E8</v>
      </c>
      <c r="H425" s="2" t="s">
        <v>21</v>
      </c>
      <c r="I425" s="2">
        <f t="shared" ref="I425:P425" si="428">IF(ISBLANK(A425)=TRUE,0,1)</f>
        <v>1</v>
      </c>
      <c r="J425" s="2">
        <f t="shared" si="428"/>
        <v>1</v>
      </c>
      <c r="K425" s="2">
        <f t="shared" si="428"/>
        <v>1</v>
      </c>
      <c r="L425" s="2">
        <f t="shared" si="428"/>
        <v>1</v>
      </c>
      <c r="M425" s="2">
        <f t="shared" si="428"/>
        <v>1</v>
      </c>
      <c r="N425" s="2">
        <f t="shared" si="428"/>
        <v>1</v>
      </c>
      <c r="O425" s="2">
        <f t="shared" si="428"/>
        <v>1</v>
      </c>
      <c r="P425" s="2">
        <f t="shared" si="428"/>
        <v>1</v>
      </c>
      <c r="Q425" s="2">
        <f t="shared" si="3"/>
        <v>1</v>
      </c>
      <c r="R425" s="2">
        <f>IF(ISERROR(VLOOKUP(A425, 'Project Reference'!A:A, 1, FALSE)), 0, 1)</f>
        <v>1</v>
      </c>
      <c r="S425" s="2">
        <f>IFERROR(__xludf.DUMMYFUNCTION("IF(AND(REGEXMATCH(D425, B425), REGEXMATCH(D425, C425)), 1, 0)"),1.0)</f>
        <v>1</v>
      </c>
      <c r="T425" s="2">
        <f t="shared" si="4"/>
        <v>1</v>
      </c>
      <c r="U425" s="2">
        <f t="shared" si="5"/>
        <v>1</v>
      </c>
      <c r="V425" s="2">
        <f t="shared" si="6"/>
        <v>1</v>
      </c>
    </row>
    <row r="426" ht="14.25" customHeight="1">
      <c r="A426" s="2" t="s">
        <v>459</v>
      </c>
      <c r="B426" s="2" t="s">
        <v>18</v>
      </c>
      <c r="C426" s="2" t="s">
        <v>39</v>
      </c>
      <c r="D426" s="8" t="s">
        <v>577</v>
      </c>
      <c r="E426" s="6">
        <v>45225.0</v>
      </c>
      <c r="F426" s="6">
        <v>45551.0</v>
      </c>
      <c r="G426" s="7">
        <v>2.626084542E9</v>
      </c>
      <c r="H426" s="8" t="s">
        <v>581</v>
      </c>
      <c r="I426" s="2">
        <f t="shared" ref="I426:P426" si="429">IF(ISBLANK(A426)=TRUE,0,1)</f>
        <v>1</v>
      </c>
      <c r="J426" s="2">
        <f t="shared" si="429"/>
        <v>1</v>
      </c>
      <c r="K426" s="2">
        <f t="shared" si="429"/>
        <v>1</v>
      </c>
      <c r="L426" s="2">
        <f t="shared" si="429"/>
        <v>1</v>
      </c>
      <c r="M426" s="2">
        <f t="shared" si="429"/>
        <v>1</v>
      </c>
      <c r="N426" s="2">
        <f t="shared" si="429"/>
        <v>1</v>
      </c>
      <c r="O426" s="2">
        <f t="shared" si="429"/>
        <v>1</v>
      </c>
      <c r="P426" s="2">
        <f t="shared" si="429"/>
        <v>1</v>
      </c>
      <c r="Q426" s="2">
        <f t="shared" si="3"/>
        <v>1</v>
      </c>
      <c r="R426" s="2">
        <f>IF(ISERROR(VLOOKUP(A426, 'Project Reference'!A:A, 1, FALSE)), 0, 1)</f>
        <v>1</v>
      </c>
      <c r="S426" s="2">
        <f>IFERROR(__xludf.DUMMYFUNCTION("IF(AND(REGEXMATCH(D426, B426), REGEXMATCH(D426, C426)), 1, 0)"),1.0)</f>
        <v>1</v>
      </c>
      <c r="T426" s="2">
        <f t="shared" si="4"/>
        <v>1</v>
      </c>
      <c r="U426" s="2">
        <f t="shared" si="5"/>
        <v>1</v>
      </c>
      <c r="V426" s="2">
        <f t="shared" si="6"/>
        <v>1</v>
      </c>
    </row>
    <row r="427" ht="14.25" customHeight="1">
      <c r="A427" s="2" t="s">
        <v>460</v>
      </c>
      <c r="B427" s="2" t="s">
        <v>12</v>
      </c>
      <c r="C427" s="2" t="s">
        <v>24</v>
      </c>
      <c r="D427" s="8" t="s">
        <v>610</v>
      </c>
      <c r="E427" s="6">
        <v>45226.0</v>
      </c>
      <c r="F427" s="6">
        <v>45403.0</v>
      </c>
      <c r="G427" s="7">
        <v>8.93411259E8</v>
      </c>
      <c r="H427" s="2" t="s">
        <v>21</v>
      </c>
      <c r="I427" s="2">
        <f t="shared" ref="I427:P427" si="430">IF(ISBLANK(A427)=TRUE,0,1)</f>
        <v>1</v>
      </c>
      <c r="J427" s="2">
        <f t="shared" si="430"/>
        <v>1</v>
      </c>
      <c r="K427" s="2">
        <f t="shared" si="430"/>
        <v>1</v>
      </c>
      <c r="L427" s="2">
        <f t="shared" si="430"/>
        <v>1</v>
      </c>
      <c r="M427" s="2">
        <f t="shared" si="430"/>
        <v>1</v>
      </c>
      <c r="N427" s="2">
        <f t="shared" si="430"/>
        <v>1</v>
      </c>
      <c r="O427" s="2">
        <f t="shared" si="430"/>
        <v>1</v>
      </c>
      <c r="P427" s="2">
        <f t="shared" si="430"/>
        <v>1</v>
      </c>
      <c r="Q427" s="2">
        <f t="shared" si="3"/>
        <v>1</v>
      </c>
      <c r="R427" s="2">
        <f>IF(ISERROR(VLOOKUP(A427, 'Project Reference'!A:A, 1, FALSE)), 0, 1)</f>
        <v>1</v>
      </c>
      <c r="S427" s="2">
        <f>IFERROR(__xludf.DUMMYFUNCTION("IF(AND(REGEXMATCH(D427, B427), REGEXMATCH(D427, C427)), 1, 0)"),1.0)</f>
        <v>1</v>
      </c>
      <c r="T427" s="2">
        <f t="shared" si="4"/>
        <v>1</v>
      </c>
      <c r="U427" s="2">
        <f t="shared" si="5"/>
        <v>1</v>
      </c>
      <c r="V427" s="2">
        <f t="shared" si="6"/>
        <v>1</v>
      </c>
    </row>
    <row r="428" ht="14.25" customHeight="1">
      <c r="A428" s="2" t="s">
        <v>461</v>
      </c>
      <c r="B428" s="2" t="s">
        <v>35</v>
      </c>
      <c r="C428" s="2" t="s">
        <v>42</v>
      </c>
      <c r="D428" s="2" t="s">
        <v>69</v>
      </c>
      <c r="E428" s="6">
        <v>45226.0</v>
      </c>
      <c r="F428" s="6">
        <v>45467.0</v>
      </c>
      <c r="G428" s="7">
        <v>2.64833844E8</v>
      </c>
      <c r="H428" s="2" t="s">
        <v>21</v>
      </c>
      <c r="I428" s="2">
        <f t="shared" ref="I428:P428" si="431">IF(ISBLANK(A428)=TRUE,0,1)</f>
        <v>1</v>
      </c>
      <c r="J428" s="2">
        <f t="shared" si="431"/>
        <v>1</v>
      </c>
      <c r="K428" s="2">
        <f t="shared" si="431"/>
        <v>1</v>
      </c>
      <c r="L428" s="2">
        <f t="shared" si="431"/>
        <v>1</v>
      </c>
      <c r="M428" s="2">
        <f t="shared" si="431"/>
        <v>1</v>
      </c>
      <c r="N428" s="2">
        <f t="shared" si="431"/>
        <v>1</v>
      </c>
      <c r="O428" s="2">
        <f t="shared" si="431"/>
        <v>1</v>
      </c>
      <c r="P428" s="2">
        <f t="shared" si="431"/>
        <v>1</v>
      </c>
      <c r="Q428" s="2">
        <f t="shared" si="3"/>
        <v>1</v>
      </c>
      <c r="R428" s="2">
        <f>IF(ISERROR(VLOOKUP(A428, 'Project Reference'!A:A, 1, FALSE)), 0, 1)</f>
        <v>1</v>
      </c>
      <c r="S428" s="2">
        <f>IFERROR(__xludf.DUMMYFUNCTION("IF(AND(REGEXMATCH(D428, B428), REGEXMATCH(D428, C428)), 1, 0)"),1.0)</f>
        <v>1</v>
      </c>
      <c r="T428" s="2">
        <f t="shared" si="4"/>
        <v>1</v>
      </c>
      <c r="U428" s="2">
        <f t="shared" si="5"/>
        <v>1</v>
      </c>
      <c r="V428" s="2">
        <f t="shared" si="6"/>
        <v>1</v>
      </c>
    </row>
    <row r="429" ht="14.25" customHeight="1">
      <c r="A429" s="2" t="s">
        <v>462</v>
      </c>
      <c r="B429" s="2" t="s">
        <v>35</v>
      </c>
      <c r="C429" s="2" t="s">
        <v>39</v>
      </c>
      <c r="D429" s="2" t="s">
        <v>145</v>
      </c>
      <c r="E429" s="6">
        <v>45226.0</v>
      </c>
      <c r="F429" s="6">
        <v>45426.0</v>
      </c>
      <c r="G429" s="7">
        <v>5.88269229E8</v>
      </c>
      <c r="H429" s="2" t="s">
        <v>50</v>
      </c>
      <c r="I429" s="2">
        <f t="shared" ref="I429:P429" si="432">IF(ISBLANK(A429)=TRUE,0,1)</f>
        <v>1</v>
      </c>
      <c r="J429" s="2">
        <f t="shared" si="432"/>
        <v>1</v>
      </c>
      <c r="K429" s="2">
        <f t="shared" si="432"/>
        <v>1</v>
      </c>
      <c r="L429" s="2">
        <f t="shared" si="432"/>
        <v>1</v>
      </c>
      <c r="M429" s="2">
        <f t="shared" si="432"/>
        <v>1</v>
      </c>
      <c r="N429" s="2">
        <f t="shared" si="432"/>
        <v>1</v>
      </c>
      <c r="O429" s="2">
        <f t="shared" si="432"/>
        <v>1</v>
      </c>
      <c r="P429" s="2">
        <f t="shared" si="432"/>
        <v>1</v>
      </c>
      <c r="Q429" s="2">
        <f t="shared" si="3"/>
        <v>1</v>
      </c>
      <c r="R429" s="2">
        <f>IF(ISERROR(VLOOKUP(A429, 'Project Reference'!A:A, 1, FALSE)), 0, 1)</f>
        <v>1</v>
      </c>
      <c r="S429" s="2">
        <f>IFERROR(__xludf.DUMMYFUNCTION("IF(AND(REGEXMATCH(D429, B429), REGEXMATCH(D429, C429)), 1, 0)"),1.0)</f>
        <v>1</v>
      </c>
      <c r="T429" s="2">
        <f t="shared" si="4"/>
        <v>1</v>
      </c>
      <c r="U429" s="2">
        <f t="shared" si="5"/>
        <v>1</v>
      </c>
      <c r="V429" s="2">
        <f t="shared" si="6"/>
        <v>1</v>
      </c>
    </row>
    <row r="430" ht="14.25" customHeight="1">
      <c r="A430" s="2" t="s">
        <v>463</v>
      </c>
      <c r="B430" s="2" t="s">
        <v>35</v>
      </c>
      <c r="C430" s="2" t="s">
        <v>31</v>
      </c>
      <c r="D430" s="2" t="s">
        <v>91</v>
      </c>
      <c r="E430" s="6">
        <v>45227.0</v>
      </c>
      <c r="F430" s="6">
        <v>45478.0</v>
      </c>
      <c r="G430" s="7">
        <v>6.91409314E8</v>
      </c>
      <c r="H430" s="2" t="s">
        <v>33</v>
      </c>
      <c r="I430" s="2">
        <f t="shared" ref="I430:P430" si="433">IF(ISBLANK(A430)=TRUE,0,1)</f>
        <v>1</v>
      </c>
      <c r="J430" s="2">
        <f t="shared" si="433"/>
        <v>1</v>
      </c>
      <c r="K430" s="2">
        <f t="shared" si="433"/>
        <v>1</v>
      </c>
      <c r="L430" s="2">
        <f t="shared" si="433"/>
        <v>1</v>
      </c>
      <c r="M430" s="2">
        <f t="shared" si="433"/>
        <v>1</v>
      </c>
      <c r="N430" s="2">
        <f t="shared" si="433"/>
        <v>1</v>
      </c>
      <c r="O430" s="2">
        <f t="shared" si="433"/>
        <v>1</v>
      </c>
      <c r="P430" s="2">
        <f t="shared" si="433"/>
        <v>1</v>
      </c>
      <c r="Q430" s="2">
        <f t="shared" si="3"/>
        <v>1</v>
      </c>
      <c r="R430" s="2">
        <f>IF(ISERROR(VLOOKUP(A430, 'Project Reference'!A:A, 1, FALSE)), 0, 1)</f>
        <v>1</v>
      </c>
      <c r="S430" s="2">
        <f>IFERROR(__xludf.DUMMYFUNCTION("IF(AND(REGEXMATCH(D430, B430), REGEXMATCH(D430, C430)), 1, 0)"),1.0)</f>
        <v>1</v>
      </c>
      <c r="T430" s="2">
        <f t="shared" si="4"/>
        <v>1</v>
      </c>
      <c r="U430" s="2">
        <f t="shared" si="5"/>
        <v>1</v>
      </c>
      <c r="V430" s="2">
        <f t="shared" si="6"/>
        <v>1</v>
      </c>
    </row>
    <row r="431" ht="14.25" customHeight="1">
      <c r="A431" s="2" t="s">
        <v>465</v>
      </c>
      <c r="B431" s="2" t="s">
        <v>30</v>
      </c>
      <c r="C431" s="2" t="s">
        <v>48</v>
      </c>
      <c r="D431" s="8" t="s">
        <v>615</v>
      </c>
      <c r="E431" s="6">
        <v>45228.0</v>
      </c>
      <c r="F431" s="6">
        <v>45515.0</v>
      </c>
      <c r="G431" s="7">
        <v>1.906777116E9</v>
      </c>
      <c r="H431" s="2" t="s">
        <v>44</v>
      </c>
      <c r="I431" s="2">
        <f t="shared" ref="I431:P431" si="434">IF(ISBLANK(A431)=TRUE,0,1)</f>
        <v>1</v>
      </c>
      <c r="J431" s="2">
        <f t="shared" si="434"/>
        <v>1</v>
      </c>
      <c r="K431" s="2">
        <f t="shared" si="434"/>
        <v>1</v>
      </c>
      <c r="L431" s="2">
        <f t="shared" si="434"/>
        <v>1</v>
      </c>
      <c r="M431" s="2">
        <f t="shared" si="434"/>
        <v>1</v>
      </c>
      <c r="N431" s="2">
        <f t="shared" si="434"/>
        <v>1</v>
      </c>
      <c r="O431" s="2">
        <f t="shared" si="434"/>
        <v>1</v>
      </c>
      <c r="P431" s="2">
        <f t="shared" si="434"/>
        <v>1</v>
      </c>
      <c r="Q431" s="2">
        <f t="shared" si="3"/>
        <v>1</v>
      </c>
      <c r="R431" s="2">
        <f>IF(ISERROR(VLOOKUP(A431, 'Project Reference'!A:A, 1, FALSE)), 0, 1)</f>
        <v>1</v>
      </c>
      <c r="S431" s="2">
        <f>IFERROR(__xludf.DUMMYFUNCTION("IF(AND(REGEXMATCH(D431, B431), REGEXMATCH(D431, C431)), 1, 0)"),1.0)</f>
        <v>1</v>
      </c>
      <c r="T431" s="2">
        <f t="shared" si="4"/>
        <v>1</v>
      </c>
      <c r="U431" s="2">
        <f t="shared" si="5"/>
        <v>1</v>
      </c>
      <c r="V431" s="2">
        <f t="shared" si="6"/>
        <v>1</v>
      </c>
    </row>
    <row r="432" ht="14.25" customHeight="1">
      <c r="A432" s="2" t="s">
        <v>467</v>
      </c>
      <c r="B432" s="2" t="s">
        <v>12</v>
      </c>
      <c r="C432" s="2" t="s">
        <v>42</v>
      </c>
      <c r="D432" s="8" t="s">
        <v>603</v>
      </c>
      <c r="E432" s="6">
        <v>45230.0</v>
      </c>
      <c r="F432" s="6">
        <v>45529.0</v>
      </c>
      <c r="G432" s="7">
        <v>1.31415829E8</v>
      </c>
      <c r="H432" s="2" t="s">
        <v>50</v>
      </c>
      <c r="I432" s="2">
        <f t="shared" ref="I432:P432" si="435">IF(ISBLANK(A432)=TRUE,0,1)</f>
        <v>1</v>
      </c>
      <c r="J432" s="2">
        <f t="shared" si="435"/>
        <v>1</v>
      </c>
      <c r="K432" s="2">
        <f t="shared" si="435"/>
        <v>1</v>
      </c>
      <c r="L432" s="2">
        <f t="shared" si="435"/>
        <v>1</v>
      </c>
      <c r="M432" s="2">
        <f t="shared" si="435"/>
        <v>1</v>
      </c>
      <c r="N432" s="2">
        <f t="shared" si="435"/>
        <v>1</v>
      </c>
      <c r="O432" s="2">
        <f t="shared" si="435"/>
        <v>1</v>
      </c>
      <c r="P432" s="2">
        <f t="shared" si="435"/>
        <v>1</v>
      </c>
      <c r="Q432" s="2">
        <f t="shared" si="3"/>
        <v>1</v>
      </c>
      <c r="R432" s="2">
        <f>IF(ISERROR(VLOOKUP(A432, 'Project Reference'!A:A, 1, FALSE)), 0, 1)</f>
        <v>1</v>
      </c>
      <c r="S432" s="2">
        <f>IFERROR(__xludf.DUMMYFUNCTION("IF(AND(REGEXMATCH(D432, B432), REGEXMATCH(D432, C432)), 1, 0)"),1.0)</f>
        <v>1</v>
      </c>
      <c r="T432" s="2">
        <f t="shared" si="4"/>
        <v>1</v>
      </c>
      <c r="U432" s="2">
        <f t="shared" si="5"/>
        <v>1</v>
      </c>
      <c r="V432" s="2">
        <f t="shared" si="6"/>
        <v>1</v>
      </c>
    </row>
    <row r="433" ht="14.25" customHeight="1">
      <c r="A433" s="2" t="s">
        <v>468</v>
      </c>
      <c r="B433" s="2" t="s">
        <v>35</v>
      </c>
      <c r="C433" s="2" t="s">
        <v>19</v>
      </c>
      <c r="D433" s="2" t="s">
        <v>97</v>
      </c>
      <c r="E433" s="6">
        <v>45230.0</v>
      </c>
      <c r="F433" s="6">
        <v>45310.0</v>
      </c>
      <c r="G433" s="7">
        <v>4.35534089E8</v>
      </c>
      <c r="H433" s="2" t="s">
        <v>67</v>
      </c>
      <c r="I433" s="2">
        <f t="shared" ref="I433:P433" si="436">IF(ISBLANK(A433)=TRUE,0,1)</f>
        <v>1</v>
      </c>
      <c r="J433" s="2">
        <f t="shared" si="436"/>
        <v>1</v>
      </c>
      <c r="K433" s="2">
        <f t="shared" si="436"/>
        <v>1</v>
      </c>
      <c r="L433" s="2">
        <f t="shared" si="436"/>
        <v>1</v>
      </c>
      <c r="M433" s="2">
        <f t="shared" si="436"/>
        <v>1</v>
      </c>
      <c r="N433" s="2">
        <f t="shared" si="436"/>
        <v>1</v>
      </c>
      <c r="O433" s="2">
        <f t="shared" si="436"/>
        <v>1</v>
      </c>
      <c r="P433" s="2">
        <f t="shared" si="436"/>
        <v>1</v>
      </c>
      <c r="Q433" s="2">
        <f t="shared" si="3"/>
        <v>1</v>
      </c>
      <c r="R433" s="2">
        <f>IF(ISERROR(VLOOKUP(A433, 'Project Reference'!A:A, 1, FALSE)), 0, 1)</f>
        <v>1</v>
      </c>
      <c r="S433" s="2">
        <f>IFERROR(__xludf.DUMMYFUNCTION("IF(AND(REGEXMATCH(D433, B433), REGEXMATCH(D433, C433)), 1, 0)"),1.0)</f>
        <v>1</v>
      </c>
      <c r="T433" s="2">
        <f t="shared" si="4"/>
        <v>1</v>
      </c>
      <c r="U433" s="2">
        <f t="shared" si="5"/>
        <v>1</v>
      </c>
      <c r="V433" s="2">
        <f t="shared" si="6"/>
        <v>1</v>
      </c>
    </row>
    <row r="434" ht="14.25" customHeight="1">
      <c r="A434" s="2" t="s">
        <v>469</v>
      </c>
      <c r="B434" s="2" t="s">
        <v>18</v>
      </c>
      <c r="C434" s="2" t="s">
        <v>39</v>
      </c>
      <c r="D434" s="8" t="s">
        <v>577</v>
      </c>
      <c r="E434" s="6">
        <v>45231.0</v>
      </c>
      <c r="F434" s="6">
        <v>45268.0</v>
      </c>
      <c r="G434" s="7">
        <v>1.107624052E9</v>
      </c>
      <c r="H434" s="2" t="s">
        <v>44</v>
      </c>
      <c r="I434" s="2">
        <f t="shared" ref="I434:P434" si="437">IF(ISBLANK(A434)=TRUE,0,1)</f>
        <v>1</v>
      </c>
      <c r="J434" s="2">
        <f t="shared" si="437"/>
        <v>1</v>
      </c>
      <c r="K434" s="2">
        <f t="shared" si="437"/>
        <v>1</v>
      </c>
      <c r="L434" s="2">
        <f t="shared" si="437"/>
        <v>1</v>
      </c>
      <c r="M434" s="2">
        <f t="shared" si="437"/>
        <v>1</v>
      </c>
      <c r="N434" s="2">
        <f t="shared" si="437"/>
        <v>1</v>
      </c>
      <c r="O434" s="2">
        <f t="shared" si="437"/>
        <v>1</v>
      </c>
      <c r="P434" s="2">
        <f t="shared" si="437"/>
        <v>1</v>
      </c>
      <c r="Q434" s="2">
        <f t="shared" si="3"/>
        <v>1</v>
      </c>
      <c r="R434" s="2">
        <f>IF(ISERROR(VLOOKUP(A434, 'Project Reference'!A:A, 1, FALSE)), 0, 1)</f>
        <v>1</v>
      </c>
      <c r="S434" s="2">
        <f>IFERROR(__xludf.DUMMYFUNCTION("IF(AND(REGEXMATCH(D434, B434), REGEXMATCH(D434, C434)), 1, 0)"),1.0)</f>
        <v>1</v>
      </c>
      <c r="T434" s="2">
        <f t="shared" si="4"/>
        <v>1</v>
      </c>
      <c r="U434" s="2">
        <f t="shared" si="5"/>
        <v>1</v>
      </c>
      <c r="V434" s="2">
        <f t="shared" si="6"/>
        <v>1</v>
      </c>
    </row>
    <row r="435" ht="14.25" customHeight="1">
      <c r="A435" s="2" t="s">
        <v>471</v>
      </c>
      <c r="B435" s="2" t="s">
        <v>18</v>
      </c>
      <c r="C435" s="2" t="s">
        <v>13</v>
      </c>
      <c r="D435" s="8" t="s">
        <v>580</v>
      </c>
      <c r="E435" s="6">
        <v>45231.0</v>
      </c>
      <c r="F435" s="6">
        <v>45567.0</v>
      </c>
      <c r="G435" s="7">
        <v>2.100848894E9</v>
      </c>
      <c r="H435" s="8" t="s">
        <v>573</v>
      </c>
      <c r="I435" s="2">
        <f t="shared" ref="I435:P435" si="438">IF(ISBLANK(A435)=TRUE,0,1)</f>
        <v>1</v>
      </c>
      <c r="J435" s="2">
        <f t="shared" si="438"/>
        <v>1</v>
      </c>
      <c r="K435" s="2">
        <f t="shared" si="438"/>
        <v>1</v>
      </c>
      <c r="L435" s="2">
        <f t="shared" si="438"/>
        <v>1</v>
      </c>
      <c r="M435" s="2">
        <f t="shared" si="438"/>
        <v>1</v>
      </c>
      <c r="N435" s="2">
        <f t="shared" si="438"/>
        <v>1</v>
      </c>
      <c r="O435" s="2">
        <f t="shared" si="438"/>
        <v>1</v>
      </c>
      <c r="P435" s="2">
        <f t="shared" si="438"/>
        <v>1</v>
      </c>
      <c r="Q435" s="2">
        <f t="shared" si="3"/>
        <v>1</v>
      </c>
      <c r="R435" s="2">
        <f>IF(ISERROR(VLOOKUP(A435, 'Project Reference'!A:A, 1, FALSE)), 0, 1)</f>
        <v>1</v>
      </c>
      <c r="S435" s="2">
        <f>IFERROR(__xludf.DUMMYFUNCTION("IF(AND(REGEXMATCH(D435, B435), REGEXMATCH(D435, C435)), 1, 0)"),1.0)</f>
        <v>1</v>
      </c>
      <c r="T435" s="2">
        <f t="shared" si="4"/>
        <v>1</v>
      </c>
      <c r="U435" s="2">
        <f t="shared" si="5"/>
        <v>1</v>
      </c>
      <c r="V435" s="2">
        <f t="shared" si="6"/>
        <v>1</v>
      </c>
    </row>
    <row r="436" ht="14.25" customHeight="1">
      <c r="A436" s="2" t="s">
        <v>472</v>
      </c>
      <c r="B436" s="2" t="s">
        <v>12</v>
      </c>
      <c r="C436" s="2" t="s">
        <v>36</v>
      </c>
      <c r="D436" s="8" t="s">
        <v>578</v>
      </c>
      <c r="E436" s="6">
        <v>45234.0</v>
      </c>
      <c r="F436" s="6">
        <v>45348.0</v>
      </c>
      <c r="G436" s="7">
        <v>5.05388172E8</v>
      </c>
      <c r="H436" s="2" t="s">
        <v>44</v>
      </c>
      <c r="I436" s="2">
        <f t="shared" ref="I436:P436" si="439">IF(ISBLANK(A436)=TRUE,0,1)</f>
        <v>1</v>
      </c>
      <c r="J436" s="2">
        <f t="shared" si="439"/>
        <v>1</v>
      </c>
      <c r="K436" s="2">
        <f t="shared" si="439"/>
        <v>1</v>
      </c>
      <c r="L436" s="2">
        <f t="shared" si="439"/>
        <v>1</v>
      </c>
      <c r="M436" s="2">
        <f t="shared" si="439"/>
        <v>1</v>
      </c>
      <c r="N436" s="2">
        <f t="shared" si="439"/>
        <v>1</v>
      </c>
      <c r="O436" s="2">
        <f t="shared" si="439"/>
        <v>1</v>
      </c>
      <c r="P436" s="2">
        <f t="shared" si="439"/>
        <v>1</v>
      </c>
      <c r="Q436" s="2">
        <f t="shared" si="3"/>
        <v>1</v>
      </c>
      <c r="R436" s="2">
        <f>IF(ISERROR(VLOOKUP(A436, 'Project Reference'!A:A, 1, FALSE)), 0, 1)</f>
        <v>1</v>
      </c>
      <c r="S436" s="2">
        <f>IFERROR(__xludf.DUMMYFUNCTION("IF(AND(REGEXMATCH(D436, B436), REGEXMATCH(D436, C436)), 1, 0)"),1.0)</f>
        <v>1</v>
      </c>
      <c r="T436" s="2">
        <f t="shared" si="4"/>
        <v>1</v>
      </c>
      <c r="U436" s="2">
        <f t="shared" si="5"/>
        <v>1</v>
      </c>
      <c r="V436" s="2">
        <f t="shared" si="6"/>
        <v>1</v>
      </c>
    </row>
    <row r="437" ht="14.25" customHeight="1">
      <c r="A437" s="2" t="s">
        <v>473</v>
      </c>
      <c r="B437" s="2" t="s">
        <v>12</v>
      </c>
      <c r="C437" s="2" t="s">
        <v>31</v>
      </c>
      <c r="D437" s="8" t="s">
        <v>593</v>
      </c>
      <c r="E437" s="6">
        <v>45234.0</v>
      </c>
      <c r="F437" s="6">
        <v>45426.0</v>
      </c>
      <c r="G437" s="7">
        <v>5.74563455E8</v>
      </c>
      <c r="H437" s="8" t="s">
        <v>573</v>
      </c>
      <c r="I437" s="2">
        <f t="shared" ref="I437:P437" si="440">IF(ISBLANK(A437)=TRUE,0,1)</f>
        <v>1</v>
      </c>
      <c r="J437" s="2">
        <f t="shared" si="440"/>
        <v>1</v>
      </c>
      <c r="K437" s="2">
        <f t="shared" si="440"/>
        <v>1</v>
      </c>
      <c r="L437" s="2">
        <f t="shared" si="440"/>
        <v>1</v>
      </c>
      <c r="M437" s="2">
        <f t="shared" si="440"/>
        <v>1</v>
      </c>
      <c r="N437" s="2">
        <f t="shared" si="440"/>
        <v>1</v>
      </c>
      <c r="O437" s="2">
        <f t="shared" si="440"/>
        <v>1</v>
      </c>
      <c r="P437" s="2">
        <f t="shared" si="440"/>
        <v>1</v>
      </c>
      <c r="Q437" s="2">
        <f t="shared" si="3"/>
        <v>1</v>
      </c>
      <c r="R437" s="2">
        <f>IF(ISERROR(VLOOKUP(A437, 'Project Reference'!A:A, 1, FALSE)), 0, 1)</f>
        <v>1</v>
      </c>
      <c r="S437" s="2">
        <f>IFERROR(__xludf.DUMMYFUNCTION("IF(AND(REGEXMATCH(D437, B437), REGEXMATCH(D437, C437)), 1, 0)"),1.0)</f>
        <v>1</v>
      </c>
      <c r="T437" s="2">
        <f t="shared" si="4"/>
        <v>1</v>
      </c>
      <c r="U437" s="2">
        <f t="shared" si="5"/>
        <v>1</v>
      </c>
      <c r="V437" s="2">
        <f t="shared" si="6"/>
        <v>1</v>
      </c>
    </row>
    <row r="438" ht="14.25" customHeight="1">
      <c r="A438" s="2" t="s">
        <v>474</v>
      </c>
      <c r="B438" s="2" t="s">
        <v>12</v>
      </c>
      <c r="C438" s="2" t="s">
        <v>24</v>
      </c>
      <c r="D438" s="8" t="s">
        <v>610</v>
      </c>
      <c r="E438" s="6">
        <v>45234.0</v>
      </c>
      <c r="F438" s="6">
        <v>45264.0</v>
      </c>
      <c r="G438" s="7">
        <v>4.45199395E8</v>
      </c>
      <c r="H438" s="2" t="s">
        <v>44</v>
      </c>
      <c r="I438" s="2">
        <f t="shared" ref="I438:P438" si="441">IF(ISBLANK(A438)=TRUE,0,1)</f>
        <v>1</v>
      </c>
      <c r="J438" s="2">
        <f t="shared" si="441"/>
        <v>1</v>
      </c>
      <c r="K438" s="2">
        <f t="shared" si="441"/>
        <v>1</v>
      </c>
      <c r="L438" s="2">
        <f t="shared" si="441"/>
        <v>1</v>
      </c>
      <c r="M438" s="2">
        <f t="shared" si="441"/>
        <v>1</v>
      </c>
      <c r="N438" s="2">
        <f t="shared" si="441"/>
        <v>1</v>
      </c>
      <c r="O438" s="2">
        <f t="shared" si="441"/>
        <v>1</v>
      </c>
      <c r="P438" s="2">
        <f t="shared" si="441"/>
        <v>1</v>
      </c>
      <c r="Q438" s="2">
        <f t="shared" si="3"/>
        <v>1</v>
      </c>
      <c r="R438" s="2">
        <f>IF(ISERROR(VLOOKUP(A438, 'Project Reference'!A:A, 1, FALSE)), 0, 1)</f>
        <v>1</v>
      </c>
      <c r="S438" s="2">
        <f>IFERROR(__xludf.DUMMYFUNCTION("IF(AND(REGEXMATCH(D438, B438), REGEXMATCH(D438, C438)), 1, 0)"),1.0)</f>
        <v>1</v>
      </c>
      <c r="T438" s="2">
        <f t="shared" si="4"/>
        <v>1</v>
      </c>
      <c r="U438" s="2">
        <f t="shared" si="5"/>
        <v>1</v>
      </c>
      <c r="V438" s="2">
        <f t="shared" si="6"/>
        <v>1</v>
      </c>
    </row>
    <row r="439" ht="14.25" customHeight="1">
      <c r="A439" s="2" t="s">
        <v>475</v>
      </c>
      <c r="B439" s="2" t="s">
        <v>12</v>
      </c>
      <c r="C439" s="2" t="s">
        <v>39</v>
      </c>
      <c r="D439" s="8" t="s">
        <v>591</v>
      </c>
      <c r="E439" s="6">
        <v>45235.0</v>
      </c>
      <c r="F439" s="6">
        <v>45313.0</v>
      </c>
      <c r="G439" s="7">
        <v>8.49005913E8</v>
      </c>
      <c r="H439" s="2" t="s">
        <v>44</v>
      </c>
      <c r="I439" s="2">
        <f t="shared" ref="I439:P439" si="442">IF(ISBLANK(A439)=TRUE,0,1)</f>
        <v>1</v>
      </c>
      <c r="J439" s="2">
        <f t="shared" si="442"/>
        <v>1</v>
      </c>
      <c r="K439" s="2">
        <f t="shared" si="442"/>
        <v>1</v>
      </c>
      <c r="L439" s="2">
        <f t="shared" si="442"/>
        <v>1</v>
      </c>
      <c r="M439" s="2">
        <f t="shared" si="442"/>
        <v>1</v>
      </c>
      <c r="N439" s="2">
        <f t="shared" si="442"/>
        <v>1</v>
      </c>
      <c r="O439" s="2">
        <f t="shared" si="442"/>
        <v>1</v>
      </c>
      <c r="P439" s="2">
        <f t="shared" si="442"/>
        <v>1</v>
      </c>
      <c r="Q439" s="2">
        <f t="shared" si="3"/>
        <v>1</v>
      </c>
      <c r="R439" s="2">
        <f>IF(ISERROR(VLOOKUP(A439, 'Project Reference'!A:A, 1, FALSE)), 0, 1)</f>
        <v>1</v>
      </c>
      <c r="S439" s="2">
        <f>IFERROR(__xludf.DUMMYFUNCTION("IF(AND(REGEXMATCH(D439, B439), REGEXMATCH(D439, C439)), 1, 0)"),1.0)</f>
        <v>1</v>
      </c>
      <c r="T439" s="2">
        <f t="shared" si="4"/>
        <v>1</v>
      </c>
      <c r="U439" s="2">
        <f t="shared" si="5"/>
        <v>1</v>
      </c>
      <c r="V439" s="2">
        <f t="shared" si="6"/>
        <v>1</v>
      </c>
    </row>
    <row r="440" ht="14.25" customHeight="1">
      <c r="A440" s="2" t="s">
        <v>476</v>
      </c>
      <c r="B440" s="2" t="s">
        <v>30</v>
      </c>
      <c r="C440" s="2" t="s">
        <v>42</v>
      </c>
      <c r="D440" s="8" t="s">
        <v>632</v>
      </c>
      <c r="E440" s="6">
        <v>45236.0</v>
      </c>
      <c r="F440" s="6">
        <v>45266.0</v>
      </c>
      <c r="G440" s="7">
        <v>3.09836496E9</v>
      </c>
      <c r="H440" s="8" t="s">
        <v>581</v>
      </c>
      <c r="I440" s="2">
        <f t="shared" ref="I440:P440" si="443">IF(ISBLANK(A440)=TRUE,0,1)</f>
        <v>1</v>
      </c>
      <c r="J440" s="2">
        <f t="shared" si="443"/>
        <v>1</v>
      </c>
      <c r="K440" s="2">
        <f t="shared" si="443"/>
        <v>1</v>
      </c>
      <c r="L440" s="2">
        <f t="shared" si="443"/>
        <v>1</v>
      </c>
      <c r="M440" s="2">
        <f t="shared" si="443"/>
        <v>1</v>
      </c>
      <c r="N440" s="2">
        <f t="shared" si="443"/>
        <v>1</v>
      </c>
      <c r="O440" s="2">
        <f t="shared" si="443"/>
        <v>1</v>
      </c>
      <c r="P440" s="2">
        <f t="shared" si="443"/>
        <v>1</v>
      </c>
      <c r="Q440" s="2">
        <f t="shared" si="3"/>
        <v>1</v>
      </c>
      <c r="R440" s="2">
        <f>IF(ISERROR(VLOOKUP(A440, 'Project Reference'!A:A, 1, FALSE)), 0, 1)</f>
        <v>1</v>
      </c>
      <c r="S440" s="2">
        <f>IFERROR(__xludf.DUMMYFUNCTION("IF(AND(REGEXMATCH(D440, B440), REGEXMATCH(D440, C440)), 1, 0)"),1.0)</f>
        <v>1</v>
      </c>
      <c r="T440" s="2">
        <f t="shared" si="4"/>
        <v>1</v>
      </c>
      <c r="U440" s="2">
        <f t="shared" si="5"/>
        <v>1</v>
      </c>
      <c r="V440" s="2">
        <f t="shared" si="6"/>
        <v>1</v>
      </c>
    </row>
    <row r="441" ht="14.25" customHeight="1">
      <c r="A441" s="2" t="s">
        <v>477</v>
      </c>
      <c r="B441" s="2" t="s">
        <v>60</v>
      </c>
      <c r="C441" s="2" t="s">
        <v>42</v>
      </c>
      <c r="D441" s="8" t="s">
        <v>617</v>
      </c>
      <c r="E441" s="6">
        <v>45237.0</v>
      </c>
      <c r="F441" s="6">
        <v>45413.0</v>
      </c>
      <c r="G441" s="7">
        <v>1.607071599E9</v>
      </c>
      <c r="H441" s="8" t="s">
        <v>573</v>
      </c>
      <c r="I441" s="2">
        <f t="shared" ref="I441:P441" si="444">IF(ISBLANK(A441)=TRUE,0,1)</f>
        <v>1</v>
      </c>
      <c r="J441" s="2">
        <f t="shared" si="444"/>
        <v>1</v>
      </c>
      <c r="K441" s="2">
        <f t="shared" si="444"/>
        <v>1</v>
      </c>
      <c r="L441" s="2">
        <f t="shared" si="444"/>
        <v>1</v>
      </c>
      <c r="M441" s="2">
        <f t="shared" si="444"/>
        <v>1</v>
      </c>
      <c r="N441" s="2">
        <f t="shared" si="444"/>
        <v>1</v>
      </c>
      <c r="O441" s="2">
        <f t="shared" si="444"/>
        <v>1</v>
      </c>
      <c r="P441" s="2">
        <f t="shared" si="444"/>
        <v>1</v>
      </c>
      <c r="Q441" s="2">
        <f t="shared" si="3"/>
        <v>1</v>
      </c>
      <c r="R441" s="2">
        <f>IF(ISERROR(VLOOKUP(A441, 'Project Reference'!A:A, 1, FALSE)), 0, 1)</f>
        <v>1</v>
      </c>
      <c r="S441" s="2">
        <f>IFERROR(__xludf.DUMMYFUNCTION("IF(AND(REGEXMATCH(D441, B441), REGEXMATCH(D441, C441)), 1, 0)"),1.0)</f>
        <v>1</v>
      </c>
      <c r="T441" s="2">
        <f t="shared" si="4"/>
        <v>1</v>
      </c>
      <c r="U441" s="2">
        <f t="shared" si="5"/>
        <v>1</v>
      </c>
      <c r="V441" s="2">
        <f t="shared" si="6"/>
        <v>1</v>
      </c>
    </row>
    <row r="442" ht="14.25" customHeight="1">
      <c r="A442" s="2" t="s">
        <v>478</v>
      </c>
      <c r="B442" s="2" t="s">
        <v>30</v>
      </c>
      <c r="C442" s="2" t="s">
        <v>36</v>
      </c>
      <c r="D442" s="8" t="s">
        <v>639</v>
      </c>
      <c r="E442" s="6">
        <v>45240.0</v>
      </c>
      <c r="F442" s="6">
        <v>44995.0</v>
      </c>
      <c r="G442" s="7">
        <v>2.771182474E9</v>
      </c>
      <c r="H442" s="2" t="s">
        <v>50</v>
      </c>
      <c r="I442" s="2">
        <f t="shared" ref="I442:P442" si="445">IF(ISBLANK(A442)=TRUE,0,1)</f>
        <v>1</v>
      </c>
      <c r="J442" s="2">
        <f t="shared" si="445"/>
        <v>1</v>
      </c>
      <c r="K442" s="2">
        <f t="shared" si="445"/>
        <v>1</v>
      </c>
      <c r="L442" s="2">
        <f t="shared" si="445"/>
        <v>1</v>
      </c>
      <c r="M442" s="2">
        <f t="shared" si="445"/>
        <v>1</v>
      </c>
      <c r="N442" s="2">
        <f t="shared" si="445"/>
        <v>1</v>
      </c>
      <c r="O442" s="2">
        <f t="shared" si="445"/>
        <v>1</v>
      </c>
      <c r="P442" s="2">
        <f t="shared" si="445"/>
        <v>1</v>
      </c>
      <c r="Q442" s="2">
        <f t="shared" si="3"/>
        <v>1</v>
      </c>
      <c r="R442" s="2">
        <f>IF(ISERROR(VLOOKUP(A442, 'Project Reference'!A:A, 1, FALSE)), 0, 1)</f>
        <v>1</v>
      </c>
      <c r="S442" s="2">
        <f>IFERROR(__xludf.DUMMYFUNCTION("IF(AND(REGEXMATCH(D442, B442), REGEXMATCH(D442, C442)), 1, 0)"),1.0)</f>
        <v>1</v>
      </c>
      <c r="T442" s="2">
        <f t="shared" si="4"/>
        <v>1</v>
      </c>
      <c r="U442" s="2">
        <f t="shared" si="5"/>
        <v>0</v>
      </c>
      <c r="V442" s="2">
        <f t="shared" si="6"/>
        <v>1</v>
      </c>
    </row>
    <row r="443" ht="14.25" customHeight="1">
      <c r="A443" s="2" t="s">
        <v>479</v>
      </c>
      <c r="B443" s="2" t="s">
        <v>12</v>
      </c>
      <c r="C443" s="2" t="s">
        <v>48</v>
      </c>
      <c r="D443" s="8" t="s">
        <v>602</v>
      </c>
      <c r="E443" s="6">
        <v>45240.0</v>
      </c>
      <c r="F443" s="6">
        <v>45532.0</v>
      </c>
      <c r="G443" s="7">
        <v>1.53884086E8</v>
      </c>
      <c r="H443" s="2" t="s">
        <v>50</v>
      </c>
      <c r="I443" s="2">
        <f t="shared" ref="I443:P443" si="446">IF(ISBLANK(A443)=TRUE,0,1)</f>
        <v>1</v>
      </c>
      <c r="J443" s="2">
        <f t="shared" si="446"/>
        <v>1</v>
      </c>
      <c r="K443" s="2">
        <f t="shared" si="446"/>
        <v>1</v>
      </c>
      <c r="L443" s="2">
        <f t="shared" si="446"/>
        <v>1</v>
      </c>
      <c r="M443" s="2">
        <f t="shared" si="446"/>
        <v>1</v>
      </c>
      <c r="N443" s="2">
        <f t="shared" si="446"/>
        <v>1</v>
      </c>
      <c r="O443" s="2">
        <f t="shared" si="446"/>
        <v>1</v>
      </c>
      <c r="P443" s="2">
        <f t="shared" si="446"/>
        <v>1</v>
      </c>
      <c r="Q443" s="2">
        <f t="shared" si="3"/>
        <v>1</v>
      </c>
      <c r="R443" s="2">
        <f>IF(ISERROR(VLOOKUP(A443, 'Project Reference'!A:A, 1, FALSE)), 0, 1)</f>
        <v>1</v>
      </c>
      <c r="S443" s="2">
        <f>IFERROR(__xludf.DUMMYFUNCTION("IF(AND(REGEXMATCH(D443, B443), REGEXMATCH(D443, C443)), 1, 0)"),1.0)</f>
        <v>1</v>
      </c>
      <c r="T443" s="2">
        <f t="shared" si="4"/>
        <v>1</v>
      </c>
      <c r="U443" s="2">
        <f t="shared" si="5"/>
        <v>1</v>
      </c>
      <c r="V443" s="2">
        <f t="shared" si="6"/>
        <v>1</v>
      </c>
    </row>
    <row r="444" ht="14.25" customHeight="1">
      <c r="A444" s="2" t="s">
        <v>483</v>
      </c>
      <c r="B444" s="2" t="s">
        <v>18</v>
      </c>
      <c r="C444" s="2" t="s">
        <v>24</v>
      </c>
      <c r="D444" s="8" t="s">
        <v>618</v>
      </c>
      <c r="E444" s="6">
        <v>45240.0</v>
      </c>
      <c r="F444" s="6">
        <v>45346.0</v>
      </c>
      <c r="G444" s="7">
        <v>1.652872648E9</v>
      </c>
      <c r="H444" s="2" t="s">
        <v>50</v>
      </c>
      <c r="I444" s="2">
        <f t="shared" ref="I444:P444" si="447">IF(ISBLANK(A444)=TRUE,0,1)</f>
        <v>1</v>
      </c>
      <c r="J444" s="2">
        <f t="shared" si="447"/>
        <v>1</v>
      </c>
      <c r="K444" s="2">
        <f t="shared" si="447"/>
        <v>1</v>
      </c>
      <c r="L444" s="2">
        <f t="shared" si="447"/>
        <v>1</v>
      </c>
      <c r="M444" s="2">
        <f t="shared" si="447"/>
        <v>1</v>
      </c>
      <c r="N444" s="2">
        <f t="shared" si="447"/>
        <v>1</v>
      </c>
      <c r="O444" s="2">
        <f t="shared" si="447"/>
        <v>1</v>
      </c>
      <c r="P444" s="2">
        <f t="shared" si="447"/>
        <v>1</v>
      </c>
      <c r="Q444" s="2">
        <f t="shared" si="3"/>
        <v>1</v>
      </c>
      <c r="R444" s="2">
        <f>IF(ISERROR(VLOOKUP(A444, 'Project Reference'!A:A, 1, FALSE)), 0, 1)</f>
        <v>1</v>
      </c>
      <c r="S444" s="2">
        <f>IFERROR(__xludf.DUMMYFUNCTION("IF(AND(REGEXMATCH(D444, B444), REGEXMATCH(D444, C444)), 1, 0)"),1.0)</f>
        <v>1</v>
      </c>
      <c r="T444" s="2">
        <f t="shared" si="4"/>
        <v>1</v>
      </c>
      <c r="U444" s="2">
        <f t="shared" si="5"/>
        <v>1</v>
      </c>
      <c r="V444" s="2">
        <f t="shared" si="6"/>
        <v>1</v>
      </c>
    </row>
    <row r="445" ht="14.25" customHeight="1">
      <c r="A445" s="2" t="s">
        <v>484</v>
      </c>
      <c r="B445" s="2" t="s">
        <v>30</v>
      </c>
      <c r="C445" s="2" t="s">
        <v>24</v>
      </c>
      <c r="D445" s="8" t="s">
        <v>637</v>
      </c>
      <c r="E445" s="6">
        <v>45241.0</v>
      </c>
      <c r="F445" s="6">
        <v>45505.0</v>
      </c>
      <c r="G445" s="7">
        <v>7.444707554E9</v>
      </c>
      <c r="H445" s="8" t="s">
        <v>581</v>
      </c>
      <c r="I445" s="2">
        <f t="shared" ref="I445:P445" si="448">IF(ISBLANK(A445)=TRUE,0,1)</f>
        <v>1</v>
      </c>
      <c r="J445" s="2">
        <f t="shared" si="448"/>
        <v>1</v>
      </c>
      <c r="K445" s="2">
        <f t="shared" si="448"/>
        <v>1</v>
      </c>
      <c r="L445" s="2">
        <f t="shared" si="448"/>
        <v>1</v>
      </c>
      <c r="M445" s="2">
        <f t="shared" si="448"/>
        <v>1</v>
      </c>
      <c r="N445" s="2">
        <f t="shared" si="448"/>
        <v>1</v>
      </c>
      <c r="O445" s="2">
        <f t="shared" si="448"/>
        <v>1</v>
      </c>
      <c r="P445" s="2">
        <f t="shared" si="448"/>
        <v>1</v>
      </c>
      <c r="Q445" s="2">
        <f t="shared" si="3"/>
        <v>1</v>
      </c>
      <c r="R445" s="2">
        <f>IF(ISERROR(VLOOKUP(A445, 'Project Reference'!A:A, 1, FALSE)), 0, 1)</f>
        <v>1</v>
      </c>
      <c r="S445" s="2">
        <f>IFERROR(__xludf.DUMMYFUNCTION("IF(AND(REGEXMATCH(D445, B445), REGEXMATCH(D445, C445)), 1, 0)"),1.0)</f>
        <v>1</v>
      </c>
      <c r="T445" s="2">
        <f t="shared" si="4"/>
        <v>1</v>
      </c>
      <c r="U445" s="2">
        <f t="shared" si="5"/>
        <v>1</v>
      </c>
      <c r="V445" s="2">
        <f t="shared" si="6"/>
        <v>1</v>
      </c>
    </row>
    <row r="446" ht="14.25" customHeight="1">
      <c r="A446" s="2" t="s">
        <v>485</v>
      </c>
      <c r="B446" s="2" t="s">
        <v>35</v>
      </c>
      <c r="C446" s="2" t="s">
        <v>48</v>
      </c>
      <c r="D446" s="2" t="s">
        <v>49</v>
      </c>
      <c r="E446" s="6">
        <v>45241.0</v>
      </c>
      <c r="F446" s="6">
        <v>44946.0</v>
      </c>
      <c r="G446" s="7">
        <v>3.0800941E8</v>
      </c>
      <c r="H446" s="2" t="s">
        <v>21</v>
      </c>
      <c r="I446" s="2">
        <f t="shared" ref="I446:P446" si="449">IF(ISBLANK(A446)=TRUE,0,1)</f>
        <v>1</v>
      </c>
      <c r="J446" s="2">
        <f t="shared" si="449"/>
        <v>1</v>
      </c>
      <c r="K446" s="2">
        <f t="shared" si="449"/>
        <v>1</v>
      </c>
      <c r="L446" s="2">
        <f t="shared" si="449"/>
        <v>1</v>
      </c>
      <c r="M446" s="2">
        <f t="shared" si="449"/>
        <v>1</v>
      </c>
      <c r="N446" s="2">
        <f t="shared" si="449"/>
        <v>1</v>
      </c>
      <c r="O446" s="2">
        <f t="shared" si="449"/>
        <v>1</v>
      </c>
      <c r="P446" s="2">
        <f t="shared" si="449"/>
        <v>1</v>
      </c>
      <c r="Q446" s="2">
        <f t="shared" si="3"/>
        <v>1</v>
      </c>
      <c r="R446" s="2">
        <f>IF(ISERROR(VLOOKUP(A446, 'Project Reference'!A:A, 1, FALSE)), 0, 1)</f>
        <v>1</v>
      </c>
      <c r="S446" s="2">
        <f>IFERROR(__xludf.DUMMYFUNCTION("IF(AND(REGEXMATCH(D446, B446), REGEXMATCH(D446, C446)), 1, 0)"),1.0)</f>
        <v>1</v>
      </c>
      <c r="T446" s="2">
        <f t="shared" si="4"/>
        <v>1</v>
      </c>
      <c r="U446" s="2">
        <f t="shared" si="5"/>
        <v>0</v>
      </c>
      <c r="V446" s="2">
        <f t="shared" si="6"/>
        <v>1</v>
      </c>
    </row>
    <row r="447" ht="14.25" customHeight="1">
      <c r="A447" s="2" t="s">
        <v>486</v>
      </c>
      <c r="B447" s="2" t="s">
        <v>30</v>
      </c>
      <c r="C447" s="2" t="s">
        <v>48</v>
      </c>
      <c r="D447" s="8" t="s">
        <v>615</v>
      </c>
      <c r="E447" s="6">
        <v>45242.0</v>
      </c>
      <c r="F447" s="6">
        <v>45439.0</v>
      </c>
      <c r="G447" s="7">
        <v>2.851933896E9</v>
      </c>
      <c r="H447" s="2" t="s">
        <v>50</v>
      </c>
      <c r="I447" s="2">
        <f t="shared" ref="I447:P447" si="450">IF(ISBLANK(A447)=TRUE,0,1)</f>
        <v>1</v>
      </c>
      <c r="J447" s="2">
        <f t="shared" si="450"/>
        <v>1</v>
      </c>
      <c r="K447" s="2">
        <f t="shared" si="450"/>
        <v>1</v>
      </c>
      <c r="L447" s="2">
        <f t="shared" si="450"/>
        <v>1</v>
      </c>
      <c r="M447" s="2">
        <f t="shared" si="450"/>
        <v>1</v>
      </c>
      <c r="N447" s="2">
        <f t="shared" si="450"/>
        <v>1</v>
      </c>
      <c r="O447" s="2">
        <f t="shared" si="450"/>
        <v>1</v>
      </c>
      <c r="P447" s="2">
        <f t="shared" si="450"/>
        <v>1</v>
      </c>
      <c r="Q447" s="2">
        <f t="shared" si="3"/>
        <v>1</v>
      </c>
      <c r="R447" s="2">
        <f>IF(ISERROR(VLOOKUP(A447, 'Project Reference'!A:A, 1, FALSE)), 0, 1)</f>
        <v>1</v>
      </c>
      <c r="S447" s="2">
        <f>IFERROR(__xludf.DUMMYFUNCTION("IF(AND(REGEXMATCH(D447, B447), REGEXMATCH(D447, C447)), 1, 0)"),1.0)</f>
        <v>1</v>
      </c>
      <c r="T447" s="2">
        <f t="shared" si="4"/>
        <v>1</v>
      </c>
      <c r="U447" s="2">
        <f t="shared" si="5"/>
        <v>1</v>
      </c>
      <c r="V447" s="2">
        <f t="shared" si="6"/>
        <v>1</v>
      </c>
    </row>
    <row r="448" ht="14.25" customHeight="1">
      <c r="A448" s="2" t="s">
        <v>487</v>
      </c>
      <c r="B448" s="2" t="s">
        <v>30</v>
      </c>
      <c r="C448" s="2" t="s">
        <v>42</v>
      </c>
      <c r="D448" s="8" t="s">
        <v>632</v>
      </c>
      <c r="E448" s="6">
        <v>45242.0</v>
      </c>
      <c r="F448" s="6">
        <v>45098.0</v>
      </c>
      <c r="G448" s="7">
        <v>5.932217911E9</v>
      </c>
      <c r="H448" s="2" t="s">
        <v>44</v>
      </c>
      <c r="I448" s="2">
        <f t="shared" ref="I448:P448" si="451">IF(ISBLANK(A448)=TRUE,0,1)</f>
        <v>1</v>
      </c>
      <c r="J448" s="2">
        <f t="shared" si="451"/>
        <v>1</v>
      </c>
      <c r="K448" s="2">
        <f t="shared" si="451"/>
        <v>1</v>
      </c>
      <c r="L448" s="2">
        <f t="shared" si="451"/>
        <v>1</v>
      </c>
      <c r="M448" s="2">
        <f t="shared" si="451"/>
        <v>1</v>
      </c>
      <c r="N448" s="2">
        <f t="shared" si="451"/>
        <v>1</v>
      </c>
      <c r="O448" s="2">
        <f t="shared" si="451"/>
        <v>1</v>
      </c>
      <c r="P448" s="2">
        <f t="shared" si="451"/>
        <v>1</v>
      </c>
      <c r="Q448" s="2">
        <f t="shared" si="3"/>
        <v>1</v>
      </c>
      <c r="R448" s="2">
        <f>IF(ISERROR(VLOOKUP(A448, 'Project Reference'!A:A, 1, FALSE)), 0, 1)</f>
        <v>1</v>
      </c>
      <c r="S448" s="2">
        <f>IFERROR(__xludf.DUMMYFUNCTION("IF(AND(REGEXMATCH(D448, B448), REGEXMATCH(D448, C448)), 1, 0)"),1.0)</f>
        <v>1</v>
      </c>
      <c r="T448" s="2">
        <f t="shared" si="4"/>
        <v>1</v>
      </c>
      <c r="U448" s="2">
        <f t="shared" si="5"/>
        <v>0</v>
      </c>
      <c r="V448" s="2">
        <f t="shared" si="6"/>
        <v>1</v>
      </c>
    </row>
    <row r="449" ht="14.25" customHeight="1">
      <c r="A449" s="2" t="s">
        <v>488</v>
      </c>
      <c r="B449" s="2" t="s">
        <v>12</v>
      </c>
      <c r="C449" s="2" t="s">
        <v>48</v>
      </c>
      <c r="D449" s="8" t="s">
        <v>602</v>
      </c>
      <c r="E449" s="6">
        <v>45242.0</v>
      </c>
      <c r="F449" s="6">
        <v>45345.0</v>
      </c>
      <c r="G449" s="7">
        <v>3.94459258E8</v>
      </c>
      <c r="H449" s="8" t="s">
        <v>581</v>
      </c>
      <c r="I449" s="2">
        <f t="shared" ref="I449:P449" si="452">IF(ISBLANK(A449)=TRUE,0,1)</f>
        <v>1</v>
      </c>
      <c r="J449" s="2">
        <f t="shared" si="452"/>
        <v>1</v>
      </c>
      <c r="K449" s="2">
        <f t="shared" si="452"/>
        <v>1</v>
      </c>
      <c r="L449" s="2">
        <f t="shared" si="452"/>
        <v>1</v>
      </c>
      <c r="M449" s="2">
        <f t="shared" si="452"/>
        <v>1</v>
      </c>
      <c r="N449" s="2">
        <f t="shared" si="452"/>
        <v>1</v>
      </c>
      <c r="O449" s="2">
        <f t="shared" si="452"/>
        <v>1</v>
      </c>
      <c r="P449" s="2">
        <f t="shared" si="452"/>
        <v>1</v>
      </c>
      <c r="Q449" s="2">
        <f t="shared" si="3"/>
        <v>1</v>
      </c>
      <c r="R449" s="2">
        <f>IF(ISERROR(VLOOKUP(A449, 'Project Reference'!A:A, 1, FALSE)), 0, 1)</f>
        <v>1</v>
      </c>
      <c r="S449" s="2">
        <f>IFERROR(__xludf.DUMMYFUNCTION("IF(AND(REGEXMATCH(D449, B449), REGEXMATCH(D449, C449)), 1, 0)"),1.0)</f>
        <v>1</v>
      </c>
      <c r="T449" s="2">
        <f t="shared" si="4"/>
        <v>1</v>
      </c>
      <c r="U449" s="2">
        <f t="shared" si="5"/>
        <v>1</v>
      </c>
      <c r="V449" s="2">
        <f t="shared" si="6"/>
        <v>1</v>
      </c>
    </row>
    <row r="450" ht="14.25" customHeight="1">
      <c r="A450" s="2" t="s">
        <v>489</v>
      </c>
      <c r="B450" s="2" t="s">
        <v>60</v>
      </c>
      <c r="C450" s="2" t="s">
        <v>39</v>
      </c>
      <c r="D450" s="8" t="s">
        <v>642</v>
      </c>
      <c r="E450" s="6">
        <v>45242.0</v>
      </c>
      <c r="F450" s="6">
        <v>45305.0</v>
      </c>
      <c r="G450" s="7">
        <v>3.343026784E9</v>
      </c>
      <c r="H450" s="8" t="s">
        <v>573</v>
      </c>
      <c r="I450" s="2">
        <f t="shared" ref="I450:P450" si="453">IF(ISBLANK(A450)=TRUE,0,1)</f>
        <v>1</v>
      </c>
      <c r="J450" s="2">
        <f t="shared" si="453"/>
        <v>1</v>
      </c>
      <c r="K450" s="2">
        <f t="shared" si="453"/>
        <v>1</v>
      </c>
      <c r="L450" s="2">
        <f t="shared" si="453"/>
        <v>1</v>
      </c>
      <c r="M450" s="2">
        <f t="shared" si="453"/>
        <v>1</v>
      </c>
      <c r="N450" s="2">
        <f t="shared" si="453"/>
        <v>1</v>
      </c>
      <c r="O450" s="2">
        <f t="shared" si="453"/>
        <v>1</v>
      </c>
      <c r="P450" s="2">
        <f t="shared" si="453"/>
        <v>1</v>
      </c>
      <c r="Q450" s="2">
        <f t="shared" si="3"/>
        <v>1</v>
      </c>
      <c r="R450" s="2">
        <f>IF(ISERROR(VLOOKUP(A450, 'Project Reference'!A:A, 1, FALSE)), 0, 1)</f>
        <v>1</v>
      </c>
      <c r="S450" s="2">
        <f>IFERROR(__xludf.DUMMYFUNCTION("IF(AND(REGEXMATCH(D450, B450), REGEXMATCH(D450, C450)), 1, 0)"),1.0)</f>
        <v>1</v>
      </c>
      <c r="T450" s="2">
        <f t="shared" si="4"/>
        <v>1</v>
      </c>
      <c r="U450" s="2">
        <f t="shared" si="5"/>
        <v>1</v>
      </c>
      <c r="V450" s="2">
        <f t="shared" si="6"/>
        <v>1</v>
      </c>
    </row>
    <row r="451" ht="14.25" customHeight="1">
      <c r="A451" s="2" t="s">
        <v>490</v>
      </c>
      <c r="B451" s="2" t="s">
        <v>60</v>
      </c>
      <c r="C451" s="2" t="s">
        <v>31</v>
      </c>
      <c r="D451" s="8" t="s">
        <v>599</v>
      </c>
      <c r="E451" s="6">
        <v>45243.0</v>
      </c>
      <c r="F451" s="6">
        <v>45535.0</v>
      </c>
      <c r="G451" s="7">
        <v>4.651361592E9</v>
      </c>
      <c r="H451" s="2" t="s">
        <v>33</v>
      </c>
      <c r="I451" s="2">
        <f t="shared" ref="I451:P451" si="454">IF(ISBLANK(A451)=TRUE,0,1)</f>
        <v>1</v>
      </c>
      <c r="J451" s="2">
        <f t="shared" si="454"/>
        <v>1</v>
      </c>
      <c r="K451" s="2">
        <f t="shared" si="454"/>
        <v>1</v>
      </c>
      <c r="L451" s="2">
        <f t="shared" si="454"/>
        <v>1</v>
      </c>
      <c r="M451" s="2">
        <f t="shared" si="454"/>
        <v>1</v>
      </c>
      <c r="N451" s="2">
        <f t="shared" si="454"/>
        <v>1</v>
      </c>
      <c r="O451" s="2">
        <f t="shared" si="454"/>
        <v>1</v>
      </c>
      <c r="P451" s="2">
        <f t="shared" si="454"/>
        <v>1</v>
      </c>
      <c r="Q451" s="2">
        <f t="shared" si="3"/>
        <v>1</v>
      </c>
      <c r="R451" s="2">
        <f>IF(ISERROR(VLOOKUP(A451, 'Project Reference'!A:A, 1, FALSE)), 0, 1)</f>
        <v>1</v>
      </c>
      <c r="S451" s="2">
        <f>IFERROR(__xludf.DUMMYFUNCTION("IF(AND(REGEXMATCH(D451, B451), REGEXMATCH(D451, C451)), 1, 0)"),1.0)</f>
        <v>1</v>
      </c>
      <c r="T451" s="2">
        <f t="shared" si="4"/>
        <v>1</v>
      </c>
      <c r="U451" s="2">
        <f t="shared" si="5"/>
        <v>1</v>
      </c>
      <c r="V451" s="2">
        <f t="shared" si="6"/>
        <v>1</v>
      </c>
    </row>
    <row r="452" ht="14.25" customHeight="1">
      <c r="A452" s="2" t="s">
        <v>491</v>
      </c>
      <c r="B452" s="2" t="s">
        <v>35</v>
      </c>
      <c r="C452" s="2" t="s">
        <v>24</v>
      </c>
      <c r="D452" s="2" t="s">
        <v>133</v>
      </c>
      <c r="E452" s="6">
        <v>45245.0</v>
      </c>
      <c r="F452" s="6">
        <v>45585.0</v>
      </c>
      <c r="G452" s="7">
        <v>2.87244799E8</v>
      </c>
      <c r="H452" s="2" t="s">
        <v>33</v>
      </c>
      <c r="I452" s="2">
        <f t="shared" ref="I452:P452" si="455">IF(ISBLANK(A452)=TRUE,0,1)</f>
        <v>1</v>
      </c>
      <c r="J452" s="2">
        <f t="shared" si="455"/>
        <v>1</v>
      </c>
      <c r="K452" s="2">
        <f t="shared" si="455"/>
        <v>1</v>
      </c>
      <c r="L452" s="2">
        <f t="shared" si="455"/>
        <v>1</v>
      </c>
      <c r="M452" s="2">
        <f t="shared" si="455"/>
        <v>1</v>
      </c>
      <c r="N452" s="2">
        <f t="shared" si="455"/>
        <v>1</v>
      </c>
      <c r="O452" s="2">
        <f t="shared" si="455"/>
        <v>1</v>
      </c>
      <c r="P452" s="2">
        <f t="shared" si="455"/>
        <v>1</v>
      </c>
      <c r="Q452" s="2">
        <f t="shared" si="3"/>
        <v>1</v>
      </c>
      <c r="R452" s="2">
        <f>IF(ISERROR(VLOOKUP(A452, 'Project Reference'!A:A, 1, FALSE)), 0, 1)</f>
        <v>1</v>
      </c>
      <c r="S452" s="2">
        <f>IFERROR(__xludf.DUMMYFUNCTION("IF(AND(REGEXMATCH(D452, B452), REGEXMATCH(D452, C452)), 1, 0)"),1.0)</f>
        <v>1</v>
      </c>
      <c r="T452" s="2">
        <f t="shared" si="4"/>
        <v>1</v>
      </c>
      <c r="U452" s="2">
        <f t="shared" si="5"/>
        <v>1</v>
      </c>
      <c r="V452" s="2">
        <f t="shared" si="6"/>
        <v>1</v>
      </c>
    </row>
    <row r="453" ht="14.25" customHeight="1">
      <c r="A453" s="2" t="s">
        <v>495</v>
      </c>
      <c r="B453" s="2" t="s">
        <v>12</v>
      </c>
      <c r="C453" s="2" t="s">
        <v>48</v>
      </c>
      <c r="D453" s="8" t="s">
        <v>602</v>
      </c>
      <c r="E453" s="6">
        <v>45246.0</v>
      </c>
      <c r="F453" s="6">
        <v>45389.0</v>
      </c>
      <c r="G453" s="7">
        <v>6.42644763E8</v>
      </c>
      <c r="H453" s="2" t="s">
        <v>50</v>
      </c>
      <c r="I453" s="2">
        <f t="shared" ref="I453:P453" si="456">IF(ISBLANK(A453)=TRUE,0,1)</f>
        <v>1</v>
      </c>
      <c r="J453" s="2">
        <f t="shared" si="456"/>
        <v>1</v>
      </c>
      <c r="K453" s="2">
        <f t="shared" si="456"/>
        <v>1</v>
      </c>
      <c r="L453" s="2">
        <f t="shared" si="456"/>
        <v>1</v>
      </c>
      <c r="M453" s="2">
        <f t="shared" si="456"/>
        <v>1</v>
      </c>
      <c r="N453" s="2">
        <f t="shared" si="456"/>
        <v>1</v>
      </c>
      <c r="O453" s="2">
        <f t="shared" si="456"/>
        <v>1</v>
      </c>
      <c r="P453" s="2">
        <f t="shared" si="456"/>
        <v>1</v>
      </c>
      <c r="Q453" s="2">
        <f t="shared" si="3"/>
        <v>1</v>
      </c>
      <c r="R453" s="2">
        <f>IF(ISERROR(VLOOKUP(A453, 'Project Reference'!A:A, 1, FALSE)), 0, 1)</f>
        <v>1</v>
      </c>
      <c r="S453" s="2">
        <f>IFERROR(__xludf.DUMMYFUNCTION("IF(AND(REGEXMATCH(D453, B453), REGEXMATCH(D453, C453)), 1, 0)"),1.0)</f>
        <v>1</v>
      </c>
      <c r="T453" s="2">
        <f t="shared" si="4"/>
        <v>1</v>
      </c>
      <c r="U453" s="2">
        <f t="shared" si="5"/>
        <v>1</v>
      </c>
      <c r="V453" s="2">
        <f t="shared" si="6"/>
        <v>1</v>
      </c>
    </row>
    <row r="454" ht="14.25" customHeight="1">
      <c r="A454" s="2" t="s">
        <v>496</v>
      </c>
      <c r="B454" s="2" t="s">
        <v>30</v>
      </c>
      <c r="C454" s="2" t="s">
        <v>19</v>
      </c>
      <c r="D454" s="8" t="s">
        <v>624</v>
      </c>
      <c r="E454" s="6">
        <v>45246.0</v>
      </c>
      <c r="F454" s="6">
        <v>45343.0</v>
      </c>
      <c r="G454" s="7">
        <v>5.716503787E9</v>
      </c>
      <c r="H454" s="2" t="s">
        <v>67</v>
      </c>
      <c r="I454" s="2">
        <f t="shared" ref="I454:P454" si="457">IF(ISBLANK(A454)=TRUE,0,1)</f>
        <v>1</v>
      </c>
      <c r="J454" s="2">
        <f t="shared" si="457"/>
        <v>1</v>
      </c>
      <c r="K454" s="2">
        <f t="shared" si="457"/>
        <v>1</v>
      </c>
      <c r="L454" s="2">
        <f t="shared" si="457"/>
        <v>1</v>
      </c>
      <c r="M454" s="2">
        <f t="shared" si="457"/>
        <v>1</v>
      </c>
      <c r="N454" s="2">
        <f t="shared" si="457"/>
        <v>1</v>
      </c>
      <c r="O454" s="2">
        <f t="shared" si="457"/>
        <v>1</v>
      </c>
      <c r="P454" s="2">
        <f t="shared" si="457"/>
        <v>1</v>
      </c>
      <c r="Q454" s="2">
        <f t="shared" si="3"/>
        <v>1</v>
      </c>
      <c r="R454" s="2">
        <f>IF(ISERROR(VLOOKUP(A454, 'Project Reference'!A:A, 1, FALSE)), 0, 1)</f>
        <v>1</v>
      </c>
      <c r="S454" s="2">
        <f>IFERROR(__xludf.DUMMYFUNCTION("IF(AND(REGEXMATCH(D454, B454), REGEXMATCH(D454, C454)), 1, 0)"),1.0)</f>
        <v>1</v>
      </c>
      <c r="T454" s="2">
        <f t="shared" si="4"/>
        <v>1</v>
      </c>
      <c r="U454" s="2">
        <f t="shared" si="5"/>
        <v>1</v>
      </c>
      <c r="V454" s="2">
        <f t="shared" si="6"/>
        <v>1</v>
      </c>
    </row>
    <row r="455" ht="14.25" customHeight="1">
      <c r="A455" s="2" t="s">
        <v>497</v>
      </c>
      <c r="B455" s="2" t="s">
        <v>35</v>
      </c>
      <c r="C455" s="2" t="s">
        <v>48</v>
      </c>
      <c r="D455" s="2" t="s">
        <v>49</v>
      </c>
      <c r="E455" s="6">
        <v>45247.0</v>
      </c>
      <c r="F455" s="6">
        <v>45328.0</v>
      </c>
      <c r="G455" s="7">
        <v>5.37845909E8</v>
      </c>
      <c r="H455" s="2" t="s">
        <v>50</v>
      </c>
      <c r="I455" s="2">
        <f t="shared" ref="I455:P455" si="458">IF(ISBLANK(A455)=TRUE,0,1)</f>
        <v>1</v>
      </c>
      <c r="J455" s="2">
        <f t="shared" si="458"/>
        <v>1</v>
      </c>
      <c r="K455" s="2">
        <f t="shared" si="458"/>
        <v>1</v>
      </c>
      <c r="L455" s="2">
        <f t="shared" si="458"/>
        <v>1</v>
      </c>
      <c r="M455" s="2">
        <f t="shared" si="458"/>
        <v>1</v>
      </c>
      <c r="N455" s="2">
        <f t="shared" si="458"/>
        <v>1</v>
      </c>
      <c r="O455" s="2">
        <f t="shared" si="458"/>
        <v>1</v>
      </c>
      <c r="P455" s="2">
        <f t="shared" si="458"/>
        <v>1</v>
      </c>
      <c r="Q455" s="2">
        <f t="shared" si="3"/>
        <v>1</v>
      </c>
      <c r="R455" s="2">
        <f>IF(ISERROR(VLOOKUP(A455, 'Project Reference'!A:A, 1, FALSE)), 0, 1)</f>
        <v>1</v>
      </c>
      <c r="S455" s="2">
        <f>IFERROR(__xludf.DUMMYFUNCTION("IF(AND(REGEXMATCH(D455, B455), REGEXMATCH(D455, C455)), 1, 0)"),1.0)</f>
        <v>1</v>
      </c>
      <c r="T455" s="2">
        <f t="shared" si="4"/>
        <v>1</v>
      </c>
      <c r="U455" s="2">
        <f t="shared" si="5"/>
        <v>1</v>
      </c>
      <c r="V455" s="2">
        <f t="shared" si="6"/>
        <v>1</v>
      </c>
    </row>
    <row r="456" ht="14.25" customHeight="1">
      <c r="A456" s="2" t="s">
        <v>498</v>
      </c>
      <c r="B456" s="2" t="s">
        <v>12</v>
      </c>
      <c r="C456" s="2" t="s">
        <v>24</v>
      </c>
      <c r="D456" s="8" t="s">
        <v>610</v>
      </c>
      <c r="E456" s="6">
        <v>45247.0</v>
      </c>
      <c r="F456" s="6">
        <v>45499.0</v>
      </c>
      <c r="G456" s="7">
        <v>8.00732653E8</v>
      </c>
      <c r="H456" s="2" t="s">
        <v>33</v>
      </c>
      <c r="I456" s="2">
        <f t="shared" ref="I456:P456" si="459">IF(ISBLANK(A456)=TRUE,0,1)</f>
        <v>1</v>
      </c>
      <c r="J456" s="2">
        <f t="shared" si="459"/>
        <v>1</v>
      </c>
      <c r="K456" s="2">
        <f t="shared" si="459"/>
        <v>1</v>
      </c>
      <c r="L456" s="2">
        <f t="shared" si="459"/>
        <v>1</v>
      </c>
      <c r="M456" s="2">
        <f t="shared" si="459"/>
        <v>1</v>
      </c>
      <c r="N456" s="2">
        <f t="shared" si="459"/>
        <v>1</v>
      </c>
      <c r="O456" s="2">
        <f t="shared" si="459"/>
        <v>1</v>
      </c>
      <c r="P456" s="2">
        <f t="shared" si="459"/>
        <v>1</v>
      </c>
      <c r="Q456" s="2">
        <f t="shared" si="3"/>
        <v>1</v>
      </c>
      <c r="R456" s="2">
        <f>IF(ISERROR(VLOOKUP(A456, 'Project Reference'!A:A, 1, FALSE)), 0, 1)</f>
        <v>1</v>
      </c>
      <c r="S456" s="2">
        <f>IFERROR(__xludf.DUMMYFUNCTION("IF(AND(REGEXMATCH(D456, B456), REGEXMATCH(D456, C456)), 1, 0)"),1.0)</f>
        <v>1</v>
      </c>
      <c r="T456" s="2">
        <f t="shared" si="4"/>
        <v>1</v>
      </c>
      <c r="U456" s="2">
        <f t="shared" si="5"/>
        <v>1</v>
      </c>
      <c r="V456" s="2">
        <f t="shared" si="6"/>
        <v>1</v>
      </c>
    </row>
    <row r="457" ht="14.25" customHeight="1">
      <c r="A457" s="2" t="s">
        <v>499</v>
      </c>
      <c r="B457" s="2" t="s">
        <v>30</v>
      </c>
      <c r="C457" s="2" t="s">
        <v>48</v>
      </c>
      <c r="D457" s="8" t="s">
        <v>615</v>
      </c>
      <c r="E457" s="6">
        <v>45248.0</v>
      </c>
      <c r="F457" s="6">
        <v>45605.0</v>
      </c>
      <c r="G457" s="7">
        <v>6.76299944E8</v>
      </c>
      <c r="H457" s="2" t="s">
        <v>50</v>
      </c>
      <c r="I457" s="2">
        <f t="shared" ref="I457:P457" si="460">IF(ISBLANK(A457)=TRUE,0,1)</f>
        <v>1</v>
      </c>
      <c r="J457" s="2">
        <f t="shared" si="460"/>
        <v>1</v>
      </c>
      <c r="K457" s="2">
        <f t="shared" si="460"/>
        <v>1</v>
      </c>
      <c r="L457" s="2">
        <f t="shared" si="460"/>
        <v>1</v>
      </c>
      <c r="M457" s="2">
        <f t="shared" si="460"/>
        <v>1</v>
      </c>
      <c r="N457" s="2">
        <f t="shared" si="460"/>
        <v>1</v>
      </c>
      <c r="O457" s="2">
        <f t="shared" si="460"/>
        <v>1</v>
      </c>
      <c r="P457" s="2">
        <f t="shared" si="460"/>
        <v>1</v>
      </c>
      <c r="Q457" s="2">
        <f t="shared" si="3"/>
        <v>1</v>
      </c>
      <c r="R457" s="2">
        <f>IF(ISERROR(VLOOKUP(A457, 'Project Reference'!A:A, 1, FALSE)), 0, 1)</f>
        <v>1</v>
      </c>
      <c r="S457" s="2">
        <f>IFERROR(__xludf.DUMMYFUNCTION("IF(AND(REGEXMATCH(D457, B457), REGEXMATCH(D457, C457)), 1, 0)"),1.0)</f>
        <v>1</v>
      </c>
      <c r="T457" s="2">
        <f t="shared" si="4"/>
        <v>1</v>
      </c>
      <c r="U457" s="2">
        <f t="shared" si="5"/>
        <v>1</v>
      </c>
      <c r="V457" s="2">
        <f t="shared" si="6"/>
        <v>1</v>
      </c>
    </row>
    <row r="458" ht="14.25" customHeight="1">
      <c r="A458" s="2" t="s">
        <v>500</v>
      </c>
      <c r="B458" s="2" t="s">
        <v>30</v>
      </c>
      <c r="C458" s="2" t="s">
        <v>39</v>
      </c>
      <c r="D458" s="8" t="s">
        <v>590</v>
      </c>
      <c r="E458" s="6">
        <v>45248.0</v>
      </c>
      <c r="F458" s="6">
        <v>45481.0</v>
      </c>
      <c r="G458" s="7">
        <v>5.621717823E9</v>
      </c>
      <c r="H458" s="8" t="s">
        <v>573</v>
      </c>
      <c r="I458" s="2">
        <f t="shared" ref="I458:P458" si="461">IF(ISBLANK(A458)=TRUE,0,1)</f>
        <v>1</v>
      </c>
      <c r="J458" s="2">
        <f t="shared" si="461"/>
        <v>1</v>
      </c>
      <c r="K458" s="2">
        <f t="shared" si="461"/>
        <v>1</v>
      </c>
      <c r="L458" s="2">
        <f t="shared" si="461"/>
        <v>1</v>
      </c>
      <c r="M458" s="2">
        <f t="shared" si="461"/>
        <v>1</v>
      </c>
      <c r="N458" s="2">
        <f t="shared" si="461"/>
        <v>1</v>
      </c>
      <c r="O458" s="2">
        <f t="shared" si="461"/>
        <v>1</v>
      </c>
      <c r="P458" s="2">
        <f t="shared" si="461"/>
        <v>1</v>
      </c>
      <c r="Q458" s="2">
        <f t="shared" si="3"/>
        <v>1</v>
      </c>
      <c r="R458" s="2">
        <f>IF(ISERROR(VLOOKUP(A458, 'Project Reference'!A:A, 1, FALSE)), 0, 1)</f>
        <v>1</v>
      </c>
      <c r="S458" s="2">
        <f>IFERROR(__xludf.DUMMYFUNCTION("IF(AND(REGEXMATCH(D458, B458), REGEXMATCH(D458, C458)), 1, 0)"),1.0)</f>
        <v>1</v>
      </c>
      <c r="T458" s="2">
        <f t="shared" si="4"/>
        <v>1</v>
      </c>
      <c r="U458" s="2">
        <f t="shared" si="5"/>
        <v>1</v>
      </c>
      <c r="V458" s="2">
        <f t="shared" si="6"/>
        <v>1</v>
      </c>
    </row>
    <row r="459" ht="14.25" customHeight="1">
      <c r="A459" s="2" t="s">
        <v>501</v>
      </c>
      <c r="B459" s="2" t="s">
        <v>18</v>
      </c>
      <c r="C459" s="2" t="s">
        <v>48</v>
      </c>
      <c r="D459" s="8" t="s">
        <v>629</v>
      </c>
      <c r="E459" s="6">
        <v>45248.0</v>
      </c>
      <c r="F459" s="6">
        <v>45412.0</v>
      </c>
      <c r="G459" s="7">
        <v>1.652704535E9</v>
      </c>
      <c r="H459" s="2" t="s">
        <v>44</v>
      </c>
      <c r="I459" s="2">
        <f t="shared" ref="I459:P459" si="462">IF(ISBLANK(A459)=TRUE,0,1)</f>
        <v>1</v>
      </c>
      <c r="J459" s="2">
        <f t="shared" si="462"/>
        <v>1</v>
      </c>
      <c r="K459" s="2">
        <f t="shared" si="462"/>
        <v>1</v>
      </c>
      <c r="L459" s="2">
        <f t="shared" si="462"/>
        <v>1</v>
      </c>
      <c r="M459" s="2">
        <f t="shared" si="462"/>
        <v>1</v>
      </c>
      <c r="N459" s="2">
        <f t="shared" si="462"/>
        <v>1</v>
      </c>
      <c r="O459" s="2">
        <f t="shared" si="462"/>
        <v>1</v>
      </c>
      <c r="P459" s="2">
        <f t="shared" si="462"/>
        <v>1</v>
      </c>
      <c r="Q459" s="2">
        <f t="shared" si="3"/>
        <v>1</v>
      </c>
      <c r="R459" s="2">
        <f>IF(ISERROR(VLOOKUP(A459, 'Project Reference'!A:A, 1, FALSE)), 0, 1)</f>
        <v>1</v>
      </c>
      <c r="S459" s="2">
        <f>IFERROR(__xludf.DUMMYFUNCTION("IF(AND(REGEXMATCH(D459, B459), REGEXMATCH(D459, C459)), 1, 0)"),1.0)</f>
        <v>1</v>
      </c>
      <c r="T459" s="2">
        <f t="shared" si="4"/>
        <v>1</v>
      </c>
      <c r="U459" s="2">
        <f t="shared" si="5"/>
        <v>1</v>
      </c>
      <c r="V459" s="2">
        <f t="shared" si="6"/>
        <v>1</v>
      </c>
    </row>
    <row r="460" ht="14.25" customHeight="1">
      <c r="A460" s="2" t="s">
        <v>502</v>
      </c>
      <c r="B460" s="2" t="s">
        <v>30</v>
      </c>
      <c r="C460" s="2" t="s">
        <v>13</v>
      </c>
      <c r="D460" s="8" t="s">
        <v>630</v>
      </c>
      <c r="E460" s="6">
        <v>45249.0</v>
      </c>
      <c r="F460" s="6">
        <v>45590.0</v>
      </c>
      <c r="G460" s="7">
        <v>2.69627612E9</v>
      </c>
      <c r="H460" s="2" t="s">
        <v>21</v>
      </c>
      <c r="I460" s="2">
        <f t="shared" ref="I460:P460" si="463">IF(ISBLANK(A460)=TRUE,0,1)</f>
        <v>1</v>
      </c>
      <c r="J460" s="2">
        <f t="shared" si="463"/>
        <v>1</v>
      </c>
      <c r="K460" s="2">
        <f t="shared" si="463"/>
        <v>1</v>
      </c>
      <c r="L460" s="2">
        <f t="shared" si="463"/>
        <v>1</v>
      </c>
      <c r="M460" s="2">
        <f t="shared" si="463"/>
        <v>1</v>
      </c>
      <c r="N460" s="2">
        <f t="shared" si="463"/>
        <v>1</v>
      </c>
      <c r="O460" s="2">
        <f t="shared" si="463"/>
        <v>1</v>
      </c>
      <c r="P460" s="2">
        <f t="shared" si="463"/>
        <v>1</v>
      </c>
      <c r="Q460" s="2">
        <f t="shared" si="3"/>
        <v>1</v>
      </c>
      <c r="R460" s="2">
        <f>IF(ISERROR(VLOOKUP(A460, 'Project Reference'!A:A, 1, FALSE)), 0, 1)</f>
        <v>1</v>
      </c>
      <c r="S460" s="2">
        <f>IFERROR(__xludf.DUMMYFUNCTION("IF(AND(REGEXMATCH(D460, B460), REGEXMATCH(D460, C460)), 1, 0)"),1.0)</f>
        <v>1</v>
      </c>
      <c r="T460" s="2">
        <f t="shared" si="4"/>
        <v>1</v>
      </c>
      <c r="U460" s="2">
        <f t="shared" si="5"/>
        <v>1</v>
      </c>
      <c r="V460" s="2">
        <f t="shared" si="6"/>
        <v>1</v>
      </c>
    </row>
    <row r="461" ht="14.25" customHeight="1">
      <c r="A461" s="2" t="s">
        <v>503</v>
      </c>
      <c r="B461" s="2" t="s">
        <v>35</v>
      </c>
      <c r="C461" s="2" t="s">
        <v>48</v>
      </c>
      <c r="D461" s="2" t="s">
        <v>49</v>
      </c>
      <c r="E461" s="6">
        <v>45249.0</v>
      </c>
      <c r="F461" s="6">
        <v>45512.0</v>
      </c>
      <c r="G461" s="7">
        <v>3.44399927E8</v>
      </c>
      <c r="H461" s="8" t="s">
        <v>573</v>
      </c>
      <c r="I461" s="2">
        <f t="shared" ref="I461:P461" si="464">IF(ISBLANK(A461)=TRUE,0,1)</f>
        <v>1</v>
      </c>
      <c r="J461" s="2">
        <f t="shared" si="464"/>
        <v>1</v>
      </c>
      <c r="K461" s="2">
        <f t="shared" si="464"/>
        <v>1</v>
      </c>
      <c r="L461" s="2">
        <f t="shared" si="464"/>
        <v>1</v>
      </c>
      <c r="M461" s="2">
        <f t="shared" si="464"/>
        <v>1</v>
      </c>
      <c r="N461" s="2">
        <f t="shared" si="464"/>
        <v>1</v>
      </c>
      <c r="O461" s="2">
        <f t="shared" si="464"/>
        <v>1</v>
      </c>
      <c r="P461" s="2">
        <f t="shared" si="464"/>
        <v>1</v>
      </c>
      <c r="Q461" s="2">
        <f t="shared" si="3"/>
        <v>1</v>
      </c>
      <c r="R461" s="2">
        <f>IF(ISERROR(VLOOKUP(A461, 'Project Reference'!A:A, 1, FALSE)), 0, 1)</f>
        <v>1</v>
      </c>
      <c r="S461" s="2">
        <f>IFERROR(__xludf.DUMMYFUNCTION("IF(AND(REGEXMATCH(D461, B461), REGEXMATCH(D461, C461)), 1, 0)"),1.0)</f>
        <v>1</v>
      </c>
      <c r="T461" s="2">
        <f t="shared" si="4"/>
        <v>1</v>
      </c>
      <c r="U461" s="2">
        <f t="shared" si="5"/>
        <v>1</v>
      </c>
      <c r="V461" s="2">
        <f t="shared" si="6"/>
        <v>1</v>
      </c>
    </row>
    <row r="462" ht="14.25" customHeight="1">
      <c r="A462" s="2" t="s">
        <v>504</v>
      </c>
      <c r="B462" s="2" t="s">
        <v>35</v>
      </c>
      <c r="C462" s="2" t="s">
        <v>24</v>
      </c>
      <c r="D462" s="2" t="s">
        <v>133</v>
      </c>
      <c r="E462" s="6">
        <v>45249.0</v>
      </c>
      <c r="F462" s="6">
        <v>45478.0</v>
      </c>
      <c r="G462" s="7">
        <v>6.24334418E8</v>
      </c>
      <c r="H462" s="2" t="s">
        <v>50</v>
      </c>
      <c r="I462" s="2">
        <f t="shared" ref="I462:P462" si="465">IF(ISBLANK(A462)=TRUE,0,1)</f>
        <v>1</v>
      </c>
      <c r="J462" s="2">
        <f t="shared" si="465"/>
        <v>1</v>
      </c>
      <c r="K462" s="2">
        <f t="shared" si="465"/>
        <v>1</v>
      </c>
      <c r="L462" s="2">
        <f t="shared" si="465"/>
        <v>1</v>
      </c>
      <c r="M462" s="2">
        <f t="shared" si="465"/>
        <v>1</v>
      </c>
      <c r="N462" s="2">
        <f t="shared" si="465"/>
        <v>1</v>
      </c>
      <c r="O462" s="2">
        <f t="shared" si="465"/>
        <v>1</v>
      </c>
      <c r="P462" s="2">
        <f t="shared" si="465"/>
        <v>1</v>
      </c>
      <c r="Q462" s="2">
        <f t="shared" si="3"/>
        <v>1</v>
      </c>
      <c r="R462" s="2">
        <f>IF(ISERROR(VLOOKUP(A462, 'Project Reference'!A:A, 1, FALSE)), 0, 1)</f>
        <v>1</v>
      </c>
      <c r="S462" s="2">
        <f>IFERROR(__xludf.DUMMYFUNCTION("IF(AND(REGEXMATCH(D462, B462), REGEXMATCH(D462, C462)), 1, 0)"),1.0)</f>
        <v>1</v>
      </c>
      <c r="T462" s="2">
        <f t="shared" si="4"/>
        <v>1</v>
      </c>
      <c r="U462" s="2">
        <f t="shared" si="5"/>
        <v>1</v>
      </c>
      <c r="V462" s="2">
        <f t="shared" si="6"/>
        <v>1</v>
      </c>
    </row>
    <row r="463" ht="14.25" customHeight="1">
      <c r="A463" s="2" t="s">
        <v>505</v>
      </c>
      <c r="B463" s="2" t="s">
        <v>30</v>
      </c>
      <c r="C463" s="2" t="s">
        <v>36</v>
      </c>
      <c r="D463" s="8" t="s">
        <v>614</v>
      </c>
      <c r="E463" s="6">
        <v>45252.0</v>
      </c>
      <c r="F463" s="6">
        <v>45467.0</v>
      </c>
      <c r="G463" s="7">
        <v>7.036506058E9</v>
      </c>
      <c r="H463" s="2" t="s">
        <v>50</v>
      </c>
      <c r="I463" s="2">
        <f t="shared" ref="I463:P463" si="466">IF(ISBLANK(A463)=TRUE,0,1)</f>
        <v>1</v>
      </c>
      <c r="J463" s="2">
        <f t="shared" si="466"/>
        <v>1</v>
      </c>
      <c r="K463" s="2">
        <f t="shared" si="466"/>
        <v>1</v>
      </c>
      <c r="L463" s="2">
        <f t="shared" si="466"/>
        <v>1</v>
      </c>
      <c r="M463" s="2">
        <f t="shared" si="466"/>
        <v>1</v>
      </c>
      <c r="N463" s="2">
        <f t="shared" si="466"/>
        <v>1</v>
      </c>
      <c r="O463" s="2">
        <f t="shared" si="466"/>
        <v>1</v>
      </c>
      <c r="P463" s="2">
        <f t="shared" si="466"/>
        <v>1</v>
      </c>
      <c r="Q463" s="2">
        <f t="shared" si="3"/>
        <v>1</v>
      </c>
      <c r="R463" s="2">
        <f>IF(ISERROR(VLOOKUP(A463, 'Project Reference'!A:A, 1, FALSE)), 0, 1)</f>
        <v>1</v>
      </c>
      <c r="S463" s="2">
        <f>IFERROR(__xludf.DUMMYFUNCTION("IF(AND(REGEXMATCH(D463, B463), REGEXMATCH(D463, C463)), 1, 0)"),1.0)</f>
        <v>1</v>
      </c>
      <c r="T463" s="2">
        <f t="shared" si="4"/>
        <v>1</v>
      </c>
      <c r="U463" s="2">
        <f t="shared" si="5"/>
        <v>1</v>
      </c>
      <c r="V463" s="2">
        <f t="shared" si="6"/>
        <v>1</v>
      </c>
    </row>
    <row r="464" ht="14.25" customHeight="1">
      <c r="A464" s="2" t="s">
        <v>508</v>
      </c>
      <c r="B464" s="2" t="s">
        <v>30</v>
      </c>
      <c r="C464" s="2" t="s">
        <v>24</v>
      </c>
      <c r="D464" s="8" t="s">
        <v>637</v>
      </c>
      <c r="E464" s="6">
        <v>45254.0</v>
      </c>
      <c r="F464" s="6">
        <v>45547.0</v>
      </c>
      <c r="G464" s="7">
        <v>5.694242987E9</v>
      </c>
      <c r="H464" s="8" t="s">
        <v>581</v>
      </c>
      <c r="I464" s="2">
        <f t="shared" ref="I464:P464" si="467">IF(ISBLANK(A464)=TRUE,0,1)</f>
        <v>1</v>
      </c>
      <c r="J464" s="2">
        <f t="shared" si="467"/>
        <v>1</v>
      </c>
      <c r="K464" s="2">
        <f t="shared" si="467"/>
        <v>1</v>
      </c>
      <c r="L464" s="2">
        <f t="shared" si="467"/>
        <v>1</v>
      </c>
      <c r="M464" s="2">
        <f t="shared" si="467"/>
        <v>1</v>
      </c>
      <c r="N464" s="2">
        <f t="shared" si="467"/>
        <v>1</v>
      </c>
      <c r="O464" s="2">
        <f t="shared" si="467"/>
        <v>1</v>
      </c>
      <c r="P464" s="2">
        <f t="shared" si="467"/>
        <v>1</v>
      </c>
      <c r="Q464" s="2">
        <f t="shared" si="3"/>
        <v>1</v>
      </c>
      <c r="R464" s="2">
        <f>IF(ISERROR(VLOOKUP(A464, 'Project Reference'!A:A, 1, FALSE)), 0, 1)</f>
        <v>1</v>
      </c>
      <c r="S464" s="2">
        <f>IFERROR(__xludf.DUMMYFUNCTION("IF(AND(REGEXMATCH(D464, B464), REGEXMATCH(D464, C464)), 1, 0)"),1.0)</f>
        <v>1</v>
      </c>
      <c r="T464" s="2">
        <f t="shared" si="4"/>
        <v>1</v>
      </c>
      <c r="U464" s="2">
        <f t="shared" si="5"/>
        <v>1</v>
      </c>
      <c r="V464" s="2">
        <f t="shared" si="6"/>
        <v>1</v>
      </c>
    </row>
    <row r="465" ht="14.25" customHeight="1">
      <c r="A465" s="2" t="s">
        <v>510</v>
      </c>
      <c r="B465" s="2" t="s">
        <v>35</v>
      </c>
      <c r="C465" s="2" t="s">
        <v>13</v>
      </c>
      <c r="D465" s="2" t="s">
        <v>78</v>
      </c>
      <c r="E465" s="6">
        <v>45258.0</v>
      </c>
      <c r="F465" s="6">
        <v>45497.0</v>
      </c>
      <c r="G465" s="7">
        <v>4.49824902E8</v>
      </c>
      <c r="H465" s="2" t="s">
        <v>50</v>
      </c>
      <c r="I465" s="2">
        <f t="shared" ref="I465:P465" si="468">IF(ISBLANK(A465)=TRUE,0,1)</f>
        <v>1</v>
      </c>
      <c r="J465" s="2">
        <f t="shared" si="468"/>
        <v>1</v>
      </c>
      <c r="K465" s="2">
        <f t="shared" si="468"/>
        <v>1</v>
      </c>
      <c r="L465" s="2">
        <f t="shared" si="468"/>
        <v>1</v>
      </c>
      <c r="M465" s="2">
        <f t="shared" si="468"/>
        <v>1</v>
      </c>
      <c r="N465" s="2">
        <f t="shared" si="468"/>
        <v>1</v>
      </c>
      <c r="O465" s="2">
        <f t="shared" si="468"/>
        <v>1</v>
      </c>
      <c r="P465" s="2">
        <f t="shared" si="468"/>
        <v>1</v>
      </c>
      <c r="Q465" s="2">
        <f t="shared" si="3"/>
        <v>1</v>
      </c>
      <c r="R465" s="2">
        <f>IF(ISERROR(VLOOKUP(A465, 'Project Reference'!A:A, 1, FALSE)), 0, 1)</f>
        <v>1</v>
      </c>
      <c r="S465" s="2">
        <f>IFERROR(__xludf.DUMMYFUNCTION("IF(AND(REGEXMATCH(D465, B465), REGEXMATCH(D465, C465)), 1, 0)"),1.0)</f>
        <v>1</v>
      </c>
      <c r="T465" s="2">
        <f t="shared" si="4"/>
        <v>1</v>
      </c>
      <c r="U465" s="2">
        <f t="shared" si="5"/>
        <v>1</v>
      </c>
      <c r="V465" s="2">
        <f t="shared" si="6"/>
        <v>1</v>
      </c>
    </row>
    <row r="466" ht="14.25" customHeight="1">
      <c r="A466" s="2" t="s">
        <v>511</v>
      </c>
      <c r="B466" s="2" t="s">
        <v>12</v>
      </c>
      <c r="C466" s="2" t="s">
        <v>36</v>
      </c>
      <c r="D466" s="8" t="s">
        <v>578</v>
      </c>
      <c r="E466" s="6">
        <v>45259.0</v>
      </c>
      <c r="F466" s="6">
        <v>45579.0</v>
      </c>
      <c r="G466" s="7">
        <v>6.87256096E8</v>
      </c>
      <c r="H466" s="2" t="s">
        <v>21</v>
      </c>
      <c r="I466" s="2">
        <f t="shared" ref="I466:P466" si="469">IF(ISBLANK(A466)=TRUE,0,1)</f>
        <v>1</v>
      </c>
      <c r="J466" s="2">
        <f t="shared" si="469"/>
        <v>1</v>
      </c>
      <c r="K466" s="2">
        <f t="shared" si="469"/>
        <v>1</v>
      </c>
      <c r="L466" s="2">
        <f t="shared" si="469"/>
        <v>1</v>
      </c>
      <c r="M466" s="2">
        <f t="shared" si="469"/>
        <v>1</v>
      </c>
      <c r="N466" s="2">
        <f t="shared" si="469"/>
        <v>1</v>
      </c>
      <c r="O466" s="2">
        <f t="shared" si="469"/>
        <v>1</v>
      </c>
      <c r="P466" s="2">
        <f t="shared" si="469"/>
        <v>1</v>
      </c>
      <c r="Q466" s="2">
        <f t="shared" si="3"/>
        <v>1</v>
      </c>
      <c r="R466" s="2">
        <f>IF(ISERROR(VLOOKUP(A466, 'Project Reference'!A:A, 1, FALSE)), 0, 1)</f>
        <v>1</v>
      </c>
      <c r="S466" s="2">
        <f>IFERROR(__xludf.DUMMYFUNCTION("IF(AND(REGEXMATCH(D466, B466), REGEXMATCH(D466, C466)), 1, 0)"),1.0)</f>
        <v>1</v>
      </c>
      <c r="T466" s="2">
        <f t="shared" si="4"/>
        <v>1</v>
      </c>
      <c r="U466" s="2">
        <f t="shared" si="5"/>
        <v>1</v>
      </c>
      <c r="V466" s="2">
        <f t="shared" si="6"/>
        <v>1</v>
      </c>
    </row>
    <row r="467" ht="14.25" customHeight="1">
      <c r="A467" s="2" t="s">
        <v>512</v>
      </c>
      <c r="B467" s="2" t="s">
        <v>12</v>
      </c>
      <c r="C467" s="2" t="s">
        <v>24</v>
      </c>
      <c r="D467" s="8" t="s">
        <v>610</v>
      </c>
      <c r="E467" s="6">
        <v>45259.0</v>
      </c>
      <c r="F467" s="6">
        <v>45542.0</v>
      </c>
      <c r="G467" s="7">
        <v>5.29398283E8</v>
      </c>
      <c r="H467" s="2" t="s">
        <v>67</v>
      </c>
      <c r="I467" s="2">
        <f t="shared" ref="I467:P467" si="470">IF(ISBLANK(A467)=TRUE,0,1)</f>
        <v>1</v>
      </c>
      <c r="J467" s="2">
        <f t="shared" si="470"/>
        <v>1</v>
      </c>
      <c r="K467" s="2">
        <f t="shared" si="470"/>
        <v>1</v>
      </c>
      <c r="L467" s="2">
        <f t="shared" si="470"/>
        <v>1</v>
      </c>
      <c r="M467" s="2">
        <f t="shared" si="470"/>
        <v>1</v>
      </c>
      <c r="N467" s="2">
        <f t="shared" si="470"/>
        <v>1</v>
      </c>
      <c r="O467" s="2">
        <f t="shared" si="470"/>
        <v>1</v>
      </c>
      <c r="P467" s="2">
        <f t="shared" si="470"/>
        <v>1</v>
      </c>
      <c r="Q467" s="2">
        <f t="shared" si="3"/>
        <v>1</v>
      </c>
      <c r="R467" s="2">
        <f>IF(ISERROR(VLOOKUP(A467, 'Project Reference'!A:A, 1, FALSE)), 0, 1)</f>
        <v>1</v>
      </c>
      <c r="S467" s="2">
        <f>IFERROR(__xludf.DUMMYFUNCTION("IF(AND(REGEXMATCH(D467, B467), REGEXMATCH(D467, C467)), 1, 0)"),1.0)</f>
        <v>1</v>
      </c>
      <c r="T467" s="2">
        <f t="shared" si="4"/>
        <v>1</v>
      </c>
      <c r="U467" s="2">
        <f t="shared" si="5"/>
        <v>1</v>
      </c>
      <c r="V467" s="2">
        <f t="shared" si="6"/>
        <v>1</v>
      </c>
    </row>
    <row r="468" ht="14.25" customHeight="1">
      <c r="A468" s="2" t="s">
        <v>513</v>
      </c>
      <c r="B468" s="2" t="s">
        <v>18</v>
      </c>
      <c r="C468" s="2" t="s">
        <v>48</v>
      </c>
      <c r="D468" s="8" t="s">
        <v>629</v>
      </c>
      <c r="E468" s="6">
        <v>45259.0</v>
      </c>
      <c r="F468" s="6">
        <v>45457.0</v>
      </c>
      <c r="G468" s="7">
        <v>4.710182773E9</v>
      </c>
      <c r="H468" s="8" t="s">
        <v>581</v>
      </c>
      <c r="I468" s="2">
        <f t="shared" ref="I468:P468" si="471">IF(ISBLANK(A468)=TRUE,0,1)</f>
        <v>1</v>
      </c>
      <c r="J468" s="2">
        <f t="shared" si="471"/>
        <v>1</v>
      </c>
      <c r="K468" s="2">
        <f t="shared" si="471"/>
        <v>1</v>
      </c>
      <c r="L468" s="2">
        <f t="shared" si="471"/>
        <v>1</v>
      </c>
      <c r="M468" s="2">
        <f t="shared" si="471"/>
        <v>1</v>
      </c>
      <c r="N468" s="2">
        <f t="shared" si="471"/>
        <v>1</v>
      </c>
      <c r="O468" s="2">
        <f t="shared" si="471"/>
        <v>1</v>
      </c>
      <c r="P468" s="2">
        <f t="shared" si="471"/>
        <v>1</v>
      </c>
      <c r="Q468" s="2">
        <f t="shared" si="3"/>
        <v>1</v>
      </c>
      <c r="R468" s="2">
        <f>IF(ISERROR(VLOOKUP(A468, 'Project Reference'!A:A, 1, FALSE)), 0, 1)</f>
        <v>1</v>
      </c>
      <c r="S468" s="2">
        <f>IFERROR(__xludf.DUMMYFUNCTION("IF(AND(REGEXMATCH(D468, B468), REGEXMATCH(D468, C468)), 1, 0)"),1.0)</f>
        <v>1</v>
      </c>
      <c r="T468" s="2">
        <f t="shared" si="4"/>
        <v>1</v>
      </c>
      <c r="U468" s="2">
        <f t="shared" si="5"/>
        <v>1</v>
      </c>
      <c r="V468" s="2">
        <f t="shared" si="6"/>
        <v>1</v>
      </c>
    </row>
    <row r="469" ht="14.25" customHeight="1">
      <c r="A469" s="2" t="s">
        <v>514</v>
      </c>
      <c r="B469" s="2" t="s">
        <v>12</v>
      </c>
      <c r="C469" s="2" t="s">
        <v>42</v>
      </c>
      <c r="D469" s="8" t="s">
        <v>603</v>
      </c>
      <c r="E469" s="6">
        <v>45260.0</v>
      </c>
      <c r="F469" s="6">
        <v>45376.0</v>
      </c>
      <c r="G469" s="7">
        <v>7.44960204E8</v>
      </c>
      <c r="H469" s="2" t="s">
        <v>44</v>
      </c>
      <c r="I469" s="2">
        <f t="shared" ref="I469:P469" si="472">IF(ISBLANK(A469)=TRUE,0,1)</f>
        <v>1</v>
      </c>
      <c r="J469" s="2">
        <f t="shared" si="472"/>
        <v>1</v>
      </c>
      <c r="K469" s="2">
        <f t="shared" si="472"/>
        <v>1</v>
      </c>
      <c r="L469" s="2">
        <f t="shared" si="472"/>
        <v>1</v>
      </c>
      <c r="M469" s="2">
        <f t="shared" si="472"/>
        <v>1</v>
      </c>
      <c r="N469" s="2">
        <f t="shared" si="472"/>
        <v>1</v>
      </c>
      <c r="O469" s="2">
        <f t="shared" si="472"/>
        <v>1</v>
      </c>
      <c r="P469" s="2">
        <f t="shared" si="472"/>
        <v>1</v>
      </c>
      <c r="Q469" s="2">
        <f t="shared" si="3"/>
        <v>1</v>
      </c>
      <c r="R469" s="2">
        <f>IF(ISERROR(VLOOKUP(A469, 'Project Reference'!A:A, 1, FALSE)), 0, 1)</f>
        <v>1</v>
      </c>
      <c r="S469" s="2">
        <f>IFERROR(__xludf.DUMMYFUNCTION("IF(AND(REGEXMATCH(D469, B469), REGEXMATCH(D469, C469)), 1, 0)"),1.0)</f>
        <v>1</v>
      </c>
      <c r="T469" s="2">
        <f t="shared" si="4"/>
        <v>1</v>
      </c>
      <c r="U469" s="2">
        <f t="shared" si="5"/>
        <v>1</v>
      </c>
      <c r="V469" s="2">
        <f t="shared" si="6"/>
        <v>1</v>
      </c>
    </row>
    <row r="470" ht="14.25" customHeight="1">
      <c r="A470" s="2" t="s">
        <v>516</v>
      </c>
      <c r="B470" s="2" t="s">
        <v>60</v>
      </c>
      <c r="C470" s="2" t="s">
        <v>39</v>
      </c>
      <c r="D470" s="8" t="s">
        <v>626</v>
      </c>
      <c r="E470" s="6">
        <v>45261.0</v>
      </c>
      <c r="F470" s="6">
        <v>45492.0</v>
      </c>
      <c r="G470" s="7">
        <v>3.57450773E9</v>
      </c>
      <c r="H470" s="2" t="s">
        <v>67</v>
      </c>
      <c r="I470" s="2">
        <f t="shared" ref="I470:P470" si="473">IF(ISBLANK(A470)=TRUE,0,1)</f>
        <v>1</v>
      </c>
      <c r="J470" s="2">
        <f t="shared" si="473"/>
        <v>1</v>
      </c>
      <c r="K470" s="2">
        <f t="shared" si="473"/>
        <v>1</v>
      </c>
      <c r="L470" s="2">
        <f t="shared" si="473"/>
        <v>1</v>
      </c>
      <c r="M470" s="2">
        <f t="shared" si="473"/>
        <v>1</v>
      </c>
      <c r="N470" s="2">
        <f t="shared" si="473"/>
        <v>1</v>
      </c>
      <c r="O470" s="2">
        <f t="shared" si="473"/>
        <v>1</v>
      </c>
      <c r="P470" s="2">
        <f t="shared" si="473"/>
        <v>1</v>
      </c>
      <c r="Q470" s="2">
        <f t="shared" si="3"/>
        <v>1</v>
      </c>
      <c r="R470" s="2">
        <f>IF(ISERROR(VLOOKUP(A470, 'Project Reference'!A:A, 1, FALSE)), 0, 1)</f>
        <v>1</v>
      </c>
      <c r="S470" s="2">
        <f>IFERROR(__xludf.DUMMYFUNCTION("IF(AND(REGEXMATCH(D470, B470), REGEXMATCH(D470, C470)), 1, 0)"),1.0)</f>
        <v>1</v>
      </c>
      <c r="T470" s="2">
        <f t="shared" si="4"/>
        <v>1</v>
      </c>
      <c r="U470" s="2">
        <f t="shared" si="5"/>
        <v>1</v>
      </c>
      <c r="V470" s="2">
        <f t="shared" si="6"/>
        <v>1</v>
      </c>
    </row>
    <row r="471" ht="14.25" customHeight="1">
      <c r="A471" s="2" t="s">
        <v>517</v>
      </c>
      <c r="B471" s="2" t="s">
        <v>60</v>
      </c>
      <c r="C471" s="2" t="s">
        <v>24</v>
      </c>
      <c r="D471" s="8" t="s">
        <v>575</v>
      </c>
      <c r="E471" s="6">
        <v>45261.0</v>
      </c>
      <c r="F471" s="6">
        <v>45525.0</v>
      </c>
      <c r="G471" s="7">
        <v>2.640159197E9</v>
      </c>
      <c r="H471" s="2" t="s">
        <v>50</v>
      </c>
      <c r="I471" s="2">
        <f t="shared" ref="I471:P471" si="474">IF(ISBLANK(A471)=TRUE,0,1)</f>
        <v>1</v>
      </c>
      <c r="J471" s="2">
        <f t="shared" si="474"/>
        <v>1</v>
      </c>
      <c r="K471" s="2">
        <f t="shared" si="474"/>
        <v>1</v>
      </c>
      <c r="L471" s="2">
        <f t="shared" si="474"/>
        <v>1</v>
      </c>
      <c r="M471" s="2">
        <f t="shared" si="474"/>
        <v>1</v>
      </c>
      <c r="N471" s="2">
        <f t="shared" si="474"/>
        <v>1</v>
      </c>
      <c r="O471" s="2">
        <f t="shared" si="474"/>
        <v>1</v>
      </c>
      <c r="P471" s="2">
        <f t="shared" si="474"/>
        <v>1</v>
      </c>
      <c r="Q471" s="2">
        <f t="shared" si="3"/>
        <v>1</v>
      </c>
      <c r="R471" s="2">
        <f>IF(ISERROR(VLOOKUP(A471, 'Project Reference'!A:A, 1, FALSE)), 0, 1)</f>
        <v>1</v>
      </c>
      <c r="S471" s="2">
        <f>IFERROR(__xludf.DUMMYFUNCTION("IF(AND(REGEXMATCH(D471, B471), REGEXMATCH(D471, C471)), 1, 0)"),1.0)</f>
        <v>1</v>
      </c>
      <c r="T471" s="2">
        <f t="shared" si="4"/>
        <v>1</v>
      </c>
      <c r="U471" s="2">
        <f t="shared" si="5"/>
        <v>1</v>
      </c>
      <c r="V471" s="2">
        <f t="shared" si="6"/>
        <v>1</v>
      </c>
    </row>
    <row r="472" ht="14.25" customHeight="1">
      <c r="A472" s="2" t="s">
        <v>518</v>
      </c>
      <c r="B472" s="2" t="s">
        <v>30</v>
      </c>
      <c r="C472" s="2" t="s">
        <v>39</v>
      </c>
      <c r="D472" s="8" t="s">
        <v>638</v>
      </c>
      <c r="E472" s="6">
        <v>45262.0</v>
      </c>
      <c r="F472" s="6">
        <v>45476.0</v>
      </c>
      <c r="G472" s="7">
        <v>8.57010798E8</v>
      </c>
      <c r="H472" s="8" t="s">
        <v>581</v>
      </c>
      <c r="I472" s="2">
        <f t="shared" ref="I472:P472" si="475">IF(ISBLANK(A472)=TRUE,0,1)</f>
        <v>1</v>
      </c>
      <c r="J472" s="2">
        <f t="shared" si="475"/>
        <v>1</v>
      </c>
      <c r="K472" s="2">
        <f t="shared" si="475"/>
        <v>1</v>
      </c>
      <c r="L472" s="2">
        <f t="shared" si="475"/>
        <v>1</v>
      </c>
      <c r="M472" s="2">
        <f t="shared" si="475"/>
        <v>1</v>
      </c>
      <c r="N472" s="2">
        <f t="shared" si="475"/>
        <v>1</v>
      </c>
      <c r="O472" s="2">
        <f t="shared" si="475"/>
        <v>1</v>
      </c>
      <c r="P472" s="2">
        <f t="shared" si="475"/>
        <v>1</v>
      </c>
      <c r="Q472" s="2">
        <f t="shared" si="3"/>
        <v>1</v>
      </c>
      <c r="R472" s="2">
        <f>IF(ISERROR(VLOOKUP(A472, 'Project Reference'!A:A, 1, FALSE)), 0, 1)</f>
        <v>1</v>
      </c>
      <c r="S472" s="2">
        <f>IFERROR(__xludf.DUMMYFUNCTION("IF(AND(REGEXMATCH(D472, B472), REGEXMATCH(D472, C472)), 1, 0)"),1.0)</f>
        <v>1</v>
      </c>
      <c r="T472" s="2">
        <f t="shared" si="4"/>
        <v>1</v>
      </c>
      <c r="U472" s="2">
        <f t="shared" si="5"/>
        <v>1</v>
      </c>
      <c r="V472" s="2">
        <f t="shared" si="6"/>
        <v>1</v>
      </c>
    </row>
    <row r="473" ht="14.25" customHeight="1">
      <c r="A473" s="2" t="s">
        <v>519</v>
      </c>
      <c r="B473" s="2" t="s">
        <v>60</v>
      </c>
      <c r="C473" s="2" t="s">
        <v>19</v>
      </c>
      <c r="D473" s="8" t="s">
        <v>616</v>
      </c>
      <c r="E473" s="6">
        <v>45262.0</v>
      </c>
      <c r="F473" s="6">
        <v>45620.0</v>
      </c>
      <c r="G473" s="7">
        <v>3.902836313E9</v>
      </c>
      <c r="H473" s="8" t="s">
        <v>581</v>
      </c>
      <c r="I473" s="2">
        <f t="shared" ref="I473:P473" si="476">IF(ISBLANK(A473)=TRUE,0,1)</f>
        <v>1</v>
      </c>
      <c r="J473" s="2">
        <f t="shared" si="476"/>
        <v>1</v>
      </c>
      <c r="K473" s="2">
        <f t="shared" si="476"/>
        <v>1</v>
      </c>
      <c r="L473" s="2">
        <f t="shared" si="476"/>
        <v>1</v>
      </c>
      <c r="M473" s="2">
        <f t="shared" si="476"/>
        <v>1</v>
      </c>
      <c r="N473" s="2">
        <f t="shared" si="476"/>
        <v>1</v>
      </c>
      <c r="O473" s="2">
        <f t="shared" si="476"/>
        <v>1</v>
      </c>
      <c r="P473" s="2">
        <f t="shared" si="476"/>
        <v>1</v>
      </c>
      <c r="Q473" s="2">
        <f t="shared" si="3"/>
        <v>1</v>
      </c>
      <c r="R473" s="2">
        <f>IF(ISERROR(VLOOKUP(A473, 'Project Reference'!A:A, 1, FALSE)), 0, 1)</f>
        <v>1</v>
      </c>
      <c r="S473" s="2">
        <f>IFERROR(__xludf.DUMMYFUNCTION("IF(AND(REGEXMATCH(D473, B473), REGEXMATCH(D473, C473)), 1, 0)"),1.0)</f>
        <v>1</v>
      </c>
      <c r="T473" s="2">
        <f t="shared" si="4"/>
        <v>1</v>
      </c>
      <c r="U473" s="2">
        <f t="shared" si="5"/>
        <v>1</v>
      </c>
      <c r="V473" s="2">
        <f t="shared" si="6"/>
        <v>1</v>
      </c>
    </row>
    <row r="474" ht="14.25" customHeight="1">
      <c r="A474" s="2" t="s">
        <v>520</v>
      </c>
      <c r="B474" s="2" t="s">
        <v>12</v>
      </c>
      <c r="C474" s="2" t="s">
        <v>19</v>
      </c>
      <c r="D474" s="8" t="s">
        <v>631</v>
      </c>
      <c r="E474" s="6">
        <v>45263.0</v>
      </c>
      <c r="F474" s="6">
        <v>45413.0</v>
      </c>
      <c r="G474" s="7">
        <v>3.13061138E8</v>
      </c>
      <c r="H474" s="2" t="s">
        <v>21</v>
      </c>
      <c r="I474" s="2">
        <f t="shared" ref="I474:P474" si="477">IF(ISBLANK(A474)=TRUE,0,1)</f>
        <v>1</v>
      </c>
      <c r="J474" s="2">
        <f t="shared" si="477"/>
        <v>1</v>
      </c>
      <c r="K474" s="2">
        <f t="shared" si="477"/>
        <v>1</v>
      </c>
      <c r="L474" s="2">
        <f t="shared" si="477"/>
        <v>1</v>
      </c>
      <c r="M474" s="2">
        <f t="shared" si="477"/>
        <v>1</v>
      </c>
      <c r="N474" s="2">
        <f t="shared" si="477"/>
        <v>1</v>
      </c>
      <c r="O474" s="2">
        <f t="shared" si="477"/>
        <v>1</v>
      </c>
      <c r="P474" s="2">
        <f t="shared" si="477"/>
        <v>1</v>
      </c>
      <c r="Q474" s="2">
        <f t="shared" si="3"/>
        <v>1</v>
      </c>
      <c r="R474" s="2">
        <f>IF(ISERROR(VLOOKUP(A474, 'Project Reference'!A:A, 1, FALSE)), 0, 1)</f>
        <v>1</v>
      </c>
      <c r="S474" s="2">
        <f>IFERROR(__xludf.DUMMYFUNCTION("IF(AND(REGEXMATCH(D474, B474), REGEXMATCH(D474, C474)), 1, 0)"),1.0)</f>
        <v>1</v>
      </c>
      <c r="T474" s="2">
        <f t="shared" si="4"/>
        <v>1</v>
      </c>
      <c r="U474" s="2">
        <f t="shared" si="5"/>
        <v>1</v>
      </c>
      <c r="V474" s="2">
        <f t="shared" si="6"/>
        <v>1</v>
      </c>
    </row>
    <row r="475" ht="14.25" customHeight="1">
      <c r="A475" s="2" t="s">
        <v>521</v>
      </c>
      <c r="B475" s="2" t="s">
        <v>60</v>
      </c>
      <c r="C475" s="2" t="s">
        <v>39</v>
      </c>
      <c r="D475" s="8" t="s">
        <v>626</v>
      </c>
      <c r="E475" s="6">
        <v>45263.0</v>
      </c>
      <c r="F475" s="6">
        <v>45473.0</v>
      </c>
      <c r="G475" s="7">
        <v>3.704994376E9</v>
      </c>
      <c r="H475" s="2" t="s">
        <v>50</v>
      </c>
      <c r="I475" s="2">
        <f t="shared" ref="I475:P475" si="478">IF(ISBLANK(A475)=TRUE,0,1)</f>
        <v>1</v>
      </c>
      <c r="J475" s="2">
        <f t="shared" si="478"/>
        <v>1</v>
      </c>
      <c r="K475" s="2">
        <f t="shared" si="478"/>
        <v>1</v>
      </c>
      <c r="L475" s="2">
        <f t="shared" si="478"/>
        <v>1</v>
      </c>
      <c r="M475" s="2">
        <f t="shared" si="478"/>
        <v>1</v>
      </c>
      <c r="N475" s="2">
        <f t="shared" si="478"/>
        <v>1</v>
      </c>
      <c r="O475" s="2">
        <f t="shared" si="478"/>
        <v>1</v>
      </c>
      <c r="P475" s="2">
        <f t="shared" si="478"/>
        <v>1</v>
      </c>
      <c r="Q475" s="2">
        <f t="shared" si="3"/>
        <v>1</v>
      </c>
      <c r="R475" s="2">
        <f>IF(ISERROR(VLOOKUP(A475, 'Project Reference'!A:A, 1, FALSE)), 0, 1)</f>
        <v>1</v>
      </c>
      <c r="S475" s="2">
        <f>IFERROR(__xludf.DUMMYFUNCTION("IF(AND(REGEXMATCH(D475, B475), REGEXMATCH(D475, C475)), 1, 0)"),1.0)</f>
        <v>1</v>
      </c>
      <c r="T475" s="2">
        <f t="shared" si="4"/>
        <v>1</v>
      </c>
      <c r="U475" s="2">
        <f t="shared" si="5"/>
        <v>1</v>
      </c>
      <c r="V475" s="2">
        <f t="shared" si="6"/>
        <v>1</v>
      </c>
    </row>
    <row r="476" ht="14.25" customHeight="1">
      <c r="A476" s="2" t="s">
        <v>522</v>
      </c>
      <c r="B476" s="2" t="s">
        <v>30</v>
      </c>
      <c r="C476" s="2" t="s">
        <v>36</v>
      </c>
      <c r="D476" s="8" t="s">
        <v>639</v>
      </c>
      <c r="E476" s="6">
        <v>45263.0</v>
      </c>
      <c r="F476" s="6">
        <v>45306.0</v>
      </c>
      <c r="G476" s="7">
        <v>6.935528254E9</v>
      </c>
      <c r="H476" s="2" t="s">
        <v>44</v>
      </c>
      <c r="I476" s="2">
        <f t="shared" ref="I476:P476" si="479">IF(ISBLANK(A476)=TRUE,0,1)</f>
        <v>1</v>
      </c>
      <c r="J476" s="2">
        <f t="shared" si="479"/>
        <v>1</v>
      </c>
      <c r="K476" s="2">
        <f t="shared" si="479"/>
        <v>1</v>
      </c>
      <c r="L476" s="2">
        <f t="shared" si="479"/>
        <v>1</v>
      </c>
      <c r="M476" s="2">
        <f t="shared" si="479"/>
        <v>1</v>
      </c>
      <c r="N476" s="2">
        <f t="shared" si="479"/>
        <v>1</v>
      </c>
      <c r="O476" s="2">
        <f t="shared" si="479"/>
        <v>1</v>
      </c>
      <c r="P476" s="2">
        <f t="shared" si="479"/>
        <v>1</v>
      </c>
      <c r="Q476" s="2">
        <f t="shared" si="3"/>
        <v>1</v>
      </c>
      <c r="R476" s="2">
        <f>IF(ISERROR(VLOOKUP(A476, 'Project Reference'!A:A, 1, FALSE)), 0, 1)</f>
        <v>1</v>
      </c>
      <c r="S476" s="2">
        <f>IFERROR(__xludf.DUMMYFUNCTION("IF(AND(REGEXMATCH(D476, B476), REGEXMATCH(D476, C476)), 1, 0)"),1.0)</f>
        <v>1</v>
      </c>
      <c r="T476" s="2">
        <f t="shared" si="4"/>
        <v>1</v>
      </c>
      <c r="U476" s="2">
        <f t="shared" si="5"/>
        <v>1</v>
      </c>
      <c r="V476" s="2">
        <f t="shared" si="6"/>
        <v>1</v>
      </c>
    </row>
    <row r="477" ht="14.25" customHeight="1">
      <c r="A477" s="2" t="s">
        <v>523</v>
      </c>
      <c r="B477" s="2" t="s">
        <v>18</v>
      </c>
      <c r="C477" s="2" t="s">
        <v>19</v>
      </c>
      <c r="D477" s="8" t="s">
        <v>633</v>
      </c>
      <c r="E477" s="6">
        <v>45265.0</v>
      </c>
      <c r="F477" s="6">
        <v>45562.0</v>
      </c>
      <c r="G477" s="7">
        <v>1.827330534E9</v>
      </c>
      <c r="H477" s="2" t="s">
        <v>33</v>
      </c>
      <c r="I477" s="2">
        <f t="shared" ref="I477:P477" si="480">IF(ISBLANK(A477)=TRUE,0,1)</f>
        <v>1</v>
      </c>
      <c r="J477" s="2">
        <f t="shared" si="480"/>
        <v>1</v>
      </c>
      <c r="K477" s="2">
        <f t="shared" si="480"/>
        <v>1</v>
      </c>
      <c r="L477" s="2">
        <f t="shared" si="480"/>
        <v>1</v>
      </c>
      <c r="M477" s="2">
        <f t="shared" si="480"/>
        <v>1</v>
      </c>
      <c r="N477" s="2">
        <f t="shared" si="480"/>
        <v>1</v>
      </c>
      <c r="O477" s="2">
        <f t="shared" si="480"/>
        <v>1</v>
      </c>
      <c r="P477" s="2">
        <f t="shared" si="480"/>
        <v>1</v>
      </c>
      <c r="Q477" s="2">
        <f t="shared" si="3"/>
        <v>1</v>
      </c>
      <c r="R477" s="2">
        <f>IF(ISERROR(VLOOKUP(A477, 'Project Reference'!A:A, 1, FALSE)), 0, 1)</f>
        <v>1</v>
      </c>
      <c r="S477" s="2">
        <f>IFERROR(__xludf.DUMMYFUNCTION("IF(AND(REGEXMATCH(D477, B477), REGEXMATCH(D477, C477)), 1, 0)"),1.0)</f>
        <v>1</v>
      </c>
      <c r="T477" s="2">
        <f t="shared" si="4"/>
        <v>1</v>
      </c>
      <c r="U477" s="2">
        <f t="shared" si="5"/>
        <v>1</v>
      </c>
      <c r="V477" s="2">
        <f t="shared" si="6"/>
        <v>1</v>
      </c>
    </row>
    <row r="478" ht="14.25" customHeight="1">
      <c r="A478" s="2" t="s">
        <v>524</v>
      </c>
      <c r="B478" s="2" t="s">
        <v>12</v>
      </c>
      <c r="C478" s="2" t="s">
        <v>48</v>
      </c>
      <c r="D478" s="8" t="s">
        <v>602</v>
      </c>
      <c r="E478" s="6">
        <v>45266.0</v>
      </c>
      <c r="F478" s="6">
        <v>45425.0</v>
      </c>
      <c r="G478" s="7">
        <v>6.43095755E8</v>
      </c>
      <c r="H478" s="2" t="s">
        <v>67</v>
      </c>
      <c r="I478" s="2">
        <f t="shared" ref="I478:P478" si="481">IF(ISBLANK(A478)=TRUE,0,1)</f>
        <v>1</v>
      </c>
      <c r="J478" s="2">
        <f t="shared" si="481"/>
        <v>1</v>
      </c>
      <c r="K478" s="2">
        <f t="shared" si="481"/>
        <v>1</v>
      </c>
      <c r="L478" s="2">
        <f t="shared" si="481"/>
        <v>1</v>
      </c>
      <c r="M478" s="2">
        <f t="shared" si="481"/>
        <v>1</v>
      </c>
      <c r="N478" s="2">
        <f t="shared" si="481"/>
        <v>1</v>
      </c>
      <c r="O478" s="2">
        <f t="shared" si="481"/>
        <v>1</v>
      </c>
      <c r="P478" s="2">
        <f t="shared" si="481"/>
        <v>1</v>
      </c>
      <c r="Q478" s="2">
        <f t="shared" si="3"/>
        <v>1</v>
      </c>
      <c r="R478" s="2">
        <f>IF(ISERROR(VLOOKUP(A478, 'Project Reference'!A:A, 1, FALSE)), 0, 1)</f>
        <v>1</v>
      </c>
      <c r="S478" s="2">
        <f>IFERROR(__xludf.DUMMYFUNCTION("IF(AND(REGEXMATCH(D478, B478), REGEXMATCH(D478, C478)), 1, 0)"),1.0)</f>
        <v>1</v>
      </c>
      <c r="T478" s="2">
        <f t="shared" si="4"/>
        <v>1</v>
      </c>
      <c r="U478" s="2">
        <f t="shared" si="5"/>
        <v>1</v>
      </c>
      <c r="V478" s="2">
        <f t="shared" si="6"/>
        <v>1</v>
      </c>
    </row>
    <row r="479" ht="14.25" customHeight="1">
      <c r="A479" s="2" t="s">
        <v>525</v>
      </c>
      <c r="B479" s="2" t="s">
        <v>12</v>
      </c>
      <c r="C479" s="2" t="s">
        <v>19</v>
      </c>
      <c r="D479" s="8" t="s">
        <v>631</v>
      </c>
      <c r="E479" s="6">
        <v>45268.0</v>
      </c>
      <c r="F479" s="6">
        <v>45476.0</v>
      </c>
      <c r="G479" s="7">
        <v>1.95287277E8</v>
      </c>
      <c r="H479" s="2" t="s">
        <v>67</v>
      </c>
      <c r="I479" s="2">
        <f t="shared" ref="I479:P479" si="482">IF(ISBLANK(A479)=TRUE,0,1)</f>
        <v>1</v>
      </c>
      <c r="J479" s="2">
        <f t="shared" si="482"/>
        <v>1</v>
      </c>
      <c r="K479" s="2">
        <f t="shared" si="482"/>
        <v>1</v>
      </c>
      <c r="L479" s="2">
        <f t="shared" si="482"/>
        <v>1</v>
      </c>
      <c r="M479" s="2">
        <f t="shared" si="482"/>
        <v>1</v>
      </c>
      <c r="N479" s="2">
        <f t="shared" si="482"/>
        <v>1</v>
      </c>
      <c r="O479" s="2">
        <f t="shared" si="482"/>
        <v>1</v>
      </c>
      <c r="P479" s="2">
        <f t="shared" si="482"/>
        <v>1</v>
      </c>
      <c r="Q479" s="2">
        <f t="shared" si="3"/>
        <v>1</v>
      </c>
      <c r="R479" s="2">
        <f>IF(ISERROR(VLOOKUP(A479, 'Project Reference'!A:A, 1, FALSE)), 0, 1)</f>
        <v>1</v>
      </c>
      <c r="S479" s="2">
        <f>IFERROR(__xludf.DUMMYFUNCTION("IF(AND(REGEXMATCH(D479, B479), REGEXMATCH(D479, C479)), 1, 0)"),1.0)</f>
        <v>1</v>
      </c>
      <c r="T479" s="2">
        <f t="shared" si="4"/>
        <v>1</v>
      </c>
      <c r="U479" s="2">
        <f t="shared" si="5"/>
        <v>1</v>
      </c>
      <c r="V479" s="2">
        <f t="shared" si="6"/>
        <v>1</v>
      </c>
    </row>
    <row r="480" ht="14.25" customHeight="1">
      <c r="A480" s="2" t="s">
        <v>526</v>
      </c>
      <c r="B480" s="2" t="s">
        <v>18</v>
      </c>
      <c r="C480" s="2" t="s">
        <v>13</v>
      </c>
      <c r="D480" s="8" t="s">
        <v>580</v>
      </c>
      <c r="E480" s="6">
        <v>45268.0</v>
      </c>
      <c r="F480" s="6">
        <v>45413.0</v>
      </c>
      <c r="G480" s="7">
        <v>6.786324237E9</v>
      </c>
      <c r="H480" s="8" t="s">
        <v>581</v>
      </c>
      <c r="I480" s="2">
        <f t="shared" ref="I480:P480" si="483">IF(ISBLANK(A480)=TRUE,0,1)</f>
        <v>1</v>
      </c>
      <c r="J480" s="2">
        <f t="shared" si="483"/>
        <v>1</v>
      </c>
      <c r="K480" s="2">
        <f t="shared" si="483"/>
        <v>1</v>
      </c>
      <c r="L480" s="2">
        <f t="shared" si="483"/>
        <v>1</v>
      </c>
      <c r="M480" s="2">
        <f t="shared" si="483"/>
        <v>1</v>
      </c>
      <c r="N480" s="2">
        <f t="shared" si="483"/>
        <v>1</v>
      </c>
      <c r="O480" s="2">
        <f t="shared" si="483"/>
        <v>1</v>
      </c>
      <c r="P480" s="2">
        <f t="shared" si="483"/>
        <v>1</v>
      </c>
      <c r="Q480" s="2">
        <f t="shared" si="3"/>
        <v>1</v>
      </c>
      <c r="R480" s="2">
        <f>IF(ISERROR(VLOOKUP(A480, 'Project Reference'!A:A, 1, FALSE)), 0, 1)</f>
        <v>1</v>
      </c>
      <c r="S480" s="2">
        <f>IFERROR(__xludf.DUMMYFUNCTION("IF(AND(REGEXMATCH(D480, B480), REGEXMATCH(D480, C480)), 1, 0)"),1.0)</f>
        <v>1</v>
      </c>
      <c r="T480" s="2">
        <f t="shared" si="4"/>
        <v>1</v>
      </c>
      <c r="U480" s="2">
        <f t="shared" si="5"/>
        <v>1</v>
      </c>
      <c r="V480" s="2">
        <f t="shared" si="6"/>
        <v>1</v>
      </c>
    </row>
    <row r="481" ht="14.25" customHeight="1">
      <c r="A481" s="2" t="s">
        <v>527</v>
      </c>
      <c r="B481" s="2" t="s">
        <v>35</v>
      </c>
      <c r="C481" s="2" t="s">
        <v>36</v>
      </c>
      <c r="D481" s="2" t="s">
        <v>37</v>
      </c>
      <c r="E481" s="6">
        <v>45269.0</v>
      </c>
      <c r="F481" s="6">
        <v>45594.0</v>
      </c>
      <c r="G481" s="7">
        <v>4.99105719E8</v>
      </c>
      <c r="H481" s="2" t="s">
        <v>44</v>
      </c>
      <c r="I481" s="2">
        <f t="shared" ref="I481:P481" si="484">IF(ISBLANK(A481)=TRUE,0,1)</f>
        <v>1</v>
      </c>
      <c r="J481" s="2">
        <f t="shared" si="484"/>
        <v>1</v>
      </c>
      <c r="K481" s="2">
        <f t="shared" si="484"/>
        <v>1</v>
      </c>
      <c r="L481" s="2">
        <f t="shared" si="484"/>
        <v>1</v>
      </c>
      <c r="M481" s="2">
        <f t="shared" si="484"/>
        <v>1</v>
      </c>
      <c r="N481" s="2">
        <f t="shared" si="484"/>
        <v>1</v>
      </c>
      <c r="O481" s="2">
        <f t="shared" si="484"/>
        <v>1</v>
      </c>
      <c r="P481" s="2">
        <f t="shared" si="484"/>
        <v>1</v>
      </c>
      <c r="Q481" s="2">
        <f t="shared" si="3"/>
        <v>1</v>
      </c>
      <c r="R481" s="2">
        <f>IF(ISERROR(VLOOKUP(A481, 'Project Reference'!A:A, 1, FALSE)), 0, 1)</f>
        <v>1</v>
      </c>
      <c r="S481" s="2">
        <f>IFERROR(__xludf.DUMMYFUNCTION("IF(AND(REGEXMATCH(D481, B481), REGEXMATCH(D481, C481)), 1, 0)"),1.0)</f>
        <v>1</v>
      </c>
      <c r="T481" s="2">
        <f t="shared" si="4"/>
        <v>1</v>
      </c>
      <c r="U481" s="2">
        <f t="shared" si="5"/>
        <v>1</v>
      </c>
      <c r="V481" s="2">
        <f t="shared" si="6"/>
        <v>1</v>
      </c>
    </row>
    <row r="482" ht="14.25" customHeight="1">
      <c r="A482" s="2" t="s">
        <v>528</v>
      </c>
      <c r="B482" s="2" t="s">
        <v>35</v>
      </c>
      <c r="C482" s="2" t="s">
        <v>13</v>
      </c>
      <c r="D482" s="2" t="s">
        <v>78</v>
      </c>
      <c r="E482" s="6">
        <v>45271.0</v>
      </c>
      <c r="F482" s="6">
        <v>45311.0</v>
      </c>
      <c r="G482" s="7">
        <v>4.61111964E8</v>
      </c>
      <c r="H482" s="2" t="s">
        <v>44</v>
      </c>
      <c r="I482" s="2">
        <f t="shared" ref="I482:P482" si="485">IF(ISBLANK(A482)=TRUE,0,1)</f>
        <v>1</v>
      </c>
      <c r="J482" s="2">
        <f t="shared" si="485"/>
        <v>1</v>
      </c>
      <c r="K482" s="2">
        <f t="shared" si="485"/>
        <v>1</v>
      </c>
      <c r="L482" s="2">
        <f t="shared" si="485"/>
        <v>1</v>
      </c>
      <c r="M482" s="2">
        <f t="shared" si="485"/>
        <v>1</v>
      </c>
      <c r="N482" s="2">
        <f t="shared" si="485"/>
        <v>1</v>
      </c>
      <c r="O482" s="2">
        <f t="shared" si="485"/>
        <v>1</v>
      </c>
      <c r="P482" s="2">
        <f t="shared" si="485"/>
        <v>1</v>
      </c>
      <c r="Q482" s="2">
        <f t="shared" si="3"/>
        <v>1</v>
      </c>
      <c r="R482" s="2">
        <f>IF(ISERROR(VLOOKUP(A482, 'Project Reference'!A:A, 1, FALSE)), 0, 1)</f>
        <v>1</v>
      </c>
      <c r="S482" s="2">
        <f>IFERROR(__xludf.DUMMYFUNCTION("IF(AND(REGEXMATCH(D482, B482), REGEXMATCH(D482, C482)), 1, 0)"),1.0)</f>
        <v>1</v>
      </c>
      <c r="T482" s="2">
        <f t="shared" si="4"/>
        <v>1</v>
      </c>
      <c r="U482" s="2">
        <f t="shared" si="5"/>
        <v>1</v>
      </c>
      <c r="V482" s="2">
        <f t="shared" si="6"/>
        <v>1</v>
      </c>
    </row>
    <row r="483" ht="14.25" customHeight="1">
      <c r="A483" s="2" t="s">
        <v>529</v>
      </c>
      <c r="B483" s="2" t="s">
        <v>60</v>
      </c>
      <c r="C483" s="2" t="s">
        <v>13</v>
      </c>
      <c r="D483" s="8" t="s">
        <v>619</v>
      </c>
      <c r="E483" s="6">
        <v>45272.0</v>
      </c>
      <c r="F483" s="6">
        <v>45481.0</v>
      </c>
      <c r="G483" s="7">
        <v>3.310535255E9</v>
      </c>
      <c r="H483" s="8" t="s">
        <v>573</v>
      </c>
      <c r="I483" s="2">
        <f t="shared" ref="I483:P483" si="486">IF(ISBLANK(A483)=TRUE,0,1)</f>
        <v>1</v>
      </c>
      <c r="J483" s="2">
        <f t="shared" si="486"/>
        <v>1</v>
      </c>
      <c r="K483" s="2">
        <f t="shared" si="486"/>
        <v>1</v>
      </c>
      <c r="L483" s="2">
        <f t="shared" si="486"/>
        <v>1</v>
      </c>
      <c r="M483" s="2">
        <f t="shared" si="486"/>
        <v>1</v>
      </c>
      <c r="N483" s="2">
        <f t="shared" si="486"/>
        <v>1</v>
      </c>
      <c r="O483" s="2">
        <f t="shared" si="486"/>
        <v>1</v>
      </c>
      <c r="P483" s="2">
        <f t="shared" si="486"/>
        <v>1</v>
      </c>
      <c r="Q483" s="2">
        <f t="shared" si="3"/>
        <v>1</v>
      </c>
      <c r="R483" s="2">
        <f>IF(ISERROR(VLOOKUP(A483, 'Project Reference'!A:A, 1, FALSE)), 0, 1)</f>
        <v>1</v>
      </c>
      <c r="S483" s="2">
        <f>IFERROR(__xludf.DUMMYFUNCTION("IF(AND(REGEXMATCH(D483, B483), REGEXMATCH(D483, C483)), 1, 0)"),1.0)</f>
        <v>1</v>
      </c>
      <c r="T483" s="2">
        <f t="shared" si="4"/>
        <v>1</v>
      </c>
      <c r="U483" s="2">
        <f t="shared" si="5"/>
        <v>1</v>
      </c>
      <c r="V483" s="2">
        <f t="shared" si="6"/>
        <v>1</v>
      </c>
    </row>
    <row r="484" ht="14.25" customHeight="1">
      <c r="A484" s="2" t="s">
        <v>530</v>
      </c>
      <c r="B484" s="2" t="s">
        <v>18</v>
      </c>
      <c r="C484" s="2" t="s">
        <v>19</v>
      </c>
      <c r="D484" s="8" t="s">
        <v>633</v>
      </c>
      <c r="E484" s="6">
        <v>45272.0</v>
      </c>
      <c r="F484" s="6">
        <v>45553.0</v>
      </c>
      <c r="G484" s="11">
        <v>1.639451183E9</v>
      </c>
      <c r="H484" s="2" t="s">
        <v>50</v>
      </c>
      <c r="I484" s="2">
        <f t="shared" ref="I484:P484" si="487">IF(ISBLANK(A484)=TRUE,0,1)</f>
        <v>1</v>
      </c>
      <c r="J484" s="2">
        <f t="shared" si="487"/>
        <v>1</v>
      </c>
      <c r="K484" s="2">
        <f t="shared" si="487"/>
        <v>1</v>
      </c>
      <c r="L484" s="2">
        <f t="shared" si="487"/>
        <v>1</v>
      </c>
      <c r="M484" s="2">
        <f t="shared" si="487"/>
        <v>1</v>
      </c>
      <c r="N484" s="2">
        <f t="shared" si="487"/>
        <v>1</v>
      </c>
      <c r="O484" s="2">
        <f t="shared" si="487"/>
        <v>1</v>
      </c>
      <c r="P484" s="2">
        <f t="shared" si="487"/>
        <v>1</v>
      </c>
      <c r="Q484" s="2">
        <f t="shared" si="3"/>
        <v>1</v>
      </c>
      <c r="R484" s="2">
        <f>IF(ISERROR(VLOOKUP(A484, 'Project Reference'!A:A, 1, FALSE)), 0, 1)</f>
        <v>1</v>
      </c>
      <c r="S484" s="2">
        <f>IFERROR(__xludf.DUMMYFUNCTION("IF(AND(REGEXMATCH(D484, B484), REGEXMATCH(D484, C484)), 1, 0)"),1.0)</f>
        <v>1</v>
      </c>
      <c r="T484" s="2">
        <f t="shared" si="4"/>
        <v>1</v>
      </c>
      <c r="U484" s="2">
        <f t="shared" si="5"/>
        <v>1</v>
      </c>
      <c r="V484" s="2">
        <f t="shared" si="6"/>
        <v>1</v>
      </c>
    </row>
    <row r="485" ht="14.25" customHeight="1">
      <c r="A485" s="2" t="s">
        <v>531</v>
      </c>
      <c r="B485" s="2" t="s">
        <v>18</v>
      </c>
      <c r="C485" s="2" t="s">
        <v>19</v>
      </c>
      <c r="D485" s="8" t="s">
        <v>633</v>
      </c>
      <c r="E485" s="6">
        <v>45273.0</v>
      </c>
      <c r="F485" s="6">
        <v>45590.0</v>
      </c>
      <c r="G485" s="7">
        <v>2.042593058E9</v>
      </c>
      <c r="H485" s="8" t="s">
        <v>573</v>
      </c>
      <c r="I485" s="2">
        <f t="shared" ref="I485:P485" si="488">IF(ISBLANK(A485)=TRUE,0,1)</f>
        <v>1</v>
      </c>
      <c r="J485" s="2">
        <f t="shared" si="488"/>
        <v>1</v>
      </c>
      <c r="K485" s="2">
        <f t="shared" si="488"/>
        <v>1</v>
      </c>
      <c r="L485" s="2">
        <f t="shared" si="488"/>
        <v>1</v>
      </c>
      <c r="M485" s="2">
        <f t="shared" si="488"/>
        <v>1</v>
      </c>
      <c r="N485" s="2">
        <f t="shared" si="488"/>
        <v>1</v>
      </c>
      <c r="O485" s="2">
        <f t="shared" si="488"/>
        <v>1</v>
      </c>
      <c r="P485" s="2">
        <f t="shared" si="488"/>
        <v>1</v>
      </c>
      <c r="Q485" s="2">
        <f t="shared" si="3"/>
        <v>1</v>
      </c>
      <c r="R485" s="2">
        <f>IF(ISERROR(VLOOKUP(A485, 'Project Reference'!A:A, 1, FALSE)), 0, 1)</f>
        <v>1</v>
      </c>
      <c r="S485" s="2">
        <f>IFERROR(__xludf.DUMMYFUNCTION("IF(AND(REGEXMATCH(D485, B485), REGEXMATCH(D485, C485)), 1, 0)"),1.0)</f>
        <v>1</v>
      </c>
      <c r="T485" s="2">
        <f t="shared" si="4"/>
        <v>1</v>
      </c>
      <c r="U485" s="2">
        <f t="shared" si="5"/>
        <v>1</v>
      </c>
      <c r="V485" s="2">
        <f t="shared" si="6"/>
        <v>1</v>
      </c>
    </row>
    <row r="486" ht="14.25" customHeight="1">
      <c r="A486" s="2" t="s">
        <v>532</v>
      </c>
      <c r="B486" s="2" t="s">
        <v>60</v>
      </c>
      <c r="C486" s="2" t="s">
        <v>48</v>
      </c>
      <c r="D486" s="8" t="s">
        <v>625</v>
      </c>
      <c r="E486" s="6">
        <v>45273.0</v>
      </c>
      <c r="F486" s="6">
        <v>45394.0</v>
      </c>
      <c r="G486" s="7">
        <v>2.4382268E9</v>
      </c>
      <c r="H486" s="2" t="s">
        <v>50</v>
      </c>
      <c r="I486" s="2">
        <f t="shared" ref="I486:P486" si="489">IF(ISBLANK(A486)=TRUE,0,1)</f>
        <v>1</v>
      </c>
      <c r="J486" s="2">
        <f t="shared" si="489"/>
        <v>1</v>
      </c>
      <c r="K486" s="2">
        <f t="shared" si="489"/>
        <v>1</v>
      </c>
      <c r="L486" s="2">
        <f t="shared" si="489"/>
        <v>1</v>
      </c>
      <c r="M486" s="2">
        <f t="shared" si="489"/>
        <v>1</v>
      </c>
      <c r="N486" s="2">
        <f t="shared" si="489"/>
        <v>1</v>
      </c>
      <c r="O486" s="2">
        <f t="shared" si="489"/>
        <v>1</v>
      </c>
      <c r="P486" s="2">
        <f t="shared" si="489"/>
        <v>1</v>
      </c>
      <c r="Q486" s="2">
        <f t="shared" si="3"/>
        <v>1</v>
      </c>
      <c r="R486" s="2">
        <f>IF(ISERROR(VLOOKUP(A486, 'Project Reference'!A:A, 1, FALSE)), 0, 1)</f>
        <v>1</v>
      </c>
      <c r="S486" s="2">
        <f>IFERROR(__xludf.DUMMYFUNCTION("IF(AND(REGEXMATCH(D486, B486), REGEXMATCH(D486, C486)), 1, 0)"),1.0)</f>
        <v>1</v>
      </c>
      <c r="T486" s="2">
        <f t="shared" si="4"/>
        <v>1</v>
      </c>
      <c r="U486" s="2">
        <f t="shared" si="5"/>
        <v>1</v>
      </c>
      <c r="V486" s="2">
        <f t="shared" si="6"/>
        <v>1</v>
      </c>
    </row>
    <row r="487" ht="14.25" customHeight="1">
      <c r="A487" s="2" t="s">
        <v>535</v>
      </c>
      <c r="B487" s="2" t="s">
        <v>35</v>
      </c>
      <c r="C487" s="2" t="s">
        <v>48</v>
      </c>
      <c r="D487" s="2" t="s">
        <v>49</v>
      </c>
      <c r="E487" s="6">
        <v>45281.0</v>
      </c>
      <c r="F487" s="6">
        <v>45467.0</v>
      </c>
      <c r="G487" s="7">
        <v>6.3329943E8</v>
      </c>
      <c r="H487" s="8" t="s">
        <v>581</v>
      </c>
      <c r="I487" s="2">
        <f t="shared" ref="I487:P487" si="490">IF(ISBLANK(A487)=TRUE,0,1)</f>
        <v>1</v>
      </c>
      <c r="J487" s="2">
        <f t="shared" si="490"/>
        <v>1</v>
      </c>
      <c r="K487" s="2">
        <f t="shared" si="490"/>
        <v>1</v>
      </c>
      <c r="L487" s="2">
        <f t="shared" si="490"/>
        <v>1</v>
      </c>
      <c r="M487" s="2">
        <f t="shared" si="490"/>
        <v>1</v>
      </c>
      <c r="N487" s="2">
        <f t="shared" si="490"/>
        <v>1</v>
      </c>
      <c r="O487" s="2">
        <f t="shared" si="490"/>
        <v>1</v>
      </c>
      <c r="P487" s="2">
        <f t="shared" si="490"/>
        <v>1</v>
      </c>
      <c r="Q487" s="2">
        <f t="shared" si="3"/>
        <v>1</v>
      </c>
      <c r="R487" s="2">
        <f>IF(ISERROR(VLOOKUP(A487, 'Project Reference'!A:A, 1, FALSE)), 0, 1)</f>
        <v>1</v>
      </c>
      <c r="S487" s="2">
        <f>IFERROR(__xludf.DUMMYFUNCTION("IF(AND(REGEXMATCH(D487, B487), REGEXMATCH(D487, C487)), 1, 0)"),1.0)</f>
        <v>1</v>
      </c>
      <c r="T487" s="2">
        <f t="shared" si="4"/>
        <v>1</v>
      </c>
      <c r="U487" s="2">
        <f t="shared" si="5"/>
        <v>1</v>
      </c>
      <c r="V487" s="2">
        <f t="shared" si="6"/>
        <v>1</v>
      </c>
    </row>
    <row r="488" ht="14.25" customHeight="1">
      <c r="A488" s="2" t="s">
        <v>536</v>
      </c>
      <c r="B488" s="2" t="s">
        <v>35</v>
      </c>
      <c r="C488" s="2" t="s">
        <v>24</v>
      </c>
      <c r="D488" s="2" t="s">
        <v>133</v>
      </c>
      <c r="E488" s="6">
        <v>45282.0</v>
      </c>
      <c r="F488" s="6">
        <v>45595.0</v>
      </c>
      <c r="G488" s="7">
        <v>5.18578528E8</v>
      </c>
      <c r="H488" s="8" t="s">
        <v>581</v>
      </c>
      <c r="I488" s="2">
        <f t="shared" ref="I488:P488" si="491">IF(ISBLANK(A488)=TRUE,0,1)</f>
        <v>1</v>
      </c>
      <c r="J488" s="2">
        <f t="shared" si="491"/>
        <v>1</v>
      </c>
      <c r="K488" s="2">
        <f t="shared" si="491"/>
        <v>1</v>
      </c>
      <c r="L488" s="2">
        <f t="shared" si="491"/>
        <v>1</v>
      </c>
      <c r="M488" s="2">
        <f t="shared" si="491"/>
        <v>1</v>
      </c>
      <c r="N488" s="2">
        <f t="shared" si="491"/>
        <v>1</v>
      </c>
      <c r="O488" s="2">
        <f t="shared" si="491"/>
        <v>1</v>
      </c>
      <c r="P488" s="2">
        <f t="shared" si="491"/>
        <v>1</v>
      </c>
      <c r="Q488" s="2">
        <f t="shared" si="3"/>
        <v>1</v>
      </c>
      <c r="R488" s="2">
        <f>IF(ISERROR(VLOOKUP(A488, 'Project Reference'!A:A, 1, FALSE)), 0, 1)</f>
        <v>1</v>
      </c>
      <c r="S488" s="2">
        <f>IFERROR(__xludf.DUMMYFUNCTION("IF(AND(REGEXMATCH(D488, B488), REGEXMATCH(D488, C488)), 1, 0)"),1.0)</f>
        <v>1</v>
      </c>
      <c r="T488" s="2">
        <f t="shared" si="4"/>
        <v>1</v>
      </c>
      <c r="U488" s="2">
        <f t="shared" si="5"/>
        <v>1</v>
      </c>
      <c r="V488" s="2">
        <f t="shared" si="6"/>
        <v>1</v>
      </c>
    </row>
    <row r="489" ht="14.25" customHeight="1">
      <c r="A489" s="2" t="s">
        <v>537</v>
      </c>
      <c r="B489" s="2" t="s">
        <v>60</v>
      </c>
      <c r="C489" s="2" t="s">
        <v>19</v>
      </c>
      <c r="D489" s="8" t="s">
        <v>616</v>
      </c>
      <c r="E489" s="6">
        <v>45283.0</v>
      </c>
      <c r="F489" s="6">
        <v>45588.0</v>
      </c>
      <c r="G489" s="7">
        <v>2.716743578E9</v>
      </c>
      <c r="H489" s="8" t="s">
        <v>573</v>
      </c>
      <c r="I489" s="2">
        <f t="shared" ref="I489:P489" si="492">IF(ISBLANK(A489)=TRUE,0,1)</f>
        <v>1</v>
      </c>
      <c r="J489" s="2">
        <f t="shared" si="492"/>
        <v>1</v>
      </c>
      <c r="K489" s="2">
        <f t="shared" si="492"/>
        <v>1</v>
      </c>
      <c r="L489" s="2">
        <f t="shared" si="492"/>
        <v>1</v>
      </c>
      <c r="M489" s="2">
        <f t="shared" si="492"/>
        <v>1</v>
      </c>
      <c r="N489" s="2">
        <f t="shared" si="492"/>
        <v>1</v>
      </c>
      <c r="O489" s="2">
        <f t="shared" si="492"/>
        <v>1</v>
      </c>
      <c r="P489" s="2">
        <f t="shared" si="492"/>
        <v>1</v>
      </c>
      <c r="Q489" s="2">
        <f t="shared" si="3"/>
        <v>1</v>
      </c>
      <c r="R489" s="2">
        <f>IF(ISERROR(VLOOKUP(A489, 'Project Reference'!A:A, 1, FALSE)), 0, 1)</f>
        <v>1</v>
      </c>
      <c r="S489" s="2">
        <f>IFERROR(__xludf.DUMMYFUNCTION("IF(AND(REGEXMATCH(D489, B489), REGEXMATCH(D489, C489)), 1, 0)"),1.0)</f>
        <v>1</v>
      </c>
      <c r="T489" s="2">
        <f t="shared" si="4"/>
        <v>1</v>
      </c>
      <c r="U489" s="2">
        <f t="shared" si="5"/>
        <v>1</v>
      </c>
      <c r="V489" s="2">
        <f t="shared" si="6"/>
        <v>1</v>
      </c>
    </row>
    <row r="490" ht="14.25" customHeight="1">
      <c r="A490" s="2" t="s">
        <v>538</v>
      </c>
      <c r="B490" s="2" t="s">
        <v>18</v>
      </c>
      <c r="C490" s="2" t="s">
        <v>36</v>
      </c>
      <c r="D490" s="8" t="s">
        <v>634</v>
      </c>
      <c r="E490" s="6">
        <v>45284.0</v>
      </c>
      <c r="F490" s="6">
        <v>45579.0</v>
      </c>
      <c r="G490" s="7">
        <v>3.55836617E9</v>
      </c>
      <c r="H490" s="2" t="s">
        <v>67</v>
      </c>
      <c r="I490" s="2">
        <f t="shared" ref="I490:P490" si="493">IF(ISBLANK(A490)=TRUE,0,1)</f>
        <v>1</v>
      </c>
      <c r="J490" s="2">
        <f t="shared" si="493"/>
        <v>1</v>
      </c>
      <c r="K490" s="2">
        <f t="shared" si="493"/>
        <v>1</v>
      </c>
      <c r="L490" s="2">
        <f t="shared" si="493"/>
        <v>1</v>
      </c>
      <c r="M490" s="2">
        <f t="shared" si="493"/>
        <v>1</v>
      </c>
      <c r="N490" s="2">
        <f t="shared" si="493"/>
        <v>1</v>
      </c>
      <c r="O490" s="2">
        <f t="shared" si="493"/>
        <v>1</v>
      </c>
      <c r="P490" s="2">
        <f t="shared" si="493"/>
        <v>1</v>
      </c>
      <c r="Q490" s="2">
        <f t="shared" si="3"/>
        <v>1</v>
      </c>
      <c r="R490" s="2">
        <f>IF(ISERROR(VLOOKUP(A490, 'Project Reference'!A:A, 1, FALSE)), 0, 1)</f>
        <v>1</v>
      </c>
      <c r="S490" s="2">
        <f>IFERROR(__xludf.DUMMYFUNCTION("IF(AND(REGEXMATCH(D490, B490), REGEXMATCH(D490, C490)), 1, 0)"),1.0)</f>
        <v>1</v>
      </c>
      <c r="T490" s="2">
        <f t="shared" si="4"/>
        <v>1</v>
      </c>
      <c r="U490" s="2">
        <f t="shared" si="5"/>
        <v>1</v>
      </c>
      <c r="V490" s="2">
        <f t="shared" si="6"/>
        <v>1</v>
      </c>
    </row>
    <row r="491" ht="14.25" customHeight="1">
      <c r="A491" s="2" t="s">
        <v>539</v>
      </c>
      <c r="B491" s="2" t="s">
        <v>60</v>
      </c>
      <c r="C491" s="2" t="s">
        <v>48</v>
      </c>
      <c r="D491" s="8" t="s">
        <v>625</v>
      </c>
      <c r="E491" s="6">
        <v>45284.0</v>
      </c>
      <c r="F491" s="6">
        <v>45473.0</v>
      </c>
      <c r="G491" s="7">
        <v>3.504700319E9</v>
      </c>
      <c r="H491" s="2" t="s">
        <v>21</v>
      </c>
      <c r="I491" s="2">
        <f t="shared" ref="I491:P491" si="494">IF(ISBLANK(A491)=TRUE,0,1)</f>
        <v>1</v>
      </c>
      <c r="J491" s="2">
        <f t="shared" si="494"/>
        <v>1</v>
      </c>
      <c r="K491" s="2">
        <f t="shared" si="494"/>
        <v>1</v>
      </c>
      <c r="L491" s="2">
        <f t="shared" si="494"/>
        <v>1</v>
      </c>
      <c r="M491" s="2">
        <f t="shared" si="494"/>
        <v>1</v>
      </c>
      <c r="N491" s="2">
        <f t="shared" si="494"/>
        <v>1</v>
      </c>
      <c r="O491" s="2">
        <f t="shared" si="494"/>
        <v>1</v>
      </c>
      <c r="P491" s="2">
        <f t="shared" si="494"/>
        <v>1</v>
      </c>
      <c r="Q491" s="2">
        <f t="shared" si="3"/>
        <v>1</v>
      </c>
      <c r="R491" s="2">
        <f>IF(ISERROR(VLOOKUP(A491, 'Project Reference'!A:A, 1, FALSE)), 0, 1)</f>
        <v>1</v>
      </c>
      <c r="S491" s="2">
        <f>IFERROR(__xludf.DUMMYFUNCTION("IF(AND(REGEXMATCH(D491, B491), REGEXMATCH(D491, C491)), 1, 0)"),1.0)</f>
        <v>1</v>
      </c>
      <c r="T491" s="2">
        <f t="shared" si="4"/>
        <v>1</v>
      </c>
      <c r="U491" s="2">
        <f t="shared" si="5"/>
        <v>1</v>
      </c>
      <c r="V491" s="2">
        <f t="shared" si="6"/>
        <v>1</v>
      </c>
    </row>
    <row r="492" ht="14.25" customHeight="1">
      <c r="A492" s="2" t="s">
        <v>540</v>
      </c>
      <c r="B492" s="2" t="s">
        <v>18</v>
      </c>
      <c r="C492" s="2" t="s">
        <v>36</v>
      </c>
      <c r="D492" s="8" t="s">
        <v>634</v>
      </c>
      <c r="E492" s="6">
        <v>45284.0</v>
      </c>
      <c r="F492" s="6">
        <v>45536.0</v>
      </c>
      <c r="G492" s="7">
        <v>8.473123375E9</v>
      </c>
      <c r="H492" s="8" t="s">
        <v>573</v>
      </c>
      <c r="I492" s="2">
        <f t="shared" ref="I492:P492" si="495">IF(ISBLANK(A492)=TRUE,0,1)</f>
        <v>1</v>
      </c>
      <c r="J492" s="2">
        <f t="shared" si="495"/>
        <v>1</v>
      </c>
      <c r="K492" s="2">
        <f t="shared" si="495"/>
        <v>1</v>
      </c>
      <c r="L492" s="2">
        <f t="shared" si="495"/>
        <v>1</v>
      </c>
      <c r="M492" s="2">
        <f t="shared" si="495"/>
        <v>1</v>
      </c>
      <c r="N492" s="2">
        <f t="shared" si="495"/>
        <v>1</v>
      </c>
      <c r="O492" s="2">
        <f t="shared" si="495"/>
        <v>1</v>
      </c>
      <c r="P492" s="2">
        <f t="shared" si="495"/>
        <v>1</v>
      </c>
      <c r="Q492" s="2">
        <f t="shared" si="3"/>
        <v>1</v>
      </c>
      <c r="R492" s="2">
        <f>IF(ISERROR(VLOOKUP(A492, 'Project Reference'!A:A, 1, FALSE)), 0, 1)</f>
        <v>1</v>
      </c>
      <c r="S492" s="2">
        <f>IFERROR(__xludf.DUMMYFUNCTION("IF(AND(REGEXMATCH(D492, B492), REGEXMATCH(D492, C492)), 1, 0)"),1.0)</f>
        <v>1</v>
      </c>
      <c r="T492" s="2">
        <f t="shared" si="4"/>
        <v>1</v>
      </c>
      <c r="U492" s="2">
        <f t="shared" si="5"/>
        <v>1</v>
      </c>
      <c r="V492" s="2">
        <f t="shared" si="6"/>
        <v>1</v>
      </c>
    </row>
    <row r="493" ht="14.25" customHeight="1">
      <c r="A493" s="2" t="s">
        <v>542</v>
      </c>
      <c r="B493" s="2" t="s">
        <v>60</v>
      </c>
      <c r="C493" s="2" t="s">
        <v>19</v>
      </c>
      <c r="D493" s="8" t="s">
        <v>635</v>
      </c>
      <c r="E493" s="6">
        <v>45285.0</v>
      </c>
      <c r="F493" s="6">
        <v>45567.0</v>
      </c>
      <c r="G493" s="7">
        <v>3.697961455E9</v>
      </c>
      <c r="H493" s="2" t="s">
        <v>50</v>
      </c>
      <c r="I493" s="2">
        <f t="shared" ref="I493:P493" si="496">IF(ISBLANK(A493)=TRUE,0,1)</f>
        <v>1</v>
      </c>
      <c r="J493" s="2">
        <f t="shared" si="496"/>
        <v>1</v>
      </c>
      <c r="K493" s="2">
        <f t="shared" si="496"/>
        <v>1</v>
      </c>
      <c r="L493" s="2">
        <f t="shared" si="496"/>
        <v>1</v>
      </c>
      <c r="M493" s="2">
        <f t="shared" si="496"/>
        <v>1</v>
      </c>
      <c r="N493" s="2">
        <f t="shared" si="496"/>
        <v>1</v>
      </c>
      <c r="O493" s="2">
        <f t="shared" si="496"/>
        <v>1</v>
      </c>
      <c r="P493" s="2">
        <f t="shared" si="496"/>
        <v>1</v>
      </c>
      <c r="Q493" s="2">
        <f t="shared" si="3"/>
        <v>1</v>
      </c>
      <c r="R493" s="2">
        <f>IF(ISERROR(VLOOKUP(A493, 'Project Reference'!A:A, 1, FALSE)), 0, 1)</f>
        <v>1</v>
      </c>
      <c r="S493" s="2">
        <f>IFERROR(__xludf.DUMMYFUNCTION("IF(AND(REGEXMATCH(D493, B493), REGEXMATCH(D493, C493)), 1, 0)"),1.0)</f>
        <v>1</v>
      </c>
      <c r="T493" s="2">
        <f t="shared" si="4"/>
        <v>1</v>
      </c>
      <c r="U493" s="2">
        <f t="shared" si="5"/>
        <v>1</v>
      </c>
      <c r="V493" s="2">
        <f t="shared" si="6"/>
        <v>1</v>
      </c>
    </row>
    <row r="494" ht="14.25" customHeight="1">
      <c r="A494" s="2" t="s">
        <v>543</v>
      </c>
      <c r="B494" s="2" t="s">
        <v>18</v>
      </c>
      <c r="C494" s="2" t="s">
        <v>42</v>
      </c>
      <c r="D494" s="8" t="s">
        <v>621</v>
      </c>
      <c r="E494" s="6">
        <v>45286.0</v>
      </c>
      <c r="F494" s="6">
        <v>45368.0</v>
      </c>
      <c r="G494" s="7">
        <v>9.185210892E9</v>
      </c>
      <c r="H494" s="8" t="s">
        <v>581</v>
      </c>
      <c r="I494" s="2">
        <f t="shared" ref="I494:P494" si="497">IF(ISBLANK(A494)=TRUE,0,1)</f>
        <v>1</v>
      </c>
      <c r="J494" s="2">
        <f t="shared" si="497"/>
        <v>1</v>
      </c>
      <c r="K494" s="2">
        <f t="shared" si="497"/>
        <v>1</v>
      </c>
      <c r="L494" s="2">
        <f t="shared" si="497"/>
        <v>1</v>
      </c>
      <c r="M494" s="2">
        <f t="shared" si="497"/>
        <v>1</v>
      </c>
      <c r="N494" s="2">
        <f t="shared" si="497"/>
        <v>1</v>
      </c>
      <c r="O494" s="2">
        <f t="shared" si="497"/>
        <v>1</v>
      </c>
      <c r="P494" s="2">
        <f t="shared" si="497"/>
        <v>1</v>
      </c>
      <c r="Q494" s="2">
        <f t="shared" si="3"/>
        <v>1</v>
      </c>
      <c r="R494" s="2">
        <f>IF(ISERROR(VLOOKUP(A494, 'Project Reference'!A:A, 1, FALSE)), 0, 1)</f>
        <v>1</v>
      </c>
      <c r="S494" s="2">
        <f>IFERROR(__xludf.DUMMYFUNCTION("IF(AND(REGEXMATCH(D494, B494), REGEXMATCH(D494, C494)), 1, 0)"),1.0)</f>
        <v>1</v>
      </c>
      <c r="T494" s="2">
        <f t="shared" si="4"/>
        <v>1</v>
      </c>
      <c r="U494" s="2">
        <f t="shared" si="5"/>
        <v>1</v>
      </c>
      <c r="V494" s="2">
        <f t="shared" si="6"/>
        <v>1</v>
      </c>
    </row>
    <row r="495" ht="14.25" customHeight="1">
      <c r="A495" s="2" t="s">
        <v>544</v>
      </c>
      <c r="B495" s="2" t="s">
        <v>35</v>
      </c>
      <c r="C495" s="2" t="s">
        <v>13</v>
      </c>
      <c r="D495" s="2" t="s">
        <v>78</v>
      </c>
      <c r="E495" s="6">
        <v>45286.0</v>
      </c>
      <c r="F495" s="6">
        <v>45570.0</v>
      </c>
      <c r="G495" s="7">
        <v>5.7743407E8</v>
      </c>
      <c r="H495" s="2" t="s">
        <v>50</v>
      </c>
      <c r="I495" s="2">
        <f t="shared" ref="I495:P495" si="498">IF(ISBLANK(A495)=TRUE,0,1)</f>
        <v>1</v>
      </c>
      <c r="J495" s="2">
        <f t="shared" si="498"/>
        <v>1</v>
      </c>
      <c r="K495" s="2">
        <f t="shared" si="498"/>
        <v>1</v>
      </c>
      <c r="L495" s="2">
        <f t="shared" si="498"/>
        <v>1</v>
      </c>
      <c r="M495" s="2">
        <f t="shared" si="498"/>
        <v>1</v>
      </c>
      <c r="N495" s="2">
        <f t="shared" si="498"/>
        <v>1</v>
      </c>
      <c r="O495" s="2">
        <f t="shared" si="498"/>
        <v>1</v>
      </c>
      <c r="P495" s="2">
        <f t="shared" si="498"/>
        <v>1</v>
      </c>
      <c r="Q495" s="2">
        <f t="shared" si="3"/>
        <v>1</v>
      </c>
      <c r="R495" s="2">
        <f>IF(ISERROR(VLOOKUP(A495, 'Project Reference'!A:A, 1, FALSE)), 0, 1)</f>
        <v>1</v>
      </c>
      <c r="S495" s="2">
        <f>IFERROR(__xludf.DUMMYFUNCTION("IF(AND(REGEXMATCH(D495, B495), REGEXMATCH(D495, C495)), 1, 0)"),1.0)</f>
        <v>1</v>
      </c>
      <c r="T495" s="2">
        <f t="shared" si="4"/>
        <v>1</v>
      </c>
      <c r="U495" s="2">
        <f t="shared" si="5"/>
        <v>1</v>
      </c>
      <c r="V495" s="2">
        <f t="shared" si="6"/>
        <v>1</v>
      </c>
    </row>
    <row r="496" ht="14.25" customHeight="1">
      <c r="A496" s="2" t="s">
        <v>545</v>
      </c>
      <c r="B496" s="2" t="s">
        <v>18</v>
      </c>
      <c r="C496" s="2" t="s">
        <v>31</v>
      </c>
      <c r="D496" s="8" t="s">
        <v>636</v>
      </c>
      <c r="E496" s="6">
        <v>45286.0</v>
      </c>
      <c r="F496" s="6">
        <v>45044.0</v>
      </c>
      <c r="G496" s="7">
        <v>9.221677626E9</v>
      </c>
      <c r="H496" s="8" t="s">
        <v>581</v>
      </c>
      <c r="I496" s="2">
        <f t="shared" ref="I496:P496" si="499">IF(ISBLANK(A496)=TRUE,0,1)</f>
        <v>1</v>
      </c>
      <c r="J496" s="2">
        <f t="shared" si="499"/>
        <v>1</v>
      </c>
      <c r="K496" s="2">
        <f t="shared" si="499"/>
        <v>1</v>
      </c>
      <c r="L496" s="2">
        <f t="shared" si="499"/>
        <v>1</v>
      </c>
      <c r="M496" s="2">
        <f t="shared" si="499"/>
        <v>1</v>
      </c>
      <c r="N496" s="2">
        <f t="shared" si="499"/>
        <v>1</v>
      </c>
      <c r="O496" s="2">
        <f t="shared" si="499"/>
        <v>1</v>
      </c>
      <c r="P496" s="2">
        <f t="shared" si="499"/>
        <v>1</v>
      </c>
      <c r="Q496" s="2">
        <f t="shared" si="3"/>
        <v>1</v>
      </c>
      <c r="R496" s="2">
        <f>IF(ISERROR(VLOOKUP(A496, 'Project Reference'!A:A, 1, FALSE)), 0, 1)</f>
        <v>1</v>
      </c>
      <c r="S496" s="2">
        <f>IFERROR(__xludf.DUMMYFUNCTION("IF(AND(REGEXMATCH(D496, B496), REGEXMATCH(D496, C496)), 1, 0)"),1.0)</f>
        <v>1</v>
      </c>
      <c r="T496" s="2">
        <f t="shared" si="4"/>
        <v>1</v>
      </c>
      <c r="U496" s="2">
        <f t="shared" si="5"/>
        <v>0</v>
      </c>
      <c r="V496" s="2">
        <f t="shared" si="6"/>
        <v>1</v>
      </c>
    </row>
    <row r="497" ht="14.25" customHeight="1">
      <c r="A497" s="2" t="s">
        <v>546</v>
      </c>
      <c r="B497" s="2" t="s">
        <v>60</v>
      </c>
      <c r="C497" s="2" t="s">
        <v>31</v>
      </c>
      <c r="D497" s="8" t="s">
        <v>599</v>
      </c>
      <c r="E497" s="6">
        <v>45287.0</v>
      </c>
      <c r="F497" s="6">
        <v>45624.0</v>
      </c>
      <c r="G497" s="7">
        <v>4.616485762E9</v>
      </c>
      <c r="H497" s="2" t="s">
        <v>44</v>
      </c>
      <c r="I497" s="2">
        <f t="shared" ref="I497:P497" si="500">IF(ISBLANK(A497)=TRUE,0,1)</f>
        <v>1</v>
      </c>
      <c r="J497" s="2">
        <f t="shared" si="500"/>
        <v>1</v>
      </c>
      <c r="K497" s="2">
        <f t="shared" si="500"/>
        <v>1</v>
      </c>
      <c r="L497" s="2">
        <f t="shared" si="500"/>
        <v>1</v>
      </c>
      <c r="M497" s="2">
        <f t="shared" si="500"/>
        <v>1</v>
      </c>
      <c r="N497" s="2">
        <f t="shared" si="500"/>
        <v>1</v>
      </c>
      <c r="O497" s="2">
        <f t="shared" si="500"/>
        <v>1</v>
      </c>
      <c r="P497" s="2">
        <f t="shared" si="500"/>
        <v>1</v>
      </c>
      <c r="Q497" s="2">
        <f t="shared" si="3"/>
        <v>1</v>
      </c>
      <c r="R497" s="2">
        <f>IF(ISERROR(VLOOKUP(A497, 'Project Reference'!A:A, 1, FALSE)), 0, 1)</f>
        <v>1</v>
      </c>
      <c r="S497" s="2">
        <f>IFERROR(__xludf.DUMMYFUNCTION("IF(AND(REGEXMATCH(D497, B497), REGEXMATCH(D497, C497)), 1, 0)"),1.0)</f>
        <v>1</v>
      </c>
      <c r="T497" s="2">
        <f t="shared" si="4"/>
        <v>1</v>
      </c>
      <c r="U497" s="2">
        <f t="shared" si="5"/>
        <v>1</v>
      </c>
      <c r="V497" s="2">
        <f t="shared" si="6"/>
        <v>1</v>
      </c>
    </row>
    <row r="498" ht="14.25" customHeight="1">
      <c r="A498" s="2" t="s">
        <v>548</v>
      </c>
      <c r="B498" s="2" t="s">
        <v>35</v>
      </c>
      <c r="C498" s="2" t="s">
        <v>39</v>
      </c>
      <c r="D498" s="2" t="s">
        <v>145</v>
      </c>
      <c r="E498" s="6">
        <v>45289.0</v>
      </c>
      <c r="F498" s="6">
        <v>45611.0</v>
      </c>
      <c r="G498" s="7">
        <v>4.19613481E8</v>
      </c>
      <c r="H498" s="2" t="s">
        <v>50</v>
      </c>
      <c r="I498" s="2">
        <f t="shared" ref="I498:P498" si="501">IF(ISBLANK(A498)=TRUE,0,1)</f>
        <v>1</v>
      </c>
      <c r="J498" s="2">
        <f t="shared" si="501"/>
        <v>1</v>
      </c>
      <c r="K498" s="2">
        <f t="shared" si="501"/>
        <v>1</v>
      </c>
      <c r="L498" s="2">
        <f t="shared" si="501"/>
        <v>1</v>
      </c>
      <c r="M498" s="2">
        <f t="shared" si="501"/>
        <v>1</v>
      </c>
      <c r="N498" s="2">
        <f t="shared" si="501"/>
        <v>1</v>
      </c>
      <c r="O498" s="2">
        <f t="shared" si="501"/>
        <v>1</v>
      </c>
      <c r="P498" s="2">
        <f t="shared" si="501"/>
        <v>1</v>
      </c>
      <c r="Q498" s="2">
        <f t="shared" si="3"/>
        <v>1</v>
      </c>
      <c r="R498" s="2">
        <f>IF(ISERROR(VLOOKUP(A498, 'Project Reference'!A:A, 1, FALSE)), 0, 1)</f>
        <v>1</v>
      </c>
      <c r="S498" s="2">
        <f>IFERROR(__xludf.DUMMYFUNCTION("IF(AND(REGEXMATCH(D498, B498), REGEXMATCH(D498, C498)), 1, 0)"),1.0)</f>
        <v>1</v>
      </c>
      <c r="T498" s="2">
        <f t="shared" si="4"/>
        <v>1</v>
      </c>
      <c r="U498" s="2">
        <f t="shared" si="5"/>
        <v>1</v>
      </c>
      <c r="V498" s="2">
        <f t="shared" si="6"/>
        <v>1</v>
      </c>
    </row>
    <row r="499" ht="14.25" customHeight="1">
      <c r="A499" s="2" t="s">
        <v>549</v>
      </c>
      <c r="B499" s="2" t="s">
        <v>35</v>
      </c>
      <c r="C499" s="2" t="s">
        <v>36</v>
      </c>
      <c r="D499" s="2" t="s">
        <v>37</v>
      </c>
      <c r="E499" s="6">
        <v>45289.0</v>
      </c>
      <c r="F499" s="6">
        <v>45346.0</v>
      </c>
      <c r="G499" s="7">
        <v>2.71658499E8</v>
      </c>
      <c r="H499" s="2" t="s">
        <v>21</v>
      </c>
      <c r="I499" s="2">
        <f t="shared" ref="I499:P499" si="502">IF(ISBLANK(A499)=TRUE,0,1)</f>
        <v>1</v>
      </c>
      <c r="J499" s="2">
        <f t="shared" si="502"/>
        <v>1</v>
      </c>
      <c r="K499" s="2">
        <f t="shared" si="502"/>
        <v>1</v>
      </c>
      <c r="L499" s="2">
        <f t="shared" si="502"/>
        <v>1</v>
      </c>
      <c r="M499" s="2">
        <f t="shared" si="502"/>
        <v>1</v>
      </c>
      <c r="N499" s="2">
        <f t="shared" si="502"/>
        <v>1</v>
      </c>
      <c r="O499" s="2">
        <f t="shared" si="502"/>
        <v>1</v>
      </c>
      <c r="P499" s="2">
        <f t="shared" si="502"/>
        <v>1</v>
      </c>
      <c r="Q499" s="2">
        <f t="shared" si="3"/>
        <v>1</v>
      </c>
      <c r="R499" s="2">
        <f>IF(ISERROR(VLOOKUP(A499, 'Project Reference'!A:A, 1, FALSE)), 0, 1)</f>
        <v>1</v>
      </c>
      <c r="S499" s="2">
        <f>IFERROR(__xludf.DUMMYFUNCTION("IF(AND(REGEXMATCH(D499, B499), REGEXMATCH(D499, C499)), 1, 0)"),1.0)</f>
        <v>1</v>
      </c>
      <c r="T499" s="2">
        <f t="shared" si="4"/>
        <v>1</v>
      </c>
      <c r="U499" s="2">
        <f t="shared" si="5"/>
        <v>1</v>
      </c>
      <c r="V499" s="2">
        <f t="shared" si="6"/>
        <v>1</v>
      </c>
    </row>
    <row r="500" ht="14.25" customHeight="1">
      <c r="A500" s="2" t="s">
        <v>550</v>
      </c>
      <c r="B500" s="2" t="s">
        <v>60</v>
      </c>
      <c r="C500" s="2" t="s">
        <v>19</v>
      </c>
      <c r="D500" s="8" t="s">
        <v>616</v>
      </c>
      <c r="E500" s="6">
        <v>45290.0</v>
      </c>
      <c r="F500" s="6">
        <v>45461.0</v>
      </c>
      <c r="G500" s="7">
        <v>3.282339654E9</v>
      </c>
      <c r="H500" s="2" t="s">
        <v>67</v>
      </c>
      <c r="I500" s="2">
        <f t="shared" ref="I500:P500" si="503">IF(ISBLANK(A500)=TRUE,0,1)</f>
        <v>1</v>
      </c>
      <c r="J500" s="2">
        <f t="shared" si="503"/>
        <v>1</v>
      </c>
      <c r="K500" s="2">
        <f t="shared" si="503"/>
        <v>1</v>
      </c>
      <c r="L500" s="2">
        <f t="shared" si="503"/>
        <v>1</v>
      </c>
      <c r="M500" s="2">
        <f t="shared" si="503"/>
        <v>1</v>
      </c>
      <c r="N500" s="2">
        <f t="shared" si="503"/>
        <v>1</v>
      </c>
      <c r="O500" s="2">
        <f t="shared" si="503"/>
        <v>1</v>
      </c>
      <c r="P500" s="2">
        <f t="shared" si="503"/>
        <v>1</v>
      </c>
      <c r="Q500" s="2">
        <f t="shared" si="3"/>
        <v>1</v>
      </c>
      <c r="R500" s="2">
        <f>IF(ISERROR(VLOOKUP(A500, 'Project Reference'!A:A, 1, FALSE)), 0, 1)</f>
        <v>1</v>
      </c>
      <c r="S500" s="2">
        <f>IFERROR(__xludf.DUMMYFUNCTION("IF(AND(REGEXMATCH(D500, B500), REGEXMATCH(D500, C500)), 1, 0)"),1.0)</f>
        <v>1</v>
      </c>
      <c r="T500" s="2">
        <f t="shared" si="4"/>
        <v>1</v>
      </c>
      <c r="U500" s="2">
        <f t="shared" si="5"/>
        <v>1</v>
      </c>
      <c r="V500" s="2">
        <f t="shared" si="6"/>
        <v>1</v>
      </c>
    </row>
    <row r="501" ht="14.25" customHeight="1">
      <c r="A501" s="2" t="s">
        <v>551</v>
      </c>
      <c r="B501" s="2" t="s">
        <v>18</v>
      </c>
      <c r="C501" s="2" t="s">
        <v>48</v>
      </c>
      <c r="D501" s="8" t="s">
        <v>629</v>
      </c>
      <c r="E501" s="6">
        <v>45291.0</v>
      </c>
      <c r="F501" s="6">
        <v>45563.0</v>
      </c>
      <c r="G501" s="7">
        <v>2.974669932E9</v>
      </c>
      <c r="H501" s="2" t="s">
        <v>67</v>
      </c>
      <c r="I501" s="2">
        <f t="shared" ref="I501:P501" si="504">IF(ISBLANK(A501)=TRUE,0,1)</f>
        <v>1</v>
      </c>
      <c r="J501" s="2">
        <f t="shared" si="504"/>
        <v>1</v>
      </c>
      <c r="K501" s="2">
        <f t="shared" si="504"/>
        <v>1</v>
      </c>
      <c r="L501" s="2">
        <f t="shared" si="504"/>
        <v>1</v>
      </c>
      <c r="M501" s="2">
        <f t="shared" si="504"/>
        <v>1</v>
      </c>
      <c r="N501" s="2">
        <f t="shared" si="504"/>
        <v>1</v>
      </c>
      <c r="O501" s="2">
        <f t="shared" si="504"/>
        <v>1</v>
      </c>
      <c r="P501" s="2">
        <f t="shared" si="504"/>
        <v>1</v>
      </c>
      <c r="Q501" s="2">
        <f t="shared" si="3"/>
        <v>1</v>
      </c>
      <c r="R501" s="2">
        <f>IF(ISERROR(VLOOKUP(A501, 'Project Reference'!A:A, 1, FALSE)), 0, 1)</f>
        <v>1</v>
      </c>
      <c r="S501" s="2">
        <f>IFERROR(__xludf.DUMMYFUNCTION("IF(AND(REGEXMATCH(D501, B501), REGEXMATCH(D501, C501)), 1, 0)"),1.0)</f>
        <v>1</v>
      </c>
      <c r="T501" s="2">
        <f t="shared" si="4"/>
        <v>1</v>
      </c>
      <c r="U501" s="2">
        <f t="shared" si="5"/>
        <v>1</v>
      </c>
      <c r="V501" s="2">
        <f t="shared" si="6"/>
        <v>1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V$501">
    <sortState ref="A1:V501">
      <sortCondition ref="V1:V501"/>
      <sortCondition ref="R1:R501"/>
      <sortCondition ref="Q1:Q501"/>
      <sortCondition ref="J1:J501"/>
      <sortCondition ref="P1:P501"/>
      <sortCondition ref="K1:K501"/>
      <sortCondition ref="I1:I501"/>
      <sortCondition ref="A1:A501"/>
      <sortCondition ref="E1:E501"/>
      <sortCondition ref="L1:L501"/>
      <sortCondition ref="U1:U501"/>
      <sortCondition ref="S1:S501"/>
      <sortCondition ref="D1:D501"/>
    </sortState>
  </autoFilter>
  <conditionalFormatting sqref="A1:H501">
    <cfRule type="containsBlanks" dxfId="0" priority="1">
      <formula>LEN(TRIM(A1))=0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43"/>
    <col customWidth="1" min="2" max="2" width="15.29"/>
    <col customWidth="1" min="3" max="3" width="9.43"/>
    <col customWidth="1" min="4" max="4" width="35.57"/>
    <col customWidth="1" min="5" max="5" width="16.57"/>
    <col customWidth="1" min="6" max="6" width="17.57"/>
    <col customWidth="1" min="7" max="7" width="16.57"/>
    <col customWidth="1" min="8" max="8" width="30.14"/>
    <col customWidth="1" min="9" max="9" width="17.14"/>
    <col customWidth="1" min="10" max="10" width="19.57"/>
    <col customWidth="1" min="11" max="11" width="13.71"/>
    <col customWidth="1" min="12" max="12" width="20.43"/>
    <col customWidth="1" min="13" max="13" width="20.86"/>
    <col customWidth="1" min="14" max="14" width="21.86"/>
    <col customWidth="1" min="15" max="15" width="16.57"/>
    <col customWidth="1" min="16" max="16" width="17.71"/>
    <col customWidth="1" min="17" max="17" width="34.14"/>
    <col customWidth="1" min="18" max="18" width="17.43"/>
    <col customWidth="1" min="19" max="20" width="20.71"/>
    <col customWidth="1" min="21" max="21" width="21.71"/>
    <col customWidth="1" min="22" max="22" width="16.43"/>
    <col customWidth="1" min="23" max="30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4" t="s">
        <v>669</v>
      </c>
      <c r="J1" s="5" t="s">
        <v>670</v>
      </c>
      <c r="K1" s="5" t="s">
        <v>671</v>
      </c>
      <c r="L1" s="5" t="s">
        <v>672</v>
      </c>
      <c r="M1" s="5" t="s">
        <v>673</v>
      </c>
      <c r="N1" s="5" t="s">
        <v>674</v>
      </c>
      <c r="O1" s="5" t="s">
        <v>675</v>
      </c>
      <c r="P1" s="5" t="s">
        <v>676</v>
      </c>
      <c r="Q1" s="4" t="s">
        <v>677</v>
      </c>
      <c r="R1" s="4" t="s">
        <v>678</v>
      </c>
      <c r="S1" s="4" t="s">
        <v>679</v>
      </c>
      <c r="T1" s="4" t="s">
        <v>680</v>
      </c>
      <c r="U1" s="4" t="s">
        <v>681</v>
      </c>
      <c r="V1" s="4" t="s">
        <v>682</v>
      </c>
      <c r="W1" s="8"/>
      <c r="X1" s="8"/>
      <c r="Y1" s="8"/>
      <c r="Z1" s="8"/>
      <c r="AA1" s="8"/>
      <c r="AB1" s="8"/>
      <c r="AC1" s="8"/>
      <c r="AD1" s="8"/>
    </row>
    <row r="2" ht="14.25" customHeight="1">
      <c r="A2" s="8" t="s">
        <v>596</v>
      </c>
      <c r="B2" s="2" t="s">
        <v>60</v>
      </c>
      <c r="C2" s="2" t="s">
        <v>36</v>
      </c>
      <c r="D2" s="8" t="s">
        <v>597</v>
      </c>
      <c r="E2" s="20">
        <v>45336.0</v>
      </c>
      <c r="F2" s="20">
        <v>45336.0</v>
      </c>
      <c r="G2" s="7">
        <v>3.981092285E9</v>
      </c>
      <c r="H2" s="2" t="s">
        <v>50</v>
      </c>
      <c r="I2" s="2">
        <f t="shared" ref="I2:P2" si="1">IF(ISBLANK(A2)=TRUE,0,1)</f>
        <v>1</v>
      </c>
      <c r="J2" s="2">
        <f t="shared" si="1"/>
        <v>1</v>
      </c>
      <c r="K2" s="2">
        <f t="shared" si="1"/>
        <v>1</v>
      </c>
      <c r="L2" s="2">
        <f t="shared" si="1"/>
        <v>1</v>
      </c>
      <c r="M2" s="2">
        <f t="shared" si="1"/>
        <v>1</v>
      </c>
      <c r="N2" s="2">
        <f t="shared" si="1"/>
        <v>1</v>
      </c>
      <c r="O2" s="2">
        <f t="shared" si="1"/>
        <v>1</v>
      </c>
      <c r="P2" s="2">
        <f t="shared" si="1"/>
        <v>1</v>
      </c>
      <c r="Q2" s="2">
        <f t="shared" ref="Q2:Q501" si="3">IF(COUNTIF(A:A, A2) &gt; 1, 0, 1)</f>
        <v>1</v>
      </c>
      <c r="R2" s="2">
        <f>IF(ISERROR(VLOOKUP(A2, 'Project Reference'!A:A, 1, FALSE)), 0, 1)</f>
        <v>1</v>
      </c>
      <c r="S2" s="2">
        <f>IFERROR(__xludf.DUMMYFUNCTION("IF(AND(REGEXMATCH(D2, B2), REGEXMATCH(D2, C2)), 1, 0)
"),1.0)</f>
        <v>1</v>
      </c>
      <c r="T2" s="2">
        <f t="shared" ref="T2:T501" si="4">IF(AND(YEAR(E2)&gt;=2023, YEAR(E2)&lt;=2024), 1, 0)</f>
        <v>1</v>
      </c>
      <c r="U2" s="2">
        <f t="shared" ref="U2:U501" si="5">IF(F2-E2&gt;=3, 1, 0)</f>
        <v>0</v>
      </c>
      <c r="V2" s="2">
        <f t="shared" ref="V2:V501" si="6">IF(G2&gt;10000000000, 0, 1)</f>
        <v>1</v>
      </c>
    </row>
    <row r="3" ht="14.25" customHeight="1">
      <c r="A3" s="2" t="s">
        <v>234</v>
      </c>
      <c r="B3" s="2" t="s">
        <v>12</v>
      </c>
      <c r="C3" s="2" t="s">
        <v>31</v>
      </c>
      <c r="D3" s="8" t="s">
        <v>593</v>
      </c>
      <c r="E3" s="21">
        <v>45055.0</v>
      </c>
      <c r="F3" s="21">
        <v>44950.0</v>
      </c>
      <c r="G3" s="7">
        <v>8.62295964E8</v>
      </c>
      <c r="H3" s="2" t="s">
        <v>67</v>
      </c>
      <c r="I3" s="2">
        <f t="shared" ref="I3:P3" si="2">IF(ISBLANK(A3)=TRUE,0,1)</f>
        <v>1</v>
      </c>
      <c r="J3" s="2">
        <f t="shared" si="2"/>
        <v>1</v>
      </c>
      <c r="K3" s="2">
        <f t="shared" si="2"/>
        <v>1</v>
      </c>
      <c r="L3" s="2">
        <f t="shared" si="2"/>
        <v>1</v>
      </c>
      <c r="M3" s="2">
        <f t="shared" si="2"/>
        <v>1</v>
      </c>
      <c r="N3" s="2">
        <f t="shared" si="2"/>
        <v>1</v>
      </c>
      <c r="O3" s="2">
        <f t="shared" si="2"/>
        <v>1</v>
      </c>
      <c r="P3" s="2">
        <f t="shared" si="2"/>
        <v>1</v>
      </c>
      <c r="Q3" s="2">
        <f t="shared" si="3"/>
        <v>1</v>
      </c>
      <c r="R3" s="2">
        <f>IF(ISERROR(VLOOKUP(A3, 'Project Reference'!A:A, 1, FALSE)), 0, 1)</f>
        <v>1</v>
      </c>
      <c r="S3" s="2">
        <f>IFERROR(__xludf.DUMMYFUNCTION("IF(AND(REGEXMATCH(D3, B3), REGEXMATCH(D3, C3)), 1, 0)
"),1.0)</f>
        <v>1</v>
      </c>
      <c r="T3" s="2">
        <f t="shared" si="4"/>
        <v>1</v>
      </c>
      <c r="U3" s="2">
        <f t="shared" si="5"/>
        <v>0</v>
      </c>
      <c r="V3" s="2">
        <f t="shared" si="6"/>
        <v>1</v>
      </c>
    </row>
    <row r="4" ht="14.25" customHeight="1">
      <c r="A4" s="2" t="s">
        <v>280</v>
      </c>
      <c r="B4" s="2" t="s">
        <v>35</v>
      </c>
      <c r="C4" s="2" t="s">
        <v>36</v>
      </c>
      <c r="D4" s="2" t="s">
        <v>37</v>
      </c>
      <c r="E4" s="21">
        <v>45091.0</v>
      </c>
      <c r="F4" s="21">
        <v>45091.0</v>
      </c>
      <c r="G4" s="7">
        <v>6.12637613E8</v>
      </c>
      <c r="H4" s="2" t="s">
        <v>67</v>
      </c>
      <c r="I4" s="2">
        <f t="shared" ref="I4:P4" si="7">IF(ISBLANK(A4)=TRUE,0,1)</f>
        <v>1</v>
      </c>
      <c r="J4" s="2">
        <f t="shared" si="7"/>
        <v>1</v>
      </c>
      <c r="K4" s="2">
        <f t="shared" si="7"/>
        <v>1</v>
      </c>
      <c r="L4" s="2">
        <f t="shared" si="7"/>
        <v>1</v>
      </c>
      <c r="M4" s="2">
        <f t="shared" si="7"/>
        <v>1</v>
      </c>
      <c r="N4" s="2">
        <f t="shared" si="7"/>
        <v>1</v>
      </c>
      <c r="O4" s="2">
        <f t="shared" si="7"/>
        <v>1</v>
      </c>
      <c r="P4" s="2">
        <f t="shared" si="7"/>
        <v>1</v>
      </c>
      <c r="Q4" s="2">
        <f t="shared" si="3"/>
        <v>1</v>
      </c>
      <c r="R4" s="2">
        <f>IF(ISERROR(VLOOKUP(A4, 'Project Reference'!A:A, 1, FALSE)), 0, 1)</f>
        <v>1</v>
      </c>
      <c r="S4" s="2">
        <f>IFERROR(__xludf.DUMMYFUNCTION("IF(AND(REGEXMATCH(D4, B4), REGEXMATCH(D4, C4)), 1, 0)
"),1.0)</f>
        <v>1</v>
      </c>
      <c r="T4" s="2">
        <f t="shared" si="4"/>
        <v>1</v>
      </c>
      <c r="U4" s="2">
        <f t="shared" si="5"/>
        <v>0</v>
      </c>
      <c r="V4" s="2">
        <f t="shared" si="6"/>
        <v>1</v>
      </c>
    </row>
    <row r="5" ht="14.25" customHeight="1">
      <c r="A5" s="2" t="s">
        <v>298</v>
      </c>
      <c r="B5" s="2" t="s">
        <v>12</v>
      </c>
      <c r="C5" s="2" t="s">
        <v>13</v>
      </c>
      <c r="D5" s="8" t="s">
        <v>605</v>
      </c>
      <c r="E5" s="21">
        <v>45103.0</v>
      </c>
      <c r="F5" s="21">
        <v>45038.0</v>
      </c>
      <c r="G5" s="7">
        <v>2.77801695E8</v>
      </c>
      <c r="H5" s="8" t="s">
        <v>573</v>
      </c>
      <c r="I5" s="2">
        <f t="shared" ref="I5:P5" si="8">IF(ISBLANK(A5)=TRUE,0,1)</f>
        <v>1</v>
      </c>
      <c r="J5" s="2">
        <f t="shared" si="8"/>
        <v>1</v>
      </c>
      <c r="K5" s="2">
        <f t="shared" si="8"/>
        <v>1</v>
      </c>
      <c r="L5" s="2">
        <f t="shared" si="8"/>
        <v>1</v>
      </c>
      <c r="M5" s="2">
        <f t="shared" si="8"/>
        <v>1</v>
      </c>
      <c r="N5" s="2">
        <f t="shared" si="8"/>
        <v>1</v>
      </c>
      <c r="O5" s="2">
        <f t="shared" si="8"/>
        <v>1</v>
      </c>
      <c r="P5" s="2">
        <f t="shared" si="8"/>
        <v>1</v>
      </c>
      <c r="Q5" s="2">
        <f t="shared" si="3"/>
        <v>1</v>
      </c>
      <c r="R5" s="2">
        <f>IF(ISERROR(VLOOKUP(A5, 'Project Reference'!A:A, 1, FALSE)), 0, 1)</f>
        <v>1</v>
      </c>
      <c r="S5" s="2">
        <f>IFERROR(__xludf.DUMMYFUNCTION("IF(AND(REGEXMATCH(D5, B5), REGEXMATCH(D5, C5)), 1, 0)
"),1.0)</f>
        <v>1</v>
      </c>
      <c r="T5" s="2">
        <f t="shared" si="4"/>
        <v>1</v>
      </c>
      <c r="U5" s="2">
        <f t="shared" si="5"/>
        <v>0</v>
      </c>
      <c r="V5" s="2">
        <f t="shared" si="6"/>
        <v>1</v>
      </c>
    </row>
    <row r="6" ht="14.25" customHeight="1">
      <c r="A6" s="2" t="s">
        <v>336</v>
      </c>
      <c r="B6" s="2" t="s">
        <v>30</v>
      </c>
      <c r="C6" s="2" t="s">
        <v>42</v>
      </c>
      <c r="D6" s="8" t="s">
        <v>627</v>
      </c>
      <c r="E6" s="21">
        <v>45129.0</v>
      </c>
      <c r="F6" s="21">
        <v>44945.0</v>
      </c>
      <c r="G6" s="7">
        <v>2.045004222E9</v>
      </c>
      <c r="H6" s="2" t="s">
        <v>67</v>
      </c>
      <c r="I6" s="2">
        <f t="shared" ref="I6:P6" si="9">IF(ISBLANK(A6)=TRUE,0,1)</f>
        <v>1</v>
      </c>
      <c r="J6" s="2">
        <f t="shared" si="9"/>
        <v>1</v>
      </c>
      <c r="K6" s="2">
        <f t="shared" si="9"/>
        <v>1</v>
      </c>
      <c r="L6" s="2">
        <f t="shared" si="9"/>
        <v>1</v>
      </c>
      <c r="M6" s="2">
        <f t="shared" si="9"/>
        <v>1</v>
      </c>
      <c r="N6" s="2">
        <f t="shared" si="9"/>
        <v>1</v>
      </c>
      <c r="O6" s="2">
        <f t="shared" si="9"/>
        <v>1</v>
      </c>
      <c r="P6" s="2">
        <f t="shared" si="9"/>
        <v>1</v>
      </c>
      <c r="Q6" s="2">
        <f t="shared" si="3"/>
        <v>1</v>
      </c>
      <c r="R6" s="2">
        <f>IF(ISERROR(VLOOKUP(A6, 'Project Reference'!A:A, 1, FALSE)), 0, 1)</f>
        <v>1</v>
      </c>
      <c r="S6" s="2">
        <f>IFERROR(__xludf.DUMMYFUNCTION("IF(AND(REGEXMATCH(D6, B6), REGEXMATCH(D6, C6)), 1, 0)
"),1.0)</f>
        <v>1</v>
      </c>
      <c r="T6" s="2">
        <f t="shared" si="4"/>
        <v>1</v>
      </c>
      <c r="U6" s="2">
        <f t="shared" si="5"/>
        <v>0</v>
      </c>
      <c r="V6" s="2">
        <f t="shared" si="6"/>
        <v>1</v>
      </c>
    </row>
    <row r="7" ht="14.25" customHeight="1">
      <c r="A7" s="2" t="s">
        <v>355</v>
      </c>
      <c r="B7" s="2" t="s">
        <v>18</v>
      </c>
      <c r="C7" s="2" t="s">
        <v>36</v>
      </c>
      <c r="D7" s="8" t="s">
        <v>634</v>
      </c>
      <c r="E7" s="21">
        <v>45140.0</v>
      </c>
      <c r="F7" s="21">
        <v>45090.0</v>
      </c>
      <c r="G7" s="7">
        <v>8.403683934E9</v>
      </c>
      <c r="H7" s="2" t="s">
        <v>50</v>
      </c>
      <c r="I7" s="2">
        <f t="shared" ref="I7:P7" si="10">IF(ISBLANK(A7)=TRUE,0,1)</f>
        <v>1</v>
      </c>
      <c r="J7" s="2">
        <f t="shared" si="10"/>
        <v>1</v>
      </c>
      <c r="K7" s="2">
        <f t="shared" si="10"/>
        <v>1</v>
      </c>
      <c r="L7" s="2">
        <f t="shared" si="10"/>
        <v>1</v>
      </c>
      <c r="M7" s="2">
        <f t="shared" si="10"/>
        <v>1</v>
      </c>
      <c r="N7" s="2">
        <f t="shared" si="10"/>
        <v>1</v>
      </c>
      <c r="O7" s="2">
        <f t="shared" si="10"/>
        <v>1</v>
      </c>
      <c r="P7" s="2">
        <f t="shared" si="10"/>
        <v>1</v>
      </c>
      <c r="Q7" s="2">
        <f t="shared" si="3"/>
        <v>1</v>
      </c>
      <c r="R7" s="2">
        <f>IF(ISERROR(VLOOKUP(A7, 'Project Reference'!A:A, 1, FALSE)), 0, 1)</f>
        <v>1</v>
      </c>
      <c r="S7" s="2">
        <f>IFERROR(__xludf.DUMMYFUNCTION("IF(AND(REGEXMATCH(D7, B7), REGEXMATCH(D7, C7)), 1, 0)
"),1.0)</f>
        <v>1</v>
      </c>
      <c r="T7" s="2">
        <f t="shared" si="4"/>
        <v>1</v>
      </c>
      <c r="U7" s="2">
        <f t="shared" si="5"/>
        <v>0</v>
      </c>
      <c r="V7" s="2">
        <f t="shared" si="6"/>
        <v>1</v>
      </c>
    </row>
    <row r="8" ht="14.25" customHeight="1">
      <c r="A8" s="2" t="s">
        <v>380</v>
      </c>
      <c r="B8" s="2" t="s">
        <v>30</v>
      </c>
      <c r="C8" s="2" t="s">
        <v>24</v>
      </c>
      <c r="D8" s="8" t="s">
        <v>637</v>
      </c>
      <c r="E8" s="21">
        <v>45161.0</v>
      </c>
      <c r="F8" s="21">
        <v>45100.0</v>
      </c>
      <c r="G8" s="7">
        <v>7.75460621E8</v>
      </c>
      <c r="H8" s="8" t="s">
        <v>573</v>
      </c>
      <c r="I8" s="2">
        <f t="shared" ref="I8:P8" si="11">IF(ISBLANK(A8)=TRUE,0,1)</f>
        <v>1</v>
      </c>
      <c r="J8" s="2">
        <f t="shared" si="11"/>
        <v>1</v>
      </c>
      <c r="K8" s="2">
        <f t="shared" si="11"/>
        <v>1</v>
      </c>
      <c r="L8" s="2">
        <f t="shared" si="11"/>
        <v>1</v>
      </c>
      <c r="M8" s="2">
        <f t="shared" si="11"/>
        <v>1</v>
      </c>
      <c r="N8" s="2">
        <f t="shared" si="11"/>
        <v>1</v>
      </c>
      <c r="O8" s="2">
        <f t="shared" si="11"/>
        <v>1</v>
      </c>
      <c r="P8" s="2">
        <f t="shared" si="11"/>
        <v>1</v>
      </c>
      <c r="Q8" s="2">
        <f t="shared" si="3"/>
        <v>1</v>
      </c>
      <c r="R8" s="2">
        <f>IF(ISERROR(VLOOKUP(A8, 'Project Reference'!A:A, 1, FALSE)), 0, 1)</f>
        <v>1</v>
      </c>
      <c r="S8" s="2">
        <f>IFERROR(__xludf.DUMMYFUNCTION("IF(AND(REGEXMATCH(D8, B8), REGEXMATCH(D8, C8)), 1, 0)
"),1.0)</f>
        <v>1</v>
      </c>
      <c r="T8" s="2">
        <f t="shared" si="4"/>
        <v>1</v>
      </c>
      <c r="U8" s="2">
        <f t="shared" si="5"/>
        <v>0</v>
      </c>
      <c r="V8" s="2">
        <f t="shared" si="6"/>
        <v>1</v>
      </c>
    </row>
    <row r="9" ht="14.25" customHeight="1">
      <c r="A9" s="2" t="s">
        <v>442</v>
      </c>
      <c r="B9" s="2" t="s">
        <v>12</v>
      </c>
      <c r="C9" s="2" t="s">
        <v>36</v>
      </c>
      <c r="D9" s="8" t="s">
        <v>578</v>
      </c>
      <c r="E9" s="21">
        <v>45207.0</v>
      </c>
      <c r="F9" s="21">
        <v>45141.0</v>
      </c>
      <c r="G9" s="7">
        <v>3.71601786E8</v>
      </c>
      <c r="H9" s="8" t="s">
        <v>573</v>
      </c>
      <c r="I9" s="2">
        <f t="shared" ref="I9:P9" si="12">IF(ISBLANK(A9)=TRUE,0,1)</f>
        <v>1</v>
      </c>
      <c r="J9" s="2">
        <f t="shared" si="12"/>
        <v>1</v>
      </c>
      <c r="K9" s="2">
        <f t="shared" si="12"/>
        <v>1</v>
      </c>
      <c r="L9" s="2">
        <f t="shared" si="12"/>
        <v>1</v>
      </c>
      <c r="M9" s="2">
        <f t="shared" si="12"/>
        <v>1</v>
      </c>
      <c r="N9" s="2">
        <f t="shared" si="12"/>
        <v>1</v>
      </c>
      <c r="O9" s="2">
        <f t="shared" si="12"/>
        <v>1</v>
      </c>
      <c r="P9" s="2">
        <f t="shared" si="12"/>
        <v>1</v>
      </c>
      <c r="Q9" s="2">
        <f t="shared" si="3"/>
        <v>1</v>
      </c>
      <c r="R9" s="2">
        <f>IF(ISERROR(VLOOKUP(A9, 'Project Reference'!A:A, 1, FALSE)), 0, 1)</f>
        <v>1</v>
      </c>
      <c r="S9" s="2">
        <f>IFERROR(__xludf.DUMMYFUNCTION("IF(AND(REGEXMATCH(D9, B9), REGEXMATCH(D9, C9)), 1, 0)
"),1.0)</f>
        <v>1</v>
      </c>
      <c r="T9" s="2">
        <f t="shared" si="4"/>
        <v>1</v>
      </c>
      <c r="U9" s="2">
        <f t="shared" si="5"/>
        <v>0</v>
      </c>
      <c r="V9" s="2">
        <f t="shared" si="6"/>
        <v>1</v>
      </c>
    </row>
    <row r="10" ht="14.25" customHeight="1">
      <c r="A10" s="2" t="s">
        <v>478</v>
      </c>
      <c r="B10" s="2" t="s">
        <v>30</v>
      </c>
      <c r="C10" s="2" t="s">
        <v>36</v>
      </c>
      <c r="D10" s="8" t="s">
        <v>639</v>
      </c>
      <c r="E10" s="21">
        <v>45240.0</v>
      </c>
      <c r="F10" s="21">
        <v>44995.0</v>
      </c>
      <c r="G10" s="7">
        <v>2.771182474E9</v>
      </c>
      <c r="H10" s="2" t="s">
        <v>50</v>
      </c>
      <c r="I10" s="2">
        <f t="shared" ref="I10:P10" si="13">IF(ISBLANK(A10)=TRUE,0,1)</f>
        <v>1</v>
      </c>
      <c r="J10" s="2">
        <f t="shared" si="13"/>
        <v>1</v>
      </c>
      <c r="K10" s="2">
        <f t="shared" si="13"/>
        <v>1</v>
      </c>
      <c r="L10" s="2">
        <f t="shared" si="13"/>
        <v>1</v>
      </c>
      <c r="M10" s="2">
        <f t="shared" si="13"/>
        <v>1</v>
      </c>
      <c r="N10" s="2">
        <f t="shared" si="13"/>
        <v>1</v>
      </c>
      <c r="O10" s="2">
        <f t="shared" si="13"/>
        <v>1</v>
      </c>
      <c r="P10" s="2">
        <f t="shared" si="13"/>
        <v>1</v>
      </c>
      <c r="Q10" s="2">
        <f t="shared" si="3"/>
        <v>1</v>
      </c>
      <c r="R10" s="2">
        <f>IF(ISERROR(VLOOKUP(A10, 'Project Reference'!A:A, 1, FALSE)), 0, 1)</f>
        <v>1</v>
      </c>
      <c r="S10" s="2">
        <f>IFERROR(__xludf.DUMMYFUNCTION("IF(AND(REGEXMATCH(D10, B10), REGEXMATCH(D10, C10)), 1, 0)
"),1.0)</f>
        <v>1</v>
      </c>
      <c r="T10" s="2">
        <f t="shared" si="4"/>
        <v>1</v>
      </c>
      <c r="U10" s="2">
        <f t="shared" si="5"/>
        <v>0</v>
      </c>
      <c r="V10" s="2">
        <f t="shared" si="6"/>
        <v>1</v>
      </c>
    </row>
    <row r="11" ht="14.25" customHeight="1">
      <c r="A11" s="2" t="s">
        <v>481</v>
      </c>
      <c r="B11" s="2" t="s">
        <v>60</v>
      </c>
      <c r="C11" s="2" t="s">
        <v>39</v>
      </c>
      <c r="D11" s="8" t="s">
        <v>626</v>
      </c>
      <c r="E11" s="21">
        <v>45240.0</v>
      </c>
      <c r="F11" s="21">
        <v>45074.0</v>
      </c>
      <c r="G11" s="7">
        <v>4.659030076E9</v>
      </c>
      <c r="H11" s="22"/>
      <c r="I11" s="2">
        <f t="shared" ref="I11:P11" si="14">IF(ISBLANK(A11)=TRUE,0,1)</f>
        <v>1</v>
      </c>
      <c r="J11" s="2">
        <f t="shared" si="14"/>
        <v>1</v>
      </c>
      <c r="K11" s="2">
        <f t="shared" si="14"/>
        <v>1</v>
      </c>
      <c r="L11" s="2">
        <f t="shared" si="14"/>
        <v>1</v>
      </c>
      <c r="M11" s="2">
        <f t="shared" si="14"/>
        <v>1</v>
      </c>
      <c r="N11" s="2">
        <f t="shared" si="14"/>
        <v>1</v>
      </c>
      <c r="O11" s="2">
        <f t="shared" si="14"/>
        <v>1</v>
      </c>
      <c r="P11" s="2">
        <f t="shared" si="14"/>
        <v>0</v>
      </c>
      <c r="Q11" s="2">
        <f t="shared" si="3"/>
        <v>1</v>
      </c>
      <c r="R11" s="2">
        <f>IF(ISERROR(VLOOKUP(A11, 'Project Reference'!A:A, 1, FALSE)), 0, 1)</f>
        <v>1</v>
      </c>
      <c r="S11" s="2">
        <f>IFERROR(__xludf.DUMMYFUNCTION("IF(AND(REGEXMATCH(D11, B11), REGEXMATCH(D11, C11)), 1, 0)
"),1.0)</f>
        <v>1</v>
      </c>
      <c r="T11" s="2">
        <f t="shared" si="4"/>
        <v>1</v>
      </c>
      <c r="U11" s="2">
        <f t="shared" si="5"/>
        <v>0</v>
      </c>
      <c r="V11" s="2">
        <f t="shared" si="6"/>
        <v>1</v>
      </c>
    </row>
    <row r="12" ht="14.25" customHeight="1">
      <c r="A12" s="2" t="s">
        <v>485</v>
      </c>
      <c r="B12" s="2" t="s">
        <v>35</v>
      </c>
      <c r="C12" s="2" t="s">
        <v>48</v>
      </c>
      <c r="D12" s="2" t="s">
        <v>49</v>
      </c>
      <c r="E12" s="21">
        <v>45241.0</v>
      </c>
      <c r="F12" s="21">
        <v>44946.0</v>
      </c>
      <c r="G12" s="7">
        <v>3.0800941E8</v>
      </c>
      <c r="H12" s="2" t="s">
        <v>21</v>
      </c>
      <c r="I12" s="2">
        <f t="shared" ref="I12:P12" si="15">IF(ISBLANK(A12)=TRUE,0,1)</f>
        <v>1</v>
      </c>
      <c r="J12" s="2">
        <f t="shared" si="15"/>
        <v>1</v>
      </c>
      <c r="K12" s="2">
        <f t="shared" si="15"/>
        <v>1</v>
      </c>
      <c r="L12" s="2">
        <f t="shared" si="15"/>
        <v>1</v>
      </c>
      <c r="M12" s="2">
        <f t="shared" si="15"/>
        <v>1</v>
      </c>
      <c r="N12" s="2">
        <f t="shared" si="15"/>
        <v>1</v>
      </c>
      <c r="O12" s="2">
        <f t="shared" si="15"/>
        <v>1</v>
      </c>
      <c r="P12" s="2">
        <f t="shared" si="15"/>
        <v>1</v>
      </c>
      <c r="Q12" s="2">
        <f t="shared" si="3"/>
        <v>1</v>
      </c>
      <c r="R12" s="2">
        <f>IF(ISERROR(VLOOKUP(A12, 'Project Reference'!A:A, 1, FALSE)), 0, 1)</f>
        <v>1</v>
      </c>
      <c r="S12" s="2">
        <f>IFERROR(__xludf.DUMMYFUNCTION("IF(AND(REGEXMATCH(D12, B12), REGEXMATCH(D12, C12)), 1, 0)
"),1.0)</f>
        <v>1</v>
      </c>
      <c r="T12" s="2">
        <f t="shared" si="4"/>
        <v>1</v>
      </c>
      <c r="U12" s="2">
        <f t="shared" si="5"/>
        <v>0</v>
      </c>
      <c r="V12" s="2">
        <f t="shared" si="6"/>
        <v>1</v>
      </c>
    </row>
    <row r="13" ht="14.25" customHeight="1">
      <c r="A13" s="2" t="s">
        <v>487</v>
      </c>
      <c r="B13" s="2" t="s">
        <v>30</v>
      </c>
      <c r="C13" s="2" t="s">
        <v>42</v>
      </c>
      <c r="D13" s="8" t="s">
        <v>632</v>
      </c>
      <c r="E13" s="21">
        <v>45242.0</v>
      </c>
      <c r="F13" s="21">
        <v>45098.0</v>
      </c>
      <c r="G13" s="7">
        <v>5.932217911E9</v>
      </c>
      <c r="H13" s="2" t="s">
        <v>44</v>
      </c>
      <c r="I13" s="2">
        <f t="shared" ref="I13:P13" si="16">IF(ISBLANK(A13)=TRUE,0,1)</f>
        <v>1</v>
      </c>
      <c r="J13" s="2">
        <f t="shared" si="16"/>
        <v>1</v>
      </c>
      <c r="K13" s="2">
        <f t="shared" si="16"/>
        <v>1</v>
      </c>
      <c r="L13" s="2">
        <f t="shared" si="16"/>
        <v>1</v>
      </c>
      <c r="M13" s="2">
        <f t="shared" si="16"/>
        <v>1</v>
      </c>
      <c r="N13" s="2">
        <f t="shared" si="16"/>
        <v>1</v>
      </c>
      <c r="O13" s="2">
        <f t="shared" si="16"/>
        <v>1</v>
      </c>
      <c r="P13" s="2">
        <f t="shared" si="16"/>
        <v>1</v>
      </c>
      <c r="Q13" s="2">
        <f t="shared" si="3"/>
        <v>1</v>
      </c>
      <c r="R13" s="2">
        <f>IF(ISERROR(VLOOKUP(A13, 'Project Reference'!A:A, 1, FALSE)), 0, 1)</f>
        <v>1</v>
      </c>
      <c r="S13" s="2">
        <f>IFERROR(__xludf.DUMMYFUNCTION("IF(AND(REGEXMATCH(D13, B13), REGEXMATCH(D13, C13)), 1, 0)
"),1.0)</f>
        <v>1</v>
      </c>
      <c r="T13" s="2">
        <f t="shared" si="4"/>
        <v>1</v>
      </c>
      <c r="U13" s="2">
        <f t="shared" si="5"/>
        <v>0</v>
      </c>
      <c r="V13" s="2">
        <f t="shared" si="6"/>
        <v>1</v>
      </c>
    </row>
    <row r="14" ht="14.25" customHeight="1">
      <c r="A14" s="2" t="s">
        <v>545</v>
      </c>
      <c r="B14" s="2" t="s">
        <v>18</v>
      </c>
      <c r="C14" s="2" t="s">
        <v>31</v>
      </c>
      <c r="D14" s="8" t="s">
        <v>636</v>
      </c>
      <c r="E14" s="21">
        <v>45286.0</v>
      </c>
      <c r="F14" s="21">
        <v>45044.0</v>
      </c>
      <c r="G14" s="7">
        <v>9.221677626E9</v>
      </c>
      <c r="H14" s="8" t="s">
        <v>581</v>
      </c>
      <c r="I14" s="2">
        <f t="shared" ref="I14:P14" si="17">IF(ISBLANK(A14)=TRUE,0,1)</f>
        <v>1</v>
      </c>
      <c r="J14" s="2">
        <f t="shared" si="17"/>
        <v>1</v>
      </c>
      <c r="K14" s="2">
        <f t="shared" si="17"/>
        <v>1</v>
      </c>
      <c r="L14" s="2">
        <f t="shared" si="17"/>
        <v>1</v>
      </c>
      <c r="M14" s="2">
        <f t="shared" si="17"/>
        <v>1</v>
      </c>
      <c r="N14" s="2">
        <f t="shared" si="17"/>
        <v>1</v>
      </c>
      <c r="O14" s="2">
        <f t="shared" si="17"/>
        <v>1</v>
      </c>
      <c r="P14" s="2">
        <f t="shared" si="17"/>
        <v>1</v>
      </c>
      <c r="Q14" s="2">
        <f t="shared" si="3"/>
        <v>1</v>
      </c>
      <c r="R14" s="2">
        <f>IF(ISERROR(VLOOKUP(A14, 'Project Reference'!A:A, 1, FALSE)), 0, 1)</f>
        <v>1</v>
      </c>
      <c r="S14" s="2">
        <f>IFERROR(__xludf.DUMMYFUNCTION("IF(AND(REGEXMATCH(D14, B14), REGEXMATCH(D14, C14)), 1, 0)
"),1.0)</f>
        <v>1</v>
      </c>
      <c r="T14" s="2">
        <f t="shared" si="4"/>
        <v>1</v>
      </c>
      <c r="U14" s="2">
        <f t="shared" si="5"/>
        <v>0</v>
      </c>
      <c r="V14" s="2">
        <f t="shared" si="6"/>
        <v>1</v>
      </c>
    </row>
    <row r="15" ht="14.25" customHeight="1">
      <c r="A15" s="23" t="s">
        <v>643</v>
      </c>
      <c r="B15" s="22" t="s">
        <v>12</v>
      </c>
      <c r="C15" s="23" t="s">
        <v>39</v>
      </c>
      <c r="D15" s="23" t="s">
        <v>644</v>
      </c>
      <c r="E15" s="21">
        <v>45292.0</v>
      </c>
      <c r="F15" s="21">
        <v>45292.0</v>
      </c>
      <c r="G15" s="7">
        <v>1.05133426E8</v>
      </c>
      <c r="H15" s="23" t="s">
        <v>645</v>
      </c>
      <c r="I15" s="2">
        <f t="shared" ref="I15:P15" si="18">IF(ISBLANK(A15)=TRUE,0,1)</f>
        <v>1</v>
      </c>
      <c r="J15" s="2">
        <f t="shared" si="18"/>
        <v>1</v>
      </c>
      <c r="K15" s="2">
        <f t="shared" si="18"/>
        <v>1</v>
      </c>
      <c r="L15" s="2">
        <f t="shared" si="18"/>
        <v>1</v>
      </c>
      <c r="M15" s="2">
        <f t="shared" si="18"/>
        <v>1</v>
      </c>
      <c r="N15" s="2">
        <f t="shared" si="18"/>
        <v>1</v>
      </c>
      <c r="O15" s="2">
        <f t="shared" si="18"/>
        <v>1</v>
      </c>
      <c r="P15" s="2">
        <f t="shared" si="18"/>
        <v>1</v>
      </c>
      <c r="Q15" s="2">
        <f t="shared" si="3"/>
        <v>1</v>
      </c>
      <c r="R15" s="2">
        <f>IF(ISERROR(VLOOKUP(A15, 'Project Reference'!A:A, 1, FALSE)), 0, 1)</f>
        <v>0</v>
      </c>
      <c r="S15" s="2">
        <f>IFERROR(__xludf.DUMMYFUNCTION("IF(AND(REGEXMATCH(D15, B15), REGEXMATCH(D15, C15)), 1, 0)
"),0.0)</f>
        <v>0</v>
      </c>
      <c r="T15" s="2">
        <f t="shared" si="4"/>
        <v>1</v>
      </c>
      <c r="U15" s="2">
        <f t="shared" si="5"/>
        <v>0</v>
      </c>
      <c r="V15" s="2">
        <f t="shared" si="6"/>
        <v>1</v>
      </c>
    </row>
    <row r="16" ht="14.25" customHeight="1">
      <c r="A16" s="2" t="s">
        <v>11</v>
      </c>
      <c r="B16" s="2" t="s">
        <v>35</v>
      </c>
      <c r="C16" s="2" t="s">
        <v>36</v>
      </c>
      <c r="D16" s="2" t="s">
        <v>37</v>
      </c>
      <c r="E16" s="6">
        <v>44927.0</v>
      </c>
      <c r="F16" s="6">
        <v>44994.0</v>
      </c>
      <c r="G16" s="7">
        <v>6.49208256E8</v>
      </c>
      <c r="H16" s="8" t="s">
        <v>573</v>
      </c>
      <c r="I16" s="2">
        <f t="shared" ref="I16:P16" si="19">IF(ISBLANK(A16)=TRUE,0,1)</f>
        <v>1</v>
      </c>
      <c r="J16" s="2">
        <f t="shared" si="19"/>
        <v>1</v>
      </c>
      <c r="K16" s="2">
        <f t="shared" si="19"/>
        <v>1</v>
      </c>
      <c r="L16" s="2">
        <f t="shared" si="19"/>
        <v>1</v>
      </c>
      <c r="M16" s="2">
        <f t="shared" si="19"/>
        <v>1</v>
      </c>
      <c r="N16" s="2">
        <f t="shared" si="19"/>
        <v>1</v>
      </c>
      <c r="O16" s="2">
        <f t="shared" si="19"/>
        <v>1</v>
      </c>
      <c r="P16" s="2">
        <f t="shared" si="19"/>
        <v>1</v>
      </c>
      <c r="Q16" s="2">
        <f t="shared" si="3"/>
        <v>1</v>
      </c>
      <c r="R16" s="2">
        <f>IF(ISERROR(VLOOKUP(A16, 'Project Reference'!A:A, 1, FALSE)), 0, 1)</f>
        <v>1</v>
      </c>
      <c r="S16" s="2">
        <f>IFERROR(__xludf.DUMMYFUNCTION("IF(AND(REGEXMATCH(D16, B16), REGEXMATCH(D16, C16)), 1, 0)
"),1.0)</f>
        <v>1</v>
      </c>
      <c r="T16" s="2">
        <f t="shared" si="4"/>
        <v>1</v>
      </c>
      <c r="U16" s="2">
        <f t="shared" si="5"/>
        <v>1</v>
      </c>
      <c r="V16" s="2">
        <f t="shared" si="6"/>
        <v>1</v>
      </c>
    </row>
    <row r="17" ht="14.25" customHeight="1">
      <c r="A17" s="8" t="s">
        <v>574</v>
      </c>
      <c r="B17" s="2" t="s">
        <v>35</v>
      </c>
      <c r="C17" s="2" t="s">
        <v>48</v>
      </c>
      <c r="D17" s="2" t="s">
        <v>49</v>
      </c>
      <c r="E17" s="6">
        <v>45319.0</v>
      </c>
      <c r="F17" s="9">
        <v>45323.0</v>
      </c>
      <c r="G17" s="7">
        <v>3.26999652E8</v>
      </c>
      <c r="H17" s="2" t="s">
        <v>44</v>
      </c>
      <c r="I17" s="2">
        <f t="shared" ref="I17:P17" si="20">IF(ISBLANK(A17)=TRUE,0,1)</f>
        <v>1</v>
      </c>
      <c r="J17" s="2">
        <f t="shared" si="20"/>
        <v>1</v>
      </c>
      <c r="K17" s="2">
        <f t="shared" si="20"/>
        <v>1</v>
      </c>
      <c r="L17" s="2">
        <f t="shared" si="20"/>
        <v>1</v>
      </c>
      <c r="M17" s="2">
        <f t="shared" si="20"/>
        <v>1</v>
      </c>
      <c r="N17" s="2">
        <f t="shared" si="20"/>
        <v>1</v>
      </c>
      <c r="O17" s="2">
        <f t="shared" si="20"/>
        <v>1</v>
      </c>
      <c r="P17" s="2">
        <f t="shared" si="20"/>
        <v>1</v>
      </c>
      <c r="Q17" s="2">
        <f t="shared" si="3"/>
        <v>1</v>
      </c>
      <c r="R17" s="2">
        <f>IF(ISERROR(VLOOKUP(A17, 'Project Reference'!A:A, 1, FALSE)), 0, 1)</f>
        <v>1</v>
      </c>
      <c r="S17" s="2">
        <f>IFERROR(__xludf.DUMMYFUNCTION("IF(AND(REGEXMATCH(D17, B17), REGEXMATCH(D17, C17)), 1, 0)
"),1.0)</f>
        <v>1</v>
      </c>
      <c r="T17" s="2">
        <f t="shared" si="4"/>
        <v>1</v>
      </c>
      <c r="U17" s="2">
        <f t="shared" si="5"/>
        <v>1</v>
      </c>
      <c r="V17" s="2">
        <f t="shared" si="6"/>
        <v>1</v>
      </c>
    </row>
    <row r="18" ht="14.25" customHeight="1">
      <c r="A18" s="2" t="s">
        <v>17</v>
      </c>
      <c r="B18" s="2" t="s">
        <v>60</v>
      </c>
      <c r="C18" s="2" t="s">
        <v>24</v>
      </c>
      <c r="D18" s="8" t="s">
        <v>575</v>
      </c>
      <c r="E18" s="6">
        <v>44927.0</v>
      </c>
      <c r="F18" s="6">
        <v>45062.0</v>
      </c>
      <c r="G18" s="7">
        <v>3.474309188E9</v>
      </c>
      <c r="H18" s="2" t="s">
        <v>44</v>
      </c>
      <c r="I18" s="2">
        <f t="shared" ref="I18:P18" si="21">IF(ISBLANK(A18)=TRUE,0,1)</f>
        <v>1</v>
      </c>
      <c r="J18" s="2">
        <f t="shared" si="21"/>
        <v>1</v>
      </c>
      <c r="K18" s="2">
        <f t="shared" si="21"/>
        <v>1</v>
      </c>
      <c r="L18" s="2">
        <f t="shared" si="21"/>
        <v>1</v>
      </c>
      <c r="M18" s="2">
        <f t="shared" si="21"/>
        <v>1</v>
      </c>
      <c r="N18" s="2">
        <f t="shared" si="21"/>
        <v>1</v>
      </c>
      <c r="O18" s="2">
        <f t="shared" si="21"/>
        <v>1</v>
      </c>
      <c r="P18" s="2">
        <f t="shared" si="21"/>
        <v>1</v>
      </c>
      <c r="Q18" s="2">
        <f t="shared" si="3"/>
        <v>1</v>
      </c>
      <c r="R18" s="2">
        <f>IF(ISERROR(VLOOKUP(A18, 'Project Reference'!A:A, 1, FALSE)), 0, 1)</f>
        <v>1</v>
      </c>
      <c r="S18" s="2">
        <f>IFERROR(__xludf.DUMMYFUNCTION("IF(AND(REGEXMATCH(D18, B18), REGEXMATCH(D18, C18)), 1, 0)
"),1.0)</f>
        <v>1</v>
      </c>
      <c r="T18" s="2">
        <f t="shared" si="4"/>
        <v>1</v>
      </c>
      <c r="U18" s="2">
        <f t="shared" si="5"/>
        <v>1</v>
      </c>
      <c r="V18" s="2">
        <f t="shared" si="6"/>
        <v>1</v>
      </c>
    </row>
    <row r="19" ht="14.25" customHeight="1">
      <c r="A19" s="8" t="s">
        <v>576</v>
      </c>
      <c r="B19" s="2" t="s">
        <v>18</v>
      </c>
      <c r="C19" s="2" t="s">
        <v>39</v>
      </c>
      <c r="D19" s="8" t="s">
        <v>577</v>
      </c>
      <c r="E19" s="6">
        <v>45320.0</v>
      </c>
      <c r="F19" s="9">
        <v>45336.0</v>
      </c>
      <c r="G19" s="7">
        <v>8.58795151E9</v>
      </c>
      <c r="H19" s="2" t="s">
        <v>44</v>
      </c>
      <c r="I19" s="2">
        <f t="shared" ref="I19:P19" si="22">IF(ISBLANK(A19)=TRUE,0,1)</f>
        <v>1</v>
      </c>
      <c r="J19" s="2">
        <f t="shared" si="22"/>
        <v>1</v>
      </c>
      <c r="K19" s="2">
        <f t="shared" si="22"/>
        <v>1</v>
      </c>
      <c r="L19" s="2">
        <f t="shared" si="22"/>
        <v>1</v>
      </c>
      <c r="M19" s="2">
        <f t="shared" si="22"/>
        <v>1</v>
      </c>
      <c r="N19" s="2">
        <f t="shared" si="22"/>
        <v>1</v>
      </c>
      <c r="O19" s="2">
        <f t="shared" si="22"/>
        <v>1</v>
      </c>
      <c r="P19" s="2">
        <f t="shared" si="22"/>
        <v>1</v>
      </c>
      <c r="Q19" s="2">
        <f t="shared" si="3"/>
        <v>1</v>
      </c>
      <c r="R19" s="2">
        <f>IF(ISERROR(VLOOKUP(A19, 'Project Reference'!A:A, 1, FALSE)), 0, 1)</f>
        <v>1</v>
      </c>
      <c r="S19" s="2">
        <f>IFERROR(__xludf.DUMMYFUNCTION("IF(AND(REGEXMATCH(D19, B19), REGEXMATCH(D19, C19)), 1, 0)
"),1.0)</f>
        <v>1</v>
      </c>
      <c r="T19" s="2">
        <f t="shared" si="4"/>
        <v>1</v>
      </c>
      <c r="U19" s="2">
        <f t="shared" si="5"/>
        <v>1</v>
      </c>
      <c r="V19" s="2">
        <f t="shared" si="6"/>
        <v>1</v>
      </c>
    </row>
    <row r="20" ht="14.25" customHeight="1">
      <c r="A20" s="2" t="s">
        <v>23</v>
      </c>
      <c r="B20" s="2" t="s">
        <v>12</v>
      </c>
      <c r="C20" s="2" t="s">
        <v>36</v>
      </c>
      <c r="D20" s="8" t="s">
        <v>578</v>
      </c>
      <c r="E20" s="6">
        <v>44928.0</v>
      </c>
      <c r="F20" s="6">
        <v>45239.0</v>
      </c>
      <c r="G20" s="7">
        <v>1.91505827E8</v>
      </c>
      <c r="H20" s="22"/>
      <c r="I20" s="2">
        <f t="shared" ref="I20:P20" si="23">IF(ISBLANK(A20)=TRUE,0,1)</f>
        <v>1</v>
      </c>
      <c r="J20" s="2">
        <f t="shared" si="23"/>
        <v>1</v>
      </c>
      <c r="K20" s="2">
        <f t="shared" si="23"/>
        <v>1</v>
      </c>
      <c r="L20" s="2">
        <f t="shared" si="23"/>
        <v>1</v>
      </c>
      <c r="M20" s="2">
        <f t="shared" si="23"/>
        <v>1</v>
      </c>
      <c r="N20" s="2">
        <f t="shared" si="23"/>
        <v>1</v>
      </c>
      <c r="O20" s="2">
        <f t="shared" si="23"/>
        <v>1</v>
      </c>
      <c r="P20" s="2">
        <f t="shared" si="23"/>
        <v>0</v>
      </c>
      <c r="Q20" s="2">
        <f t="shared" si="3"/>
        <v>1</v>
      </c>
      <c r="R20" s="2">
        <f>IF(ISERROR(VLOOKUP(A20, 'Project Reference'!A:A, 1, FALSE)), 0, 1)</f>
        <v>1</v>
      </c>
      <c r="S20" s="2">
        <f>IFERROR(__xludf.DUMMYFUNCTION("IF(AND(REGEXMATCH(D20, B20), REGEXMATCH(D20, C20)), 1, 0)
"),1.0)</f>
        <v>1</v>
      </c>
      <c r="T20" s="2">
        <f t="shared" si="4"/>
        <v>1</v>
      </c>
      <c r="U20" s="2">
        <f t="shared" si="5"/>
        <v>1</v>
      </c>
      <c r="V20" s="2">
        <f t="shared" si="6"/>
        <v>1</v>
      </c>
    </row>
    <row r="21" ht="14.25" customHeight="1">
      <c r="A21" s="8" t="s">
        <v>579</v>
      </c>
      <c r="B21" s="2" t="s">
        <v>18</v>
      </c>
      <c r="C21" s="2" t="s">
        <v>13</v>
      </c>
      <c r="D21" s="8" t="s">
        <v>580</v>
      </c>
      <c r="E21" s="9">
        <v>45323.0</v>
      </c>
      <c r="F21" s="9">
        <v>45343.0</v>
      </c>
      <c r="G21" s="7">
        <v>8.016851785E9</v>
      </c>
      <c r="H21" s="8" t="s">
        <v>581</v>
      </c>
      <c r="I21" s="2">
        <f t="shared" ref="I21:P21" si="24">IF(ISBLANK(A21)=TRUE,0,1)</f>
        <v>1</v>
      </c>
      <c r="J21" s="2">
        <f t="shared" si="24"/>
        <v>1</v>
      </c>
      <c r="K21" s="2">
        <f t="shared" si="24"/>
        <v>1</v>
      </c>
      <c r="L21" s="2">
        <f t="shared" si="24"/>
        <v>1</v>
      </c>
      <c r="M21" s="2">
        <f t="shared" si="24"/>
        <v>1</v>
      </c>
      <c r="N21" s="2">
        <f t="shared" si="24"/>
        <v>1</v>
      </c>
      <c r="O21" s="2">
        <f t="shared" si="24"/>
        <v>1</v>
      </c>
      <c r="P21" s="2">
        <f t="shared" si="24"/>
        <v>1</v>
      </c>
      <c r="Q21" s="2">
        <f t="shared" si="3"/>
        <v>1</v>
      </c>
      <c r="R21" s="2">
        <f>IF(ISERROR(VLOOKUP(A21, 'Project Reference'!A:A, 1, FALSE)), 0, 1)</f>
        <v>1</v>
      </c>
      <c r="S21" s="2">
        <f>IFERROR(__xludf.DUMMYFUNCTION("IF(AND(REGEXMATCH(D21, B21), REGEXMATCH(D21, C21)), 1, 0)
"),1.0)</f>
        <v>1</v>
      </c>
      <c r="T21" s="2">
        <f t="shared" si="4"/>
        <v>1</v>
      </c>
      <c r="U21" s="2">
        <f t="shared" si="5"/>
        <v>1</v>
      </c>
      <c r="V21" s="2">
        <f t="shared" si="6"/>
        <v>1</v>
      </c>
    </row>
    <row r="22" ht="14.25" customHeight="1">
      <c r="A22" s="2" t="s">
        <v>27</v>
      </c>
      <c r="B22" s="2" t="s">
        <v>60</v>
      </c>
      <c r="C22" s="2" t="s">
        <v>13</v>
      </c>
      <c r="D22" s="8" t="s">
        <v>582</v>
      </c>
      <c r="E22" s="6">
        <v>44928.0</v>
      </c>
      <c r="F22" s="6">
        <v>45006.0</v>
      </c>
      <c r="G22" s="7">
        <v>3.979021821E9</v>
      </c>
      <c r="H22" s="2" t="s">
        <v>50</v>
      </c>
      <c r="I22" s="2">
        <f t="shared" ref="I22:P22" si="25">IF(ISBLANK(A22)=TRUE,0,1)</f>
        <v>1</v>
      </c>
      <c r="J22" s="2">
        <f t="shared" si="25"/>
        <v>1</v>
      </c>
      <c r="K22" s="2">
        <f t="shared" si="25"/>
        <v>1</v>
      </c>
      <c r="L22" s="2">
        <f t="shared" si="25"/>
        <v>1</v>
      </c>
      <c r="M22" s="2">
        <f t="shared" si="25"/>
        <v>1</v>
      </c>
      <c r="N22" s="2">
        <f t="shared" si="25"/>
        <v>1</v>
      </c>
      <c r="O22" s="2">
        <f t="shared" si="25"/>
        <v>1</v>
      </c>
      <c r="P22" s="2">
        <f t="shared" si="25"/>
        <v>1</v>
      </c>
      <c r="Q22" s="2">
        <f t="shared" si="3"/>
        <v>1</v>
      </c>
      <c r="R22" s="2">
        <f>IF(ISERROR(VLOOKUP(A22, 'Project Reference'!A:A, 1, FALSE)), 0, 1)</f>
        <v>1</v>
      </c>
      <c r="S22" s="2">
        <f>IFERROR(__xludf.DUMMYFUNCTION("IF(AND(REGEXMATCH(D22, B22), REGEXMATCH(D22, C22)), 1, 0)
"),1.0)</f>
        <v>1</v>
      </c>
      <c r="T22" s="2">
        <f t="shared" si="4"/>
        <v>1</v>
      </c>
      <c r="U22" s="2">
        <f t="shared" si="5"/>
        <v>1</v>
      </c>
      <c r="V22" s="2">
        <f t="shared" si="6"/>
        <v>1</v>
      </c>
    </row>
    <row r="23" ht="14.25" customHeight="1">
      <c r="A23" s="8" t="s">
        <v>583</v>
      </c>
      <c r="B23" s="2" t="s">
        <v>18</v>
      </c>
      <c r="C23" s="2" t="s">
        <v>39</v>
      </c>
      <c r="D23" s="8" t="s">
        <v>577</v>
      </c>
      <c r="E23" s="9">
        <v>45325.0</v>
      </c>
      <c r="F23" s="9">
        <v>45342.0</v>
      </c>
      <c r="G23" s="7">
        <v>2.153093275E9</v>
      </c>
      <c r="H23" s="8" t="s">
        <v>581</v>
      </c>
      <c r="I23" s="2">
        <f t="shared" ref="I23:P23" si="26">IF(ISBLANK(A23)=TRUE,0,1)</f>
        <v>1</v>
      </c>
      <c r="J23" s="2">
        <f t="shared" si="26"/>
        <v>1</v>
      </c>
      <c r="K23" s="2">
        <f t="shared" si="26"/>
        <v>1</v>
      </c>
      <c r="L23" s="2">
        <f t="shared" si="26"/>
        <v>1</v>
      </c>
      <c r="M23" s="2">
        <f t="shared" si="26"/>
        <v>1</v>
      </c>
      <c r="N23" s="2">
        <f t="shared" si="26"/>
        <v>1</v>
      </c>
      <c r="O23" s="2">
        <f t="shared" si="26"/>
        <v>1</v>
      </c>
      <c r="P23" s="2">
        <f t="shared" si="26"/>
        <v>1</v>
      </c>
      <c r="Q23" s="2">
        <f t="shared" si="3"/>
        <v>1</v>
      </c>
      <c r="R23" s="2">
        <f>IF(ISERROR(VLOOKUP(A23, 'Project Reference'!A:A, 1, FALSE)), 0, 1)</f>
        <v>1</v>
      </c>
      <c r="S23" s="2">
        <f>IFERROR(__xludf.DUMMYFUNCTION("IF(AND(REGEXMATCH(D23, B23), REGEXMATCH(D23, C23)), 1, 0)
"),1.0)</f>
        <v>1</v>
      </c>
      <c r="T23" s="2">
        <f t="shared" si="4"/>
        <v>1</v>
      </c>
      <c r="U23" s="2">
        <f t="shared" si="5"/>
        <v>1</v>
      </c>
      <c r="V23" s="2">
        <f t="shared" si="6"/>
        <v>1</v>
      </c>
    </row>
    <row r="24" ht="14.25" customHeight="1">
      <c r="A24" s="2" t="s">
        <v>29</v>
      </c>
      <c r="B24" s="2" t="s">
        <v>35</v>
      </c>
      <c r="C24" s="2" t="s">
        <v>39</v>
      </c>
      <c r="D24" s="2" t="s">
        <v>145</v>
      </c>
      <c r="E24" s="6">
        <v>44928.0</v>
      </c>
      <c r="F24" s="6">
        <v>45271.0</v>
      </c>
      <c r="G24" s="7">
        <v>6.83556997E8</v>
      </c>
      <c r="H24" s="2" t="s">
        <v>21</v>
      </c>
      <c r="I24" s="2">
        <f t="shared" ref="I24:P24" si="27">IF(ISBLANK(A24)=TRUE,0,1)</f>
        <v>1</v>
      </c>
      <c r="J24" s="2">
        <f t="shared" si="27"/>
        <v>1</v>
      </c>
      <c r="K24" s="2">
        <f t="shared" si="27"/>
        <v>1</v>
      </c>
      <c r="L24" s="2">
        <f t="shared" si="27"/>
        <v>1</v>
      </c>
      <c r="M24" s="2">
        <f t="shared" si="27"/>
        <v>1</v>
      </c>
      <c r="N24" s="2">
        <f t="shared" si="27"/>
        <v>1</v>
      </c>
      <c r="O24" s="2">
        <f t="shared" si="27"/>
        <v>1</v>
      </c>
      <c r="P24" s="2">
        <f t="shared" si="27"/>
        <v>1</v>
      </c>
      <c r="Q24" s="2">
        <f t="shared" si="3"/>
        <v>1</v>
      </c>
      <c r="R24" s="2">
        <f>IF(ISERROR(VLOOKUP(A24, 'Project Reference'!A:A, 1, FALSE)), 0, 1)</f>
        <v>1</v>
      </c>
      <c r="S24" s="2">
        <f>IFERROR(__xludf.DUMMYFUNCTION("IF(AND(REGEXMATCH(D24, B24), REGEXMATCH(D24, C24)), 1, 0)
"),1.0)</f>
        <v>1</v>
      </c>
      <c r="T24" s="2">
        <f t="shared" si="4"/>
        <v>1</v>
      </c>
      <c r="U24" s="2">
        <f t="shared" si="5"/>
        <v>1</v>
      </c>
      <c r="V24" s="2">
        <f t="shared" si="6"/>
        <v>1</v>
      </c>
    </row>
    <row r="25" ht="14.25" customHeight="1">
      <c r="A25" s="8" t="s">
        <v>584</v>
      </c>
      <c r="B25" s="2" t="s">
        <v>30</v>
      </c>
      <c r="C25" s="2" t="s">
        <v>31</v>
      </c>
      <c r="D25" s="8" t="s">
        <v>585</v>
      </c>
      <c r="E25" s="9">
        <v>45327.0</v>
      </c>
      <c r="F25" s="9">
        <v>45353.0</v>
      </c>
      <c r="G25" s="7">
        <v>4.63632409E9</v>
      </c>
      <c r="H25" s="8" t="s">
        <v>573</v>
      </c>
      <c r="I25" s="2">
        <f t="shared" ref="I25:P25" si="28">IF(ISBLANK(A25)=TRUE,0,1)</f>
        <v>1</v>
      </c>
      <c r="J25" s="2">
        <f t="shared" si="28"/>
        <v>1</v>
      </c>
      <c r="K25" s="2">
        <f t="shared" si="28"/>
        <v>1</v>
      </c>
      <c r="L25" s="2">
        <f t="shared" si="28"/>
        <v>1</v>
      </c>
      <c r="M25" s="2">
        <f t="shared" si="28"/>
        <v>1</v>
      </c>
      <c r="N25" s="2">
        <f t="shared" si="28"/>
        <v>1</v>
      </c>
      <c r="O25" s="2">
        <f t="shared" si="28"/>
        <v>1</v>
      </c>
      <c r="P25" s="2">
        <f t="shared" si="28"/>
        <v>1</v>
      </c>
      <c r="Q25" s="2">
        <f t="shared" si="3"/>
        <v>1</v>
      </c>
      <c r="R25" s="2">
        <f>IF(ISERROR(VLOOKUP(A25, 'Project Reference'!A:A, 1, FALSE)), 0, 1)</f>
        <v>1</v>
      </c>
      <c r="S25" s="2">
        <f>IFERROR(__xludf.DUMMYFUNCTION("IF(AND(REGEXMATCH(D25, B25), REGEXMATCH(D25, C25)), 1, 0)
"),1.0)</f>
        <v>1</v>
      </c>
      <c r="T25" s="2">
        <f t="shared" si="4"/>
        <v>1</v>
      </c>
      <c r="U25" s="2">
        <f t="shared" si="5"/>
        <v>1</v>
      </c>
      <c r="V25" s="2">
        <f t="shared" si="6"/>
        <v>1</v>
      </c>
    </row>
    <row r="26" ht="14.25" customHeight="1">
      <c r="A26" s="2" t="s">
        <v>34</v>
      </c>
      <c r="B26" s="2" t="s">
        <v>35</v>
      </c>
      <c r="C26" s="2" t="s">
        <v>13</v>
      </c>
      <c r="D26" s="2" t="s">
        <v>78</v>
      </c>
      <c r="E26" s="6">
        <v>44929.0</v>
      </c>
      <c r="F26" s="6">
        <v>45230.0</v>
      </c>
      <c r="G26" s="7">
        <v>6.63835414E8</v>
      </c>
      <c r="H26" s="2" t="s">
        <v>67</v>
      </c>
      <c r="I26" s="2">
        <f t="shared" ref="I26:P26" si="29">IF(ISBLANK(A26)=TRUE,0,1)</f>
        <v>1</v>
      </c>
      <c r="J26" s="2">
        <f t="shared" si="29"/>
        <v>1</v>
      </c>
      <c r="K26" s="2">
        <f t="shared" si="29"/>
        <v>1</v>
      </c>
      <c r="L26" s="2">
        <f t="shared" si="29"/>
        <v>1</v>
      </c>
      <c r="M26" s="2">
        <f t="shared" si="29"/>
        <v>1</v>
      </c>
      <c r="N26" s="2">
        <f t="shared" si="29"/>
        <v>1</v>
      </c>
      <c r="O26" s="2">
        <f t="shared" si="29"/>
        <v>1</v>
      </c>
      <c r="P26" s="2">
        <f t="shared" si="29"/>
        <v>1</v>
      </c>
      <c r="Q26" s="2">
        <f t="shared" si="3"/>
        <v>1</v>
      </c>
      <c r="R26" s="2">
        <f>IF(ISERROR(VLOOKUP(A26, 'Project Reference'!A:A, 1, FALSE)), 0, 1)</f>
        <v>1</v>
      </c>
      <c r="S26" s="2">
        <f>IFERROR(__xludf.DUMMYFUNCTION("IF(AND(REGEXMATCH(D26, B26), REGEXMATCH(D26, C26)), 1, 0)
"),1.0)</f>
        <v>1</v>
      </c>
      <c r="T26" s="2">
        <f t="shared" si="4"/>
        <v>1</v>
      </c>
      <c r="U26" s="2">
        <f t="shared" si="5"/>
        <v>1</v>
      </c>
      <c r="V26" s="2">
        <f t="shared" si="6"/>
        <v>1</v>
      </c>
    </row>
    <row r="27" ht="14.25" customHeight="1">
      <c r="A27" s="8" t="s">
        <v>586</v>
      </c>
      <c r="B27" s="2" t="s">
        <v>35</v>
      </c>
      <c r="C27" s="2" t="s">
        <v>36</v>
      </c>
      <c r="D27" s="2" t="s">
        <v>37</v>
      </c>
      <c r="E27" s="9">
        <v>45329.0</v>
      </c>
      <c r="F27" s="9">
        <v>45360.0</v>
      </c>
      <c r="G27" s="7">
        <v>6.98540517E8</v>
      </c>
      <c r="H27" s="2" t="s">
        <v>21</v>
      </c>
      <c r="I27" s="2">
        <f t="shared" ref="I27:P27" si="30">IF(ISBLANK(A27)=TRUE,0,1)</f>
        <v>1</v>
      </c>
      <c r="J27" s="2">
        <f t="shared" si="30"/>
        <v>1</v>
      </c>
      <c r="K27" s="2">
        <f t="shared" si="30"/>
        <v>1</v>
      </c>
      <c r="L27" s="2">
        <f t="shared" si="30"/>
        <v>1</v>
      </c>
      <c r="M27" s="2">
        <f t="shared" si="30"/>
        <v>1</v>
      </c>
      <c r="N27" s="2">
        <f t="shared" si="30"/>
        <v>1</v>
      </c>
      <c r="O27" s="2">
        <f t="shared" si="30"/>
        <v>1</v>
      </c>
      <c r="P27" s="2">
        <f t="shared" si="30"/>
        <v>1</v>
      </c>
      <c r="Q27" s="2">
        <f t="shared" si="3"/>
        <v>1</v>
      </c>
      <c r="R27" s="2">
        <f>IF(ISERROR(VLOOKUP(A27, 'Project Reference'!A:A, 1, FALSE)), 0, 1)</f>
        <v>1</v>
      </c>
      <c r="S27" s="2">
        <f>IFERROR(__xludf.DUMMYFUNCTION("IF(AND(REGEXMATCH(D27, B27), REGEXMATCH(D27, C27)), 1, 0)
"),1.0)</f>
        <v>1</v>
      </c>
      <c r="T27" s="2">
        <f t="shared" si="4"/>
        <v>1</v>
      </c>
      <c r="U27" s="2">
        <f t="shared" si="5"/>
        <v>1</v>
      </c>
      <c r="V27" s="2">
        <f t="shared" si="6"/>
        <v>1</v>
      </c>
    </row>
    <row r="28" ht="14.25" customHeight="1">
      <c r="A28" s="2" t="s">
        <v>38</v>
      </c>
      <c r="B28" s="2" t="s">
        <v>60</v>
      </c>
      <c r="C28" s="2" t="s">
        <v>42</v>
      </c>
      <c r="D28" s="8" t="s">
        <v>587</v>
      </c>
      <c r="E28" s="6">
        <v>44929.0</v>
      </c>
      <c r="F28" s="6">
        <v>45261.0</v>
      </c>
      <c r="G28" s="7">
        <v>2.423693734E9</v>
      </c>
      <c r="H28" s="2" t="s">
        <v>50</v>
      </c>
      <c r="I28" s="2">
        <f t="shared" ref="I28:P28" si="31">IF(ISBLANK(A28)=TRUE,0,1)</f>
        <v>1</v>
      </c>
      <c r="J28" s="2">
        <f t="shared" si="31"/>
        <v>1</v>
      </c>
      <c r="K28" s="2">
        <f t="shared" si="31"/>
        <v>1</v>
      </c>
      <c r="L28" s="2">
        <f t="shared" si="31"/>
        <v>1</v>
      </c>
      <c r="M28" s="2">
        <f t="shared" si="31"/>
        <v>1</v>
      </c>
      <c r="N28" s="2">
        <f t="shared" si="31"/>
        <v>1</v>
      </c>
      <c r="O28" s="2">
        <f t="shared" si="31"/>
        <v>1</v>
      </c>
      <c r="P28" s="2">
        <f t="shared" si="31"/>
        <v>1</v>
      </c>
      <c r="Q28" s="2">
        <f t="shared" si="3"/>
        <v>1</v>
      </c>
      <c r="R28" s="2">
        <f>IF(ISERROR(VLOOKUP(A28, 'Project Reference'!A:A, 1, FALSE)), 0, 1)</f>
        <v>1</v>
      </c>
      <c r="S28" s="2">
        <f>IFERROR(__xludf.DUMMYFUNCTION("IF(AND(REGEXMATCH(D28, B28), REGEXMATCH(D28, C28)), 1, 0)
"),1.0)</f>
        <v>1</v>
      </c>
      <c r="T28" s="2">
        <f t="shared" si="4"/>
        <v>1</v>
      </c>
      <c r="U28" s="2">
        <f t="shared" si="5"/>
        <v>1</v>
      </c>
      <c r="V28" s="2">
        <f t="shared" si="6"/>
        <v>1</v>
      </c>
    </row>
    <row r="29" ht="14.25" customHeight="1">
      <c r="A29" s="8" t="s">
        <v>588</v>
      </c>
      <c r="B29" s="2" t="s">
        <v>35</v>
      </c>
      <c r="C29" s="2" t="s">
        <v>24</v>
      </c>
      <c r="D29" s="2" t="s">
        <v>133</v>
      </c>
      <c r="E29" s="9">
        <v>45330.0</v>
      </c>
      <c r="F29" s="9">
        <v>45337.0</v>
      </c>
      <c r="G29" s="7">
        <v>3.13131839E8</v>
      </c>
      <c r="H29" s="2" t="s">
        <v>50</v>
      </c>
      <c r="I29" s="2">
        <f t="shared" ref="I29:P29" si="32">IF(ISBLANK(A29)=TRUE,0,1)</f>
        <v>1</v>
      </c>
      <c r="J29" s="2">
        <f t="shared" si="32"/>
        <v>1</v>
      </c>
      <c r="K29" s="2">
        <f t="shared" si="32"/>
        <v>1</v>
      </c>
      <c r="L29" s="2">
        <f t="shared" si="32"/>
        <v>1</v>
      </c>
      <c r="M29" s="2">
        <f t="shared" si="32"/>
        <v>1</v>
      </c>
      <c r="N29" s="2">
        <f t="shared" si="32"/>
        <v>1</v>
      </c>
      <c r="O29" s="2">
        <f t="shared" si="32"/>
        <v>1</v>
      </c>
      <c r="P29" s="2">
        <f t="shared" si="32"/>
        <v>1</v>
      </c>
      <c r="Q29" s="2">
        <f t="shared" si="3"/>
        <v>1</v>
      </c>
      <c r="R29" s="2">
        <f>IF(ISERROR(VLOOKUP(A29, 'Project Reference'!A:A, 1, FALSE)), 0, 1)</f>
        <v>1</v>
      </c>
      <c r="S29" s="2">
        <f>IFERROR(__xludf.DUMMYFUNCTION("IF(AND(REGEXMATCH(D29, B29), REGEXMATCH(D29, C29)), 1, 0)
"),1.0)</f>
        <v>1</v>
      </c>
      <c r="T29" s="2">
        <f t="shared" si="4"/>
        <v>1</v>
      </c>
      <c r="U29" s="2">
        <f t="shared" si="5"/>
        <v>1</v>
      </c>
      <c r="V29" s="2">
        <f t="shared" si="6"/>
        <v>1</v>
      </c>
    </row>
    <row r="30" ht="14.25" customHeight="1">
      <c r="A30" s="2" t="s">
        <v>41</v>
      </c>
      <c r="B30" s="2" t="s">
        <v>12</v>
      </c>
      <c r="C30" s="2" t="s">
        <v>36</v>
      </c>
      <c r="D30" s="8" t="s">
        <v>578</v>
      </c>
      <c r="E30" s="6">
        <v>44929.0</v>
      </c>
      <c r="F30" s="6">
        <v>45041.0</v>
      </c>
      <c r="G30" s="7">
        <v>2.81077623E8</v>
      </c>
      <c r="H30" s="8" t="s">
        <v>581</v>
      </c>
      <c r="I30" s="2">
        <f t="shared" ref="I30:P30" si="33">IF(ISBLANK(A30)=TRUE,0,1)</f>
        <v>1</v>
      </c>
      <c r="J30" s="2">
        <f t="shared" si="33"/>
        <v>1</v>
      </c>
      <c r="K30" s="2">
        <f t="shared" si="33"/>
        <v>1</v>
      </c>
      <c r="L30" s="2">
        <f t="shared" si="33"/>
        <v>1</v>
      </c>
      <c r="M30" s="2">
        <f t="shared" si="33"/>
        <v>1</v>
      </c>
      <c r="N30" s="2">
        <f t="shared" si="33"/>
        <v>1</v>
      </c>
      <c r="O30" s="2">
        <f t="shared" si="33"/>
        <v>1</v>
      </c>
      <c r="P30" s="2">
        <f t="shared" si="33"/>
        <v>1</v>
      </c>
      <c r="Q30" s="2">
        <f t="shared" si="3"/>
        <v>1</v>
      </c>
      <c r="R30" s="2">
        <f>IF(ISERROR(VLOOKUP(A30, 'Project Reference'!A:A, 1, FALSE)), 0, 1)</f>
        <v>1</v>
      </c>
      <c r="S30" s="2">
        <f>IFERROR(__xludf.DUMMYFUNCTION("IF(AND(REGEXMATCH(D30, B30), REGEXMATCH(D30, C30)), 1, 0)
"),1.0)</f>
        <v>1</v>
      </c>
      <c r="T30" s="2">
        <f t="shared" si="4"/>
        <v>1</v>
      </c>
      <c r="U30" s="2">
        <f t="shared" si="5"/>
        <v>1</v>
      </c>
      <c r="V30" s="2">
        <f t="shared" si="6"/>
        <v>1</v>
      </c>
    </row>
    <row r="31" ht="14.25" customHeight="1">
      <c r="A31" s="8" t="s">
        <v>589</v>
      </c>
      <c r="B31" s="2" t="s">
        <v>30</v>
      </c>
      <c r="C31" s="2" t="s">
        <v>39</v>
      </c>
      <c r="D31" s="8" t="s">
        <v>590</v>
      </c>
      <c r="E31" s="9">
        <v>45330.0</v>
      </c>
      <c r="F31" s="9">
        <v>45386.0</v>
      </c>
      <c r="G31" s="7">
        <v>9.21085536E8</v>
      </c>
      <c r="H31" s="2" t="s">
        <v>67</v>
      </c>
      <c r="I31" s="2">
        <f t="shared" ref="I31:P31" si="34">IF(ISBLANK(A31)=TRUE,0,1)</f>
        <v>1</v>
      </c>
      <c r="J31" s="2">
        <f t="shared" si="34"/>
        <v>1</v>
      </c>
      <c r="K31" s="2">
        <f t="shared" si="34"/>
        <v>1</v>
      </c>
      <c r="L31" s="2">
        <f t="shared" si="34"/>
        <v>1</v>
      </c>
      <c r="M31" s="2">
        <f t="shared" si="34"/>
        <v>1</v>
      </c>
      <c r="N31" s="2">
        <f t="shared" si="34"/>
        <v>1</v>
      </c>
      <c r="O31" s="2">
        <f t="shared" si="34"/>
        <v>1</v>
      </c>
      <c r="P31" s="2">
        <f t="shared" si="34"/>
        <v>1</v>
      </c>
      <c r="Q31" s="2">
        <f t="shared" si="3"/>
        <v>1</v>
      </c>
      <c r="R31" s="2">
        <f>IF(ISERROR(VLOOKUP(A31, 'Project Reference'!A:A, 1, FALSE)), 0, 1)</f>
        <v>1</v>
      </c>
      <c r="S31" s="2">
        <f>IFERROR(__xludf.DUMMYFUNCTION("IF(AND(REGEXMATCH(D31, B31), REGEXMATCH(D31, C31)), 1, 0)
"),1.0)</f>
        <v>1</v>
      </c>
      <c r="T31" s="2">
        <f t="shared" si="4"/>
        <v>1</v>
      </c>
      <c r="U31" s="2">
        <f t="shared" si="5"/>
        <v>1</v>
      </c>
      <c r="V31" s="2">
        <f t="shared" si="6"/>
        <v>1</v>
      </c>
    </row>
    <row r="32" ht="14.25" customHeight="1">
      <c r="A32" s="2" t="s">
        <v>45</v>
      </c>
      <c r="B32" s="2" t="s">
        <v>12</v>
      </c>
      <c r="C32" s="2" t="s">
        <v>39</v>
      </c>
      <c r="D32" s="8" t="s">
        <v>591</v>
      </c>
      <c r="E32" s="6">
        <v>44930.0</v>
      </c>
      <c r="F32" s="6">
        <v>45182.0</v>
      </c>
      <c r="G32" s="7">
        <v>2.41214887E8</v>
      </c>
      <c r="H32" s="2" t="s">
        <v>67</v>
      </c>
      <c r="I32" s="2">
        <f t="shared" ref="I32:P32" si="35">IF(ISBLANK(A32)=TRUE,0,1)</f>
        <v>1</v>
      </c>
      <c r="J32" s="2">
        <f t="shared" si="35"/>
        <v>1</v>
      </c>
      <c r="K32" s="2">
        <f t="shared" si="35"/>
        <v>1</v>
      </c>
      <c r="L32" s="2">
        <f t="shared" si="35"/>
        <v>1</v>
      </c>
      <c r="M32" s="2">
        <f t="shared" si="35"/>
        <v>1</v>
      </c>
      <c r="N32" s="2">
        <f t="shared" si="35"/>
        <v>1</v>
      </c>
      <c r="O32" s="2">
        <f t="shared" si="35"/>
        <v>1</v>
      </c>
      <c r="P32" s="2">
        <f t="shared" si="35"/>
        <v>1</v>
      </c>
      <c r="Q32" s="2">
        <f t="shared" si="3"/>
        <v>1</v>
      </c>
      <c r="R32" s="2">
        <f>IF(ISERROR(VLOOKUP(A32, 'Project Reference'!A:A, 1, FALSE)), 0, 1)</f>
        <v>1</v>
      </c>
      <c r="S32" s="2">
        <f>IFERROR(__xludf.DUMMYFUNCTION("IF(AND(REGEXMATCH(D32, B32), REGEXMATCH(D32, C32)), 1, 0)
"),1.0)</f>
        <v>1</v>
      </c>
      <c r="T32" s="2">
        <f t="shared" si="4"/>
        <v>1</v>
      </c>
      <c r="U32" s="2">
        <f t="shared" si="5"/>
        <v>1</v>
      </c>
      <c r="V32" s="2">
        <f t="shared" si="6"/>
        <v>1</v>
      </c>
    </row>
    <row r="33" ht="14.25" customHeight="1">
      <c r="A33" s="8" t="s">
        <v>592</v>
      </c>
      <c r="B33" s="2" t="s">
        <v>35</v>
      </c>
      <c r="C33" s="2" t="s">
        <v>36</v>
      </c>
      <c r="D33" s="2" t="s">
        <v>37</v>
      </c>
      <c r="E33" s="9">
        <v>45334.0</v>
      </c>
      <c r="F33" s="9">
        <v>45351.0</v>
      </c>
      <c r="G33" s="7">
        <v>4.25861681E8</v>
      </c>
      <c r="H33" s="2" t="s">
        <v>50</v>
      </c>
      <c r="I33" s="2">
        <f t="shared" ref="I33:P33" si="36">IF(ISBLANK(A33)=TRUE,0,1)</f>
        <v>1</v>
      </c>
      <c r="J33" s="2">
        <f t="shared" si="36"/>
        <v>1</v>
      </c>
      <c r="K33" s="2">
        <f t="shared" si="36"/>
        <v>1</v>
      </c>
      <c r="L33" s="2">
        <f t="shared" si="36"/>
        <v>1</v>
      </c>
      <c r="M33" s="2">
        <f t="shared" si="36"/>
        <v>1</v>
      </c>
      <c r="N33" s="2">
        <f t="shared" si="36"/>
        <v>1</v>
      </c>
      <c r="O33" s="2">
        <f t="shared" si="36"/>
        <v>1</v>
      </c>
      <c r="P33" s="2">
        <f t="shared" si="36"/>
        <v>1</v>
      </c>
      <c r="Q33" s="2">
        <f t="shared" si="3"/>
        <v>1</v>
      </c>
      <c r="R33" s="2">
        <f>IF(ISERROR(VLOOKUP(A33, 'Project Reference'!A:A, 1, FALSE)), 0, 1)</f>
        <v>1</v>
      </c>
      <c r="S33" s="2">
        <f>IFERROR(__xludf.DUMMYFUNCTION("IF(AND(REGEXMATCH(D33, B33), REGEXMATCH(D33, C33)), 1, 0)
"),1.0)</f>
        <v>1</v>
      </c>
      <c r="T33" s="2">
        <f t="shared" si="4"/>
        <v>1</v>
      </c>
      <c r="U33" s="2">
        <f t="shared" si="5"/>
        <v>1</v>
      </c>
      <c r="V33" s="2">
        <f t="shared" si="6"/>
        <v>1</v>
      </c>
    </row>
    <row r="34" ht="14.25" customHeight="1">
      <c r="A34" s="2" t="s">
        <v>47</v>
      </c>
      <c r="B34" s="2" t="s">
        <v>12</v>
      </c>
      <c r="C34" s="2" t="s">
        <v>31</v>
      </c>
      <c r="D34" s="8" t="s">
        <v>593</v>
      </c>
      <c r="E34" s="6">
        <v>44930.0</v>
      </c>
      <c r="F34" s="6">
        <v>45244.0</v>
      </c>
      <c r="G34" s="7">
        <v>7.49126801E8</v>
      </c>
      <c r="H34" s="8" t="s">
        <v>573</v>
      </c>
      <c r="I34" s="2">
        <f t="shared" ref="I34:P34" si="37">IF(ISBLANK(A34)=TRUE,0,1)</f>
        <v>1</v>
      </c>
      <c r="J34" s="2">
        <f t="shared" si="37"/>
        <v>1</v>
      </c>
      <c r="K34" s="2">
        <f t="shared" si="37"/>
        <v>1</v>
      </c>
      <c r="L34" s="2">
        <f t="shared" si="37"/>
        <v>1</v>
      </c>
      <c r="M34" s="2">
        <f t="shared" si="37"/>
        <v>1</v>
      </c>
      <c r="N34" s="2">
        <f t="shared" si="37"/>
        <v>1</v>
      </c>
      <c r="O34" s="2">
        <f t="shared" si="37"/>
        <v>1</v>
      </c>
      <c r="P34" s="2">
        <f t="shared" si="37"/>
        <v>1</v>
      </c>
      <c r="Q34" s="2">
        <f t="shared" si="3"/>
        <v>1</v>
      </c>
      <c r="R34" s="2">
        <f>IF(ISERROR(VLOOKUP(A34, 'Project Reference'!A:A, 1, FALSE)), 0, 1)</f>
        <v>1</v>
      </c>
      <c r="S34" s="2">
        <f>IFERROR(__xludf.DUMMYFUNCTION("IF(AND(REGEXMATCH(D34, B34), REGEXMATCH(D34, C34)), 1, 0)
"),1.0)</f>
        <v>1</v>
      </c>
      <c r="T34" s="2">
        <f t="shared" si="4"/>
        <v>1</v>
      </c>
      <c r="U34" s="2">
        <f t="shared" si="5"/>
        <v>1</v>
      </c>
      <c r="V34" s="2">
        <f t="shared" si="6"/>
        <v>1</v>
      </c>
    </row>
    <row r="35" ht="14.25" customHeight="1">
      <c r="A35" s="8" t="s">
        <v>594</v>
      </c>
      <c r="B35" s="2" t="s">
        <v>30</v>
      </c>
      <c r="C35" s="2" t="s">
        <v>31</v>
      </c>
      <c r="D35" s="8" t="s">
        <v>595</v>
      </c>
      <c r="E35" s="9">
        <v>45335.0</v>
      </c>
      <c r="F35" s="9">
        <v>45386.0</v>
      </c>
      <c r="G35" s="7">
        <v>6.584342537E9</v>
      </c>
      <c r="H35" s="8" t="s">
        <v>581</v>
      </c>
      <c r="I35" s="2">
        <f t="shared" ref="I35:P35" si="38">IF(ISBLANK(A35)=TRUE,0,1)</f>
        <v>1</v>
      </c>
      <c r="J35" s="2">
        <f t="shared" si="38"/>
        <v>1</v>
      </c>
      <c r="K35" s="2">
        <f t="shared" si="38"/>
        <v>1</v>
      </c>
      <c r="L35" s="2">
        <f t="shared" si="38"/>
        <v>1</v>
      </c>
      <c r="M35" s="2">
        <f t="shared" si="38"/>
        <v>1</v>
      </c>
      <c r="N35" s="2">
        <f t="shared" si="38"/>
        <v>1</v>
      </c>
      <c r="O35" s="2">
        <f t="shared" si="38"/>
        <v>1</v>
      </c>
      <c r="P35" s="2">
        <f t="shared" si="38"/>
        <v>1</v>
      </c>
      <c r="Q35" s="2">
        <f t="shared" si="3"/>
        <v>1</v>
      </c>
      <c r="R35" s="2">
        <f>IF(ISERROR(VLOOKUP(A35, 'Project Reference'!A:A, 1, FALSE)), 0, 1)</f>
        <v>1</v>
      </c>
      <c r="S35" s="2">
        <f>IFERROR(__xludf.DUMMYFUNCTION("IF(AND(REGEXMATCH(D35, B35), REGEXMATCH(D35, C35)), 1, 0)
"),1.0)</f>
        <v>1</v>
      </c>
      <c r="T35" s="2">
        <f t="shared" si="4"/>
        <v>1</v>
      </c>
      <c r="U35" s="2">
        <f t="shared" si="5"/>
        <v>1</v>
      </c>
      <c r="V35" s="2">
        <f t="shared" si="6"/>
        <v>1</v>
      </c>
    </row>
    <row r="36" ht="14.25" customHeight="1">
      <c r="A36" s="2" t="s">
        <v>51</v>
      </c>
      <c r="B36" s="2" t="s">
        <v>35</v>
      </c>
      <c r="C36" s="2" t="s">
        <v>24</v>
      </c>
      <c r="D36" s="2" t="s">
        <v>133</v>
      </c>
      <c r="E36" s="6">
        <v>44931.0</v>
      </c>
      <c r="F36" s="6">
        <v>44968.0</v>
      </c>
      <c r="G36" s="7">
        <v>5.36495065E8</v>
      </c>
      <c r="H36" s="2" t="s">
        <v>44</v>
      </c>
      <c r="I36" s="2">
        <f t="shared" ref="I36:P36" si="39">IF(ISBLANK(A36)=TRUE,0,1)</f>
        <v>1</v>
      </c>
      <c r="J36" s="2">
        <f t="shared" si="39"/>
        <v>1</v>
      </c>
      <c r="K36" s="2">
        <f t="shared" si="39"/>
        <v>1</v>
      </c>
      <c r="L36" s="2">
        <f t="shared" si="39"/>
        <v>1</v>
      </c>
      <c r="M36" s="2">
        <f t="shared" si="39"/>
        <v>1</v>
      </c>
      <c r="N36" s="2">
        <f t="shared" si="39"/>
        <v>1</v>
      </c>
      <c r="O36" s="2">
        <f t="shared" si="39"/>
        <v>1</v>
      </c>
      <c r="P36" s="2">
        <f t="shared" si="39"/>
        <v>1</v>
      </c>
      <c r="Q36" s="2">
        <f t="shared" si="3"/>
        <v>1</v>
      </c>
      <c r="R36" s="2">
        <f>IF(ISERROR(VLOOKUP(A36, 'Project Reference'!A:A, 1, FALSE)), 0, 1)</f>
        <v>1</v>
      </c>
      <c r="S36" s="2">
        <f>IFERROR(__xludf.DUMMYFUNCTION("IF(AND(REGEXMATCH(D36, B36), REGEXMATCH(D36, C36)), 1, 0)
"),1.0)</f>
        <v>1</v>
      </c>
      <c r="T36" s="2">
        <f t="shared" si="4"/>
        <v>1</v>
      </c>
      <c r="U36" s="2">
        <f t="shared" si="5"/>
        <v>1</v>
      </c>
      <c r="V36" s="2">
        <f t="shared" si="6"/>
        <v>1</v>
      </c>
    </row>
    <row r="37" ht="14.25" customHeight="1">
      <c r="A37" s="2" t="s">
        <v>52</v>
      </c>
      <c r="B37" s="2" t="s">
        <v>35</v>
      </c>
      <c r="C37" s="2" t="s">
        <v>42</v>
      </c>
      <c r="D37" s="2" t="s">
        <v>69</v>
      </c>
      <c r="E37" s="6">
        <v>44932.0</v>
      </c>
      <c r="F37" s="6">
        <v>45108.0</v>
      </c>
      <c r="G37" s="7">
        <v>3.41629572E8</v>
      </c>
      <c r="H37" s="2" t="s">
        <v>44</v>
      </c>
      <c r="I37" s="2">
        <f t="shared" ref="I37:P37" si="40">IF(ISBLANK(A37)=TRUE,0,1)</f>
        <v>1</v>
      </c>
      <c r="J37" s="2">
        <f t="shared" si="40"/>
        <v>1</v>
      </c>
      <c r="K37" s="2">
        <f t="shared" si="40"/>
        <v>1</v>
      </c>
      <c r="L37" s="2">
        <f t="shared" si="40"/>
        <v>1</v>
      </c>
      <c r="M37" s="2">
        <f t="shared" si="40"/>
        <v>1</v>
      </c>
      <c r="N37" s="2">
        <f t="shared" si="40"/>
        <v>1</v>
      </c>
      <c r="O37" s="2">
        <f t="shared" si="40"/>
        <v>1</v>
      </c>
      <c r="P37" s="2">
        <f t="shared" si="40"/>
        <v>1</v>
      </c>
      <c r="Q37" s="2">
        <f t="shared" si="3"/>
        <v>1</v>
      </c>
      <c r="R37" s="2">
        <f>IF(ISERROR(VLOOKUP(A37, 'Project Reference'!A:A, 1, FALSE)), 0, 1)</f>
        <v>1</v>
      </c>
      <c r="S37" s="2">
        <f>IFERROR(__xludf.DUMMYFUNCTION("IF(AND(REGEXMATCH(D37, B37), REGEXMATCH(D37, C37)), 1, 0)
"),1.0)</f>
        <v>1</v>
      </c>
      <c r="T37" s="2">
        <f t="shared" si="4"/>
        <v>1</v>
      </c>
      <c r="U37" s="2">
        <f t="shared" si="5"/>
        <v>1</v>
      </c>
      <c r="V37" s="2">
        <f t="shared" si="6"/>
        <v>1</v>
      </c>
    </row>
    <row r="38" ht="14.25" customHeight="1">
      <c r="A38" s="8" t="s">
        <v>598</v>
      </c>
      <c r="B38" s="2" t="s">
        <v>35</v>
      </c>
      <c r="C38" s="2" t="s">
        <v>13</v>
      </c>
      <c r="D38" s="2" t="s">
        <v>78</v>
      </c>
      <c r="E38" s="9">
        <v>45337.0</v>
      </c>
      <c r="F38" s="9">
        <v>45342.0</v>
      </c>
      <c r="G38" s="7">
        <v>6.03837273E8</v>
      </c>
      <c r="H38" s="2" t="s">
        <v>67</v>
      </c>
      <c r="I38" s="2">
        <f t="shared" ref="I38:P38" si="41">IF(ISBLANK(A38)=TRUE,0,1)</f>
        <v>1</v>
      </c>
      <c r="J38" s="2">
        <f t="shared" si="41"/>
        <v>1</v>
      </c>
      <c r="K38" s="2">
        <f t="shared" si="41"/>
        <v>1</v>
      </c>
      <c r="L38" s="2">
        <f t="shared" si="41"/>
        <v>1</v>
      </c>
      <c r="M38" s="2">
        <f t="shared" si="41"/>
        <v>1</v>
      </c>
      <c r="N38" s="2">
        <f t="shared" si="41"/>
        <v>1</v>
      </c>
      <c r="O38" s="2">
        <f t="shared" si="41"/>
        <v>1</v>
      </c>
      <c r="P38" s="2">
        <f t="shared" si="41"/>
        <v>1</v>
      </c>
      <c r="Q38" s="2">
        <f t="shared" si="3"/>
        <v>1</v>
      </c>
      <c r="R38" s="2">
        <f>IF(ISERROR(VLOOKUP(A38, 'Project Reference'!A:A, 1, FALSE)), 0, 1)</f>
        <v>1</v>
      </c>
      <c r="S38" s="2">
        <f>IFERROR(__xludf.DUMMYFUNCTION("IF(AND(REGEXMATCH(D38, B38), REGEXMATCH(D38, C38)), 1, 0)
"),1.0)</f>
        <v>1</v>
      </c>
      <c r="T38" s="2">
        <f t="shared" si="4"/>
        <v>1</v>
      </c>
      <c r="U38" s="2">
        <f t="shared" si="5"/>
        <v>1</v>
      </c>
      <c r="V38" s="2">
        <f t="shared" si="6"/>
        <v>1</v>
      </c>
    </row>
    <row r="39" ht="14.25" customHeight="1">
      <c r="A39" s="2" t="s">
        <v>54</v>
      </c>
      <c r="B39" s="2" t="s">
        <v>60</v>
      </c>
      <c r="C39" s="2" t="s">
        <v>31</v>
      </c>
      <c r="D39" s="8" t="s">
        <v>599</v>
      </c>
      <c r="E39" s="6">
        <v>44935.0</v>
      </c>
      <c r="F39" s="6">
        <v>44971.0</v>
      </c>
      <c r="G39" s="7">
        <v>4.534202846E9</v>
      </c>
      <c r="H39" s="2" t="s">
        <v>44</v>
      </c>
      <c r="I39" s="2">
        <f t="shared" ref="I39:P39" si="42">IF(ISBLANK(A39)=TRUE,0,1)</f>
        <v>1</v>
      </c>
      <c r="J39" s="2">
        <f t="shared" si="42"/>
        <v>1</v>
      </c>
      <c r="K39" s="2">
        <f t="shared" si="42"/>
        <v>1</v>
      </c>
      <c r="L39" s="2">
        <f t="shared" si="42"/>
        <v>1</v>
      </c>
      <c r="M39" s="2">
        <f t="shared" si="42"/>
        <v>1</v>
      </c>
      <c r="N39" s="2">
        <f t="shared" si="42"/>
        <v>1</v>
      </c>
      <c r="O39" s="2">
        <f t="shared" si="42"/>
        <v>1</v>
      </c>
      <c r="P39" s="2">
        <f t="shared" si="42"/>
        <v>1</v>
      </c>
      <c r="Q39" s="2">
        <f t="shared" si="3"/>
        <v>1</v>
      </c>
      <c r="R39" s="2">
        <f>IF(ISERROR(VLOOKUP(A39, 'Project Reference'!A:A, 1, FALSE)), 0, 1)</f>
        <v>1</v>
      </c>
      <c r="S39" s="2">
        <f>IFERROR(__xludf.DUMMYFUNCTION("IF(AND(REGEXMATCH(D39, B39), REGEXMATCH(D39, C39)), 1, 0)
"),1.0)</f>
        <v>1</v>
      </c>
      <c r="T39" s="2">
        <f t="shared" si="4"/>
        <v>1</v>
      </c>
      <c r="U39" s="2">
        <f t="shared" si="5"/>
        <v>1</v>
      </c>
      <c r="V39" s="2">
        <f t="shared" si="6"/>
        <v>1</v>
      </c>
    </row>
    <row r="40" ht="14.25" customHeight="1">
      <c r="A40" s="8" t="s">
        <v>600</v>
      </c>
      <c r="B40" s="2" t="s">
        <v>35</v>
      </c>
      <c r="C40" s="2" t="s">
        <v>42</v>
      </c>
      <c r="D40" s="2" t="s">
        <v>69</v>
      </c>
      <c r="E40" s="9">
        <v>45338.0</v>
      </c>
      <c r="F40" s="9">
        <v>45346.0</v>
      </c>
      <c r="G40" s="7">
        <v>2.57898943E8</v>
      </c>
      <c r="H40" s="8" t="s">
        <v>581</v>
      </c>
      <c r="I40" s="2">
        <f t="shared" ref="I40:P40" si="43">IF(ISBLANK(A40)=TRUE,0,1)</f>
        <v>1</v>
      </c>
      <c r="J40" s="2">
        <f t="shared" si="43"/>
        <v>1</v>
      </c>
      <c r="K40" s="2">
        <f t="shared" si="43"/>
        <v>1</v>
      </c>
      <c r="L40" s="2">
        <f t="shared" si="43"/>
        <v>1</v>
      </c>
      <c r="M40" s="2">
        <f t="shared" si="43"/>
        <v>1</v>
      </c>
      <c r="N40" s="2">
        <f t="shared" si="43"/>
        <v>1</v>
      </c>
      <c r="O40" s="2">
        <f t="shared" si="43"/>
        <v>1</v>
      </c>
      <c r="P40" s="2">
        <f t="shared" si="43"/>
        <v>1</v>
      </c>
      <c r="Q40" s="2">
        <f t="shared" si="3"/>
        <v>1</v>
      </c>
      <c r="R40" s="2">
        <f>IF(ISERROR(VLOOKUP(A40, 'Project Reference'!A:A, 1, FALSE)), 0, 1)</f>
        <v>1</v>
      </c>
      <c r="S40" s="2">
        <f>IFERROR(__xludf.DUMMYFUNCTION("IF(AND(REGEXMATCH(D40, B40), REGEXMATCH(D40, C40)), 1, 0)
"),1.0)</f>
        <v>1</v>
      </c>
      <c r="T40" s="2">
        <f t="shared" si="4"/>
        <v>1</v>
      </c>
      <c r="U40" s="2">
        <f t="shared" si="5"/>
        <v>1</v>
      </c>
      <c r="V40" s="2">
        <f t="shared" si="6"/>
        <v>1</v>
      </c>
    </row>
    <row r="41" ht="14.25" customHeight="1">
      <c r="A41" s="2" t="s">
        <v>55</v>
      </c>
      <c r="B41" s="2" t="s">
        <v>35</v>
      </c>
      <c r="C41" s="2" t="s">
        <v>42</v>
      </c>
      <c r="D41" s="2" t="s">
        <v>69</v>
      </c>
      <c r="E41" s="6">
        <v>44936.0</v>
      </c>
      <c r="F41" s="6">
        <v>45295.0</v>
      </c>
      <c r="G41" s="7">
        <v>4.89065831E8</v>
      </c>
      <c r="H41" s="2" t="s">
        <v>21</v>
      </c>
      <c r="I41" s="2">
        <f t="shared" ref="I41:P41" si="44">IF(ISBLANK(A41)=TRUE,0,1)</f>
        <v>1</v>
      </c>
      <c r="J41" s="2">
        <f t="shared" si="44"/>
        <v>1</v>
      </c>
      <c r="K41" s="2">
        <f t="shared" si="44"/>
        <v>1</v>
      </c>
      <c r="L41" s="2">
        <f t="shared" si="44"/>
        <v>1</v>
      </c>
      <c r="M41" s="2">
        <f t="shared" si="44"/>
        <v>1</v>
      </c>
      <c r="N41" s="2">
        <f t="shared" si="44"/>
        <v>1</v>
      </c>
      <c r="O41" s="2">
        <f t="shared" si="44"/>
        <v>1</v>
      </c>
      <c r="P41" s="2">
        <f t="shared" si="44"/>
        <v>1</v>
      </c>
      <c r="Q41" s="2">
        <f t="shared" si="3"/>
        <v>1</v>
      </c>
      <c r="R41" s="2">
        <f>IF(ISERROR(VLOOKUP(A41, 'Project Reference'!A:A, 1, FALSE)), 0, 1)</f>
        <v>1</v>
      </c>
      <c r="S41" s="2">
        <f>IFERROR(__xludf.DUMMYFUNCTION("IF(AND(REGEXMATCH(D41, B41), REGEXMATCH(D41, C41)), 1, 0)
"),1.0)</f>
        <v>1</v>
      </c>
      <c r="T41" s="2">
        <f t="shared" si="4"/>
        <v>1</v>
      </c>
      <c r="U41" s="2">
        <f t="shared" si="5"/>
        <v>1</v>
      </c>
      <c r="V41" s="2">
        <f t="shared" si="6"/>
        <v>1</v>
      </c>
    </row>
    <row r="42" ht="14.25" customHeight="1">
      <c r="A42" s="8" t="s">
        <v>601</v>
      </c>
      <c r="B42" s="2" t="s">
        <v>12</v>
      </c>
      <c r="C42" s="2" t="s">
        <v>48</v>
      </c>
      <c r="D42" s="8" t="s">
        <v>602</v>
      </c>
      <c r="E42" s="9">
        <v>45339.0</v>
      </c>
      <c r="F42" s="9">
        <v>45379.0</v>
      </c>
      <c r="G42" s="7">
        <v>5.45662746E8</v>
      </c>
      <c r="H42" s="2" t="s">
        <v>21</v>
      </c>
      <c r="I42" s="2">
        <f t="shared" ref="I42:P42" si="45">IF(ISBLANK(A42)=TRUE,0,1)</f>
        <v>1</v>
      </c>
      <c r="J42" s="2">
        <f t="shared" si="45"/>
        <v>1</v>
      </c>
      <c r="K42" s="2">
        <f t="shared" si="45"/>
        <v>1</v>
      </c>
      <c r="L42" s="2">
        <f t="shared" si="45"/>
        <v>1</v>
      </c>
      <c r="M42" s="2">
        <f t="shared" si="45"/>
        <v>1</v>
      </c>
      <c r="N42" s="2">
        <f t="shared" si="45"/>
        <v>1</v>
      </c>
      <c r="O42" s="2">
        <f t="shared" si="45"/>
        <v>1</v>
      </c>
      <c r="P42" s="2">
        <f t="shared" si="45"/>
        <v>1</v>
      </c>
      <c r="Q42" s="2">
        <f t="shared" si="3"/>
        <v>1</v>
      </c>
      <c r="R42" s="2">
        <f>IF(ISERROR(VLOOKUP(A42, 'Project Reference'!A:A, 1, FALSE)), 0, 1)</f>
        <v>1</v>
      </c>
      <c r="S42" s="2">
        <f>IFERROR(__xludf.DUMMYFUNCTION("IF(AND(REGEXMATCH(D42, B42), REGEXMATCH(D42, C42)), 1, 0)
"),1.0)</f>
        <v>1</v>
      </c>
      <c r="T42" s="2">
        <f t="shared" si="4"/>
        <v>1</v>
      </c>
      <c r="U42" s="2">
        <f t="shared" si="5"/>
        <v>1</v>
      </c>
      <c r="V42" s="2">
        <f t="shared" si="6"/>
        <v>1</v>
      </c>
    </row>
    <row r="43" ht="14.25" customHeight="1">
      <c r="A43" s="2" t="s">
        <v>57</v>
      </c>
      <c r="B43" s="2" t="s">
        <v>12</v>
      </c>
      <c r="C43" s="2" t="s">
        <v>42</v>
      </c>
      <c r="D43" s="8" t="s">
        <v>603</v>
      </c>
      <c r="E43" s="6">
        <v>44938.0</v>
      </c>
      <c r="F43" s="6">
        <v>44985.0</v>
      </c>
      <c r="G43" s="7">
        <v>4.86357978E8</v>
      </c>
      <c r="H43" s="22"/>
      <c r="I43" s="2">
        <f t="shared" ref="I43:P43" si="46">IF(ISBLANK(A43)=TRUE,0,1)</f>
        <v>1</v>
      </c>
      <c r="J43" s="2">
        <f t="shared" si="46"/>
        <v>1</v>
      </c>
      <c r="K43" s="2">
        <f t="shared" si="46"/>
        <v>1</v>
      </c>
      <c r="L43" s="2">
        <f t="shared" si="46"/>
        <v>1</v>
      </c>
      <c r="M43" s="2">
        <f t="shared" si="46"/>
        <v>1</v>
      </c>
      <c r="N43" s="2">
        <f t="shared" si="46"/>
        <v>1</v>
      </c>
      <c r="O43" s="2">
        <f t="shared" si="46"/>
        <v>1</v>
      </c>
      <c r="P43" s="2">
        <f t="shared" si="46"/>
        <v>0</v>
      </c>
      <c r="Q43" s="2">
        <f t="shared" si="3"/>
        <v>1</v>
      </c>
      <c r="R43" s="2">
        <f>IF(ISERROR(VLOOKUP(A43, 'Project Reference'!A:A, 1, FALSE)), 0, 1)</f>
        <v>1</v>
      </c>
      <c r="S43" s="2">
        <f>IFERROR(__xludf.DUMMYFUNCTION("IF(AND(REGEXMATCH(D43, B43), REGEXMATCH(D43, C43)), 1, 0)
"),1.0)</f>
        <v>1</v>
      </c>
      <c r="T43" s="2">
        <f t="shared" si="4"/>
        <v>1</v>
      </c>
      <c r="U43" s="2">
        <f t="shared" si="5"/>
        <v>1</v>
      </c>
      <c r="V43" s="2">
        <f t="shared" si="6"/>
        <v>1</v>
      </c>
    </row>
    <row r="44" ht="14.25" customHeight="1">
      <c r="A44" s="8" t="s">
        <v>604</v>
      </c>
      <c r="B44" s="2" t="s">
        <v>12</v>
      </c>
      <c r="C44" s="2" t="s">
        <v>48</v>
      </c>
      <c r="D44" s="8" t="s">
        <v>602</v>
      </c>
      <c r="E44" s="9">
        <v>45340.0</v>
      </c>
      <c r="F44" s="9">
        <v>45371.0</v>
      </c>
      <c r="G44" s="7">
        <v>8.10414368E8</v>
      </c>
      <c r="H44" s="2" t="s">
        <v>33</v>
      </c>
      <c r="I44" s="2">
        <f t="shared" ref="I44:P44" si="47">IF(ISBLANK(A44)=TRUE,0,1)</f>
        <v>1</v>
      </c>
      <c r="J44" s="2">
        <f t="shared" si="47"/>
        <v>1</v>
      </c>
      <c r="K44" s="2">
        <f t="shared" si="47"/>
        <v>1</v>
      </c>
      <c r="L44" s="2">
        <f t="shared" si="47"/>
        <v>1</v>
      </c>
      <c r="M44" s="2">
        <f t="shared" si="47"/>
        <v>1</v>
      </c>
      <c r="N44" s="2">
        <f t="shared" si="47"/>
        <v>1</v>
      </c>
      <c r="O44" s="2">
        <f t="shared" si="47"/>
        <v>1</v>
      </c>
      <c r="P44" s="2">
        <f t="shared" si="47"/>
        <v>1</v>
      </c>
      <c r="Q44" s="2">
        <f t="shared" si="3"/>
        <v>1</v>
      </c>
      <c r="R44" s="2">
        <f>IF(ISERROR(VLOOKUP(A44, 'Project Reference'!A:A, 1, FALSE)), 0, 1)</f>
        <v>1</v>
      </c>
      <c r="S44" s="2">
        <f>IFERROR(__xludf.DUMMYFUNCTION("IF(AND(REGEXMATCH(D44, B44), REGEXMATCH(D44, C44)), 1, 0)
"),1.0)</f>
        <v>1</v>
      </c>
      <c r="T44" s="2">
        <f t="shared" si="4"/>
        <v>1</v>
      </c>
      <c r="U44" s="2">
        <f t="shared" si="5"/>
        <v>1</v>
      </c>
      <c r="V44" s="2">
        <f t="shared" si="6"/>
        <v>1</v>
      </c>
    </row>
    <row r="45" ht="14.25" customHeight="1">
      <c r="A45" s="2" t="s">
        <v>59</v>
      </c>
      <c r="B45" s="2" t="s">
        <v>12</v>
      </c>
      <c r="C45" s="2" t="s">
        <v>13</v>
      </c>
      <c r="D45" s="8" t="s">
        <v>605</v>
      </c>
      <c r="E45" s="6">
        <v>44938.0</v>
      </c>
      <c r="F45" s="6">
        <v>45262.0</v>
      </c>
      <c r="G45" s="7">
        <v>3.41929482E8</v>
      </c>
      <c r="H45" s="8" t="s">
        <v>581</v>
      </c>
      <c r="I45" s="2">
        <f t="shared" ref="I45:P45" si="48">IF(ISBLANK(A45)=TRUE,0,1)</f>
        <v>1</v>
      </c>
      <c r="J45" s="2">
        <f t="shared" si="48"/>
        <v>1</v>
      </c>
      <c r="K45" s="2">
        <f t="shared" si="48"/>
        <v>1</v>
      </c>
      <c r="L45" s="2">
        <f t="shared" si="48"/>
        <v>1</v>
      </c>
      <c r="M45" s="2">
        <f t="shared" si="48"/>
        <v>1</v>
      </c>
      <c r="N45" s="2">
        <f t="shared" si="48"/>
        <v>1</v>
      </c>
      <c r="O45" s="2">
        <f t="shared" si="48"/>
        <v>1</v>
      </c>
      <c r="P45" s="2">
        <f t="shared" si="48"/>
        <v>1</v>
      </c>
      <c r="Q45" s="2">
        <f t="shared" si="3"/>
        <v>1</v>
      </c>
      <c r="R45" s="2">
        <f>IF(ISERROR(VLOOKUP(A45, 'Project Reference'!A:A, 1, FALSE)), 0, 1)</f>
        <v>1</v>
      </c>
      <c r="S45" s="2">
        <f>IFERROR(__xludf.DUMMYFUNCTION("IF(AND(REGEXMATCH(D45, B45), REGEXMATCH(D45, C45)), 1, 0)
"),1.0)</f>
        <v>1</v>
      </c>
      <c r="T45" s="2">
        <f t="shared" si="4"/>
        <v>1</v>
      </c>
      <c r="U45" s="2">
        <f t="shared" si="5"/>
        <v>1</v>
      </c>
      <c r="V45" s="2">
        <f t="shared" si="6"/>
        <v>1</v>
      </c>
    </row>
    <row r="46" ht="14.25" customHeight="1">
      <c r="A46" s="8" t="s">
        <v>606</v>
      </c>
      <c r="B46" s="2" t="s">
        <v>12</v>
      </c>
      <c r="C46" s="2" t="s">
        <v>31</v>
      </c>
      <c r="D46" s="8" t="s">
        <v>593</v>
      </c>
      <c r="E46" s="9">
        <v>45341.0</v>
      </c>
      <c r="F46" s="9">
        <v>45388.0</v>
      </c>
      <c r="G46" s="7">
        <v>5.99466235E8</v>
      </c>
      <c r="H46" s="8" t="s">
        <v>581</v>
      </c>
      <c r="I46" s="2">
        <f t="shared" ref="I46:P46" si="49">IF(ISBLANK(A46)=TRUE,0,1)</f>
        <v>1</v>
      </c>
      <c r="J46" s="2">
        <f t="shared" si="49"/>
        <v>1</v>
      </c>
      <c r="K46" s="2">
        <f t="shared" si="49"/>
        <v>1</v>
      </c>
      <c r="L46" s="2">
        <f t="shared" si="49"/>
        <v>1</v>
      </c>
      <c r="M46" s="2">
        <f t="shared" si="49"/>
        <v>1</v>
      </c>
      <c r="N46" s="2">
        <f t="shared" si="49"/>
        <v>1</v>
      </c>
      <c r="O46" s="2">
        <f t="shared" si="49"/>
        <v>1</v>
      </c>
      <c r="P46" s="2">
        <f t="shared" si="49"/>
        <v>1</v>
      </c>
      <c r="Q46" s="2">
        <f t="shared" si="3"/>
        <v>1</v>
      </c>
      <c r="R46" s="2">
        <f>IF(ISERROR(VLOOKUP(A46, 'Project Reference'!A:A, 1, FALSE)), 0, 1)</f>
        <v>1</v>
      </c>
      <c r="S46" s="2">
        <f>IFERROR(__xludf.DUMMYFUNCTION("IF(AND(REGEXMATCH(D46, B46), REGEXMATCH(D46, C46)), 1, 0)
"),1.0)</f>
        <v>1</v>
      </c>
      <c r="T46" s="2">
        <f t="shared" si="4"/>
        <v>1</v>
      </c>
      <c r="U46" s="2">
        <f t="shared" si="5"/>
        <v>1</v>
      </c>
      <c r="V46" s="2">
        <f t="shared" si="6"/>
        <v>1</v>
      </c>
    </row>
    <row r="47" ht="14.25" customHeight="1">
      <c r="A47" s="2" t="s">
        <v>62</v>
      </c>
      <c r="B47" s="2" t="s">
        <v>18</v>
      </c>
      <c r="C47" s="2" t="s">
        <v>13</v>
      </c>
      <c r="D47" s="8" t="s">
        <v>580</v>
      </c>
      <c r="E47" s="6">
        <v>44939.0</v>
      </c>
      <c r="F47" s="6">
        <v>45185.0</v>
      </c>
      <c r="G47" s="7">
        <v>4.929333305E9</v>
      </c>
      <c r="H47" s="8" t="s">
        <v>581</v>
      </c>
      <c r="I47" s="2">
        <f t="shared" ref="I47:P47" si="50">IF(ISBLANK(A47)=TRUE,0,1)</f>
        <v>1</v>
      </c>
      <c r="J47" s="2">
        <f t="shared" si="50"/>
        <v>1</v>
      </c>
      <c r="K47" s="2">
        <f t="shared" si="50"/>
        <v>1</v>
      </c>
      <c r="L47" s="2">
        <f t="shared" si="50"/>
        <v>1</v>
      </c>
      <c r="M47" s="2">
        <f t="shared" si="50"/>
        <v>1</v>
      </c>
      <c r="N47" s="2">
        <f t="shared" si="50"/>
        <v>1</v>
      </c>
      <c r="O47" s="2">
        <f t="shared" si="50"/>
        <v>1</v>
      </c>
      <c r="P47" s="2">
        <f t="shared" si="50"/>
        <v>1</v>
      </c>
      <c r="Q47" s="2">
        <f t="shared" si="3"/>
        <v>1</v>
      </c>
      <c r="R47" s="2">
        <f>IF(ISERROR(VLOOKUP(A47, 'Project Reference'!A:A, 1, FALSE)), 0, 1)</f>
        <v>1</v>
      </c>
      <c r="S47" s="2">
        <f>IFERROR(__xludf.DUMMYFUNCTION("IF(AND(REGEXMATCH(D47, B47), REGEXMATCH(D47, C47)), 1, 0)
"),1.0)</f>
        <v>1</v>
      </c>
      <c r="T47" s="2">
        <f t="shared" si="4"/>
        <v>1</v>
      </c>
      <c r="U47" s="2">
        <f t="shared" si="5"/>
        <v>1</v>
      </c>
      <c r="V47" s="2">
        <f t="shared" si="6"/>
        <v>1</v>
      </c>
    </row>
    <row r="48" ht="14.25" customHeight="1">
      <c r="A48" s="8" t="s">
        <v>607</v>
      </c>
      <c r="B48" s="2" t="s">
        <v>35</v>
      </c>
      <c r="C48" s="2" t="s">
        <v>36</v>
      </c>
      <c r="D48" s="2" t="s">
        <v>37</v>
      </c>
      <c r="E48" s="9">
        <v>45341.0</v>
      </c>
      <c r="F48" s="9">
        <v>45350.0</v>
      </c>
      <c r="G48" s="7">
        <v>3.33089653E8</v>
      </c>
      <c r="H48" s="2" t="s">
        <v>67</v>
      </c>
      <c r="I48" s="2">
        <f t="shared" ref="I48:P48" si="51">IF(ISBLANK(A48)=TRUE,0,1)</f>
        <v>1</v>
      </c>
      <c r="J48" s="2">
        <f t="shared" si="51"/>
        <v>1</v>
      </c>
      <c r="K48" s="2">
        <f t="shared" si="51"/>
        <v>1</v>
      </c>
      <c r="L48" s="2">
        <f t="shared" si="51"/>
        <v>1</v>
      </c>
      <c r="M48" s="2">
        <f t="shared" si="51"/>
        <v>1</v>
      </c>
      <c r="N48" s="2">
        <f t="shared" si="51"/>
        <v>1</v>
      </c>
      <c r="O48" s="2">
        <f t="shared" si="51"/>
        <v>1</v>
      </c>
      <c r="P48" s="2">
        <f t="shared" si="51"/>
        <v>1</v>
      </c>
      <c r="Q48" s="2">
        <f t="shared" si="3"/>
        <v>1</v>
      </c>
      <c r="R48" s="2">
        <f>IF(ISERROR(VLOOKUP(A48, 'Project Reference'!A:A, 1, FALSE)), 0, 1)</f>
        <v>1</v>
      </c>
      <c r="S48" s="2">
        <f>IFERROR(__xludf.DUMMYFUNCTION("IF(AND(REGEXMATCH(D48, B48), REGEXMATCH(D48, C48)), 1, 0)
"),1.0)</f>
        <v>1</v>
      </c>
      <c r="T48" s="2">
        <f t="shared" si="4"/>
        <v>1</v>
      </c>
      <c r="U48" s="2">
        <f t="shared" si="5"/>
        <v>1</v>
      </c>
      <c r="V48" s="2">
        <f t="shared" si="6"/>
        <v>1</v>
      </c>
    </row>
    <row r="49" ht="14.25" customHeight="1">
      <c r="A49" s="2" t="s">
        <v>64</v>
      </c>
      <c r="B49" s="2" t="s">
        <v>35</v>
      </c>
      <c r="C49" s="2" t="s">
        <v>13</v>
      </c>
      <c r="D49" s="2" t="s">
        <v>78</v>
      </c>
      <c r="E49" s="6">
        <v>44940.0</v>
      </c>
      <c r="F49" s="6">
        <v>45043.0</v>
      </c>
      <c r="G49" s="7">
        <v>5.23689841E8</v>
      </c>
      <c r="H49" s="2" t="s">
        <v>50</v>
      </c>
      <c r="I49" s="2">
        <f t="shared" ref="I49:P49" si="52">IF(ISBLANK(A49)=TRUE,0,1)</f>
        <v>1</v>
      </c>
      <c r="J49" s="2">
        <f t="shared" si="52"/>
        <v>1</v>
      </c>
      <c r="K49" s="2">
        <f t="shared" si="52"/>
        <v>1</v>
      </c>
      <c r="L49" s="2">
        <f t="shared" si="52"/>
        <v>1</v>
      </c>
      <c r="M49" s="2">
        <f t="shared" si="52"/>
        <v>1</v>
      </c>
      <c r="N49" s="2">
        <f t="shared" si="52"/>
        <v>1</v>
      </c>
      <c r="O49" s="2">
        <f t="shared" si="52"/>
        <v>1</v>
      </c>
      <c r="P49" s="2">
        <f t="shared" si="52"/>
        <v>1</v>
      </c>
      <c r="Q49" s="2">
        <f t="shared" si="3"/>
        <v>1</v>
      </c>
      <c r="R49" s="2">
        <f>IF(ISERROR(VLOOKUP(A49, 'Project Reference'!A:A, 1, FALSE)), 0, 1)</f>
        <v>1</v>
      </c>
      <c r="S49" s="2">
        <f>IFERROR(__xludf.DUMMYFUNCTION("IF(AND(REGEXMATCH(D49, B49), REGEXMATCH(D49, C49)), 1, 0)
"),1.0)</f>
        <v>1</v>
      </c>
      <c r="T49" s="2">
        <f t="shared" si="4"/>
        <v>1</v>
      </c>
      <c r="U49" s="2">
        <f t="shared" si="5"/>
        <v>1</v>
      </c>
      <c r="V49" s="2">
        <f t="shared" si="6"/>
        <v>1</v>
      </c>
    </row>
    <row r="50" ht="14.25" customHeight="1">
      <c r="A50" s="8" t="s">
        <v>608</v>
      </c>
      <c r="B50" s="2" t="s">
        <v>60</v>
      </c>
      <c r="C50" s="2" t="s">
        <v>36</v>
      </c>
      <c r="D50" s="8" t="s">
        <v>597</v>
      </c>
      <c r="E50" s="9">
        <v>45341.0</v>
      </c>
      <c r="F50" s="9">
        <v>45406.0</v>
      </c>
      <c r="G50" s="7">
        <v>3.757312666E9</v>
      </c>
      <c r="H50" s="2" t="s">
        <v>67</v>
      </c>
      <c r="I50" s="2">
        <f t="shared" ref="I50:P50" si="53">IF(ISBLANK(A50)=TRUE,0,1)</f>
        <v>1</v>
      </c>
      <c r="J50" s="2">
        <f t="shared" si="53"/>
        <v>1</v>
      </c>
      <c r="K50" s="2">
        <f t="shared" si="53"/>
        <v>1</v>
      </c>
      <c r="L50" s="2">
        <f t="shared" si="53"/>
        <v>1</v>
      </c>
      <c r="M50" s="2">
        <f t="shared" si="53"/>
        <v>1</v>
      </c>
      <c r="N50" s="2">
        <f t="shared" si="53"/>
        <v>1</v>
      </c>
      <c r="O50" s="2">
        <f t="shared" si="53"/>
        <v>1</v>
      </c>
      <c r="P50" s="2">
        <f t="shared" si="53"/>
        <v>1</v>
      </c>
      <c r="Q50" s="2">
        <f t="shared" si="3"/>
        <v>1</v>
      </c>
      <c r="R50" s="2">
        <f>IF(ISERROR(VLOOKUP(A50, 'Project Reference'!A:A, 1, FALSE)), 0, 1)</f>
        <v>1</v>
      </c>
      <c r="S50" s="2">
        <f>IFERROR(__xludf.DUMMYFUNCTION("IF(AND(REGEXMATCH(D50, B50), REGEXMATCH(D50, C50)), 1, 0)
"),1.0)</f>
        <v>1</v>
      </c>
      <c r="T50" s="2">
        <f t="shared" si="4"/>
        <v>1</v>
      </c>
      <c r="U50" s="2">
        <f t="shared" si="5"/>
        <v>1</v>
      </c>
      <c r="V50" s="2">
        <f t="shared" si="6"/>
        <v>1</v>
      </c>
    </row>
    <row r="51" ht="14.25" customHeight="1">
      <c r="A51" s="2" t="s">
        <v>65</v>
      </c>
      <c r="B51" s="2" t="s">
        <v>60</v>
      </c>
      <c r="C51" s="2" t="s">
        <v>42</v>
      </c>
      <c r="D51" s="8" t="s">
        <v>587</v>
      </c>
      <c r="E51" s="6">
        <v>44940.0</v>
      </c>
      <c r="F51" s="6">
        <v>45206.0</v>
      </c>
      <c r="G51" s="7">
        <v>3.894709817E9</v>
      </c>
      <c r="H51" s="8" t="s">
        <v>581</v>
      </c>
      <c r="I51" s="2">
        <f t="shared" ref="I51:P51" si="54">IF(ISBLANK(A51)=TRUE,0,1)</f>
        <v>1</v>
      </c>
      <c r="J51" s="2">
        <f t="shared" si="54"/>
        <v>1</v>
      </c>
      <c r="K51" s="2">
        <f t="shared" si="54"/>
        <v>1</v>
      </c>
      <c r="L51" s="2">
        <f t="shared" si="54"/>
        <v>1</v>
      </c>
      <c r="M51" s="2">
        <f t="shared" si="54"/>
        <v>1</v>
      </c>
      <c r="N51" s="2">
        <f t="shared" si="54"/>
        <v>1</v>
      </c>
      <c r="O51" s="2">
        <f t="shared" si="54"/>
        <v>1</v>
      </c>
      <c r="P51" s="2">
        <f t="shared" si="54"/>
        <v>1</v>
      </c>
      <c r="Q51" s="2">
        <f t="shared" si="3"/>
        <v>1</v>
      </c>
      <c r="R51" s="2">
        <f>IF(ISERROR(VLOOKUP(A51, 'Project Reference'!A:A, 1, FALSE)), 0, 1)</f>
        <v>1</v>
      </c>
      <c r="S51" s="2">
        <f>IFERROR(__xludf.DUMMYFUNCTION("IF(AND(REGEXMATCH(D51, B51), REGEXMATCH(D51, C51)), 1, 0)
"),1.0)</f>
        <v>1</v>
      </c>
      <c r="T51" s="2">
        <f t="shared" si="4"/>
        <v>1</v>
      </c>
      <c r="U51" s="2">
        <f t="shared" si="5"/>
        <v>1</v>
      </c>
      <c r="V51" s="2">
        <f t="shared" si="6"/>
        <v>1</v>
      </c>
    </row>
    <row r="52" ht="14.25" customHeight="1">
      <c r="A52" s="8" t="s">
        <v>609</v>
      </c>
      <c r="B52" s="2" t="s">
        <v>12</v>
      </c>
      <c r="C52" s="2" t="s">
        <v>24</v>
      </c>
      <c r="D52" s="8" t="s">
        <v>610</v>
      </c>
      <c r="E52" s="9">
        <v>45343.0</v>
      </c>
      <c r="F52" s="9">
        <v>45382.0</v>
      </c>
      <c r="G52" s="7">
        <v>4.6287632E8</v>
      </c>
      <c r="H52" s="22"/>
      <c r="I52" s="2">
        <f t="shared" ref="I52:P52" si="55">IF(ISBLANK(A52)=TRUE,0,1)</f>
        <v>1</v>
      </c>
      <c r="J52" s="2">
        <f t="shared" si="55"/>
        <v>1</v>
      </c>
      <c r="K52" s="2">
        <f t="shared" si="55"/>
        <v>1</v>
      </c>
      <c r="L52" s="2">
        <f t="shared" si="55"/>
        <v>1</v>
      </c>
      <c r="M52" s="2">
        <f t="shared" si="55"/>
        <v>1</v>
      </c>
      <c r="N52" s="2">
        <f t="shared" si="55"/>
        <v>1</v>
      </c>
      <c r="O52" s="2">
        <f t="shared" si="55"/>
        <v>1</v>
      </c>
      <c r="P52" s="2">
        <f t="shared" si="55"/>
        <v>0</v>
      </c>
      <c r="Q52" s="2">
        <f t="shared" si="3"/>
        <v>1</v>
      </c>
      <c r="R52" s="2">
        <f>IF(ISERROR(VLOOKUP(A52, 'Project Reference'!A:A, 1, FALSE)), 0, 1)</f>
        <v>1</v>
      </c>
      <c r="S52" s="2">
        <f>IFERROR(__xludf.DUMMYFUNCTION("IF(AND(REGEXMATCH(D52, B52), REGEXMATCH(D52, C52)), 1, 0)
"),1.0)</f>
        <v>1</v>
      </c>
      <c r="T52" s="2">
        <f t="shared" si="4"/>
        <v>1</v>
      </c>
      <c r="U52" s="2">
        <f t="shared" si="5"/>
        <v>1</v>
      </c>
      <c r="V52" s="2">
        <f t="shared" si="6"/>
        <v>1</v>
      </c>
    </row>
    <row r="53" ht="14.25" customHeight="1">
      <c r="A53" s="2" t="s">
        <v>68</v>
      </c>
      <c r="B53" s="2" t="s">
        <v>30</v>
      </c>
      <c r="C53" s="2" t="s">
        <v>39</v>
      </c>
      <c r="D53" s="8" t="s">
        <v>590</v>
      </c>
      <c r="E53" s="6">
        <v>44941.0</v>
      </c>
      <c r="F53" s="6">
        <v>45188.0</v>
      </c>
      <c r="G53" s="7">
        <v>4.532376815E9</v>
      </c>
      <c r="H53" s="2" t="s">
        <v>50</v>
      </c>
      <c r="I53" s="2">
        <f t="shared" ref="I53:P53" si="56">IF(ISBLANK(A53)=TRUE,0,1)</f>
        <v>1</v>
      </c>
      <c r="J53" s="2">
        <f t="shared" si="56"/>
        <v>1</v>
      </c>
      <c r="K53" s="2">
        <f t="shared" si="56"/>
        <v>1</v>
      </c>
      <c r="L53" s="2">
        <f t="shared" si="56"/>
        <v>1</v>
      </c>
      <c r="M53" s="2">
        <f t="shared" si="56"/>
        <v>1</v>
      </c>
      <c r="N53" s="2">
        <f t="shared" si="56"/>
        <v>1</v>
      </c>
      <c r="O53" s="2">
        <f t="shared" si="56"/>
        <v>1</v>
      </c>
      <c r="P53" s="2">
        <f t="shared" si="56"/>
        <v>1</v>
      </c>
      <c r="Q53" s="2">
        <f t="shared" si="3"/>
        <v>1</v>
      </c>
      <c r="R53" s="2">
        <f>IF(ISERROR(VLOOKUP(A53, 'Project Reference'!A:A, 1, FALSE)), 0, 1)</f>
        <v>1</v>
      </c>
      <c r="S53" s="2">
        <f>IFERROR(__xludf.DUMMYFUNCTION("IF(AND(REGEXMATCH(D53, B53), REGEXMATCH(D53, C53)), 1, 0)
"),1.0)</f>
        <v>1</v>
      </c>
      <c r="T53" s="2">
        <f t="shared" si="4"/>
        <v>1</v>
      </c>
      <c r="U53" s="2">
        <f t="shared" si="5"/>
        <v>1</v>
      </c>
      <c r="V53" s="2">
        <f t="shared" si="6"/>
        <v>1</v>
      </c>
    </row>
    <row r="54" ht="14.25" customHeight="1">
      <c r="A54" s="8" t="s">
        <v>611</v>
      </c>
      <c r="B54" s="2" t="s">
        <v>30</v>
      </c>
      <c r="C54" s="2" t="s">
        <v>24</v>
      </c>
      <c r="D54" s="8" t="s">
        <v>612</v>
      </c>
      <c r="E54" s="9">
        <v>45346.0</v>
      </c>
      <c r="F54" s="9">
        <v>45398.0</v>
      </c>
      <c r="G54" s="7">
        <v>3.82111714E9</v>
      </c>
      <c r="H54" s="2" t="s">
        <v>50</v>
      </c>
      <c r="I54" s="2">
        <f t="shared" ref="I54:P54" si="57">IF(ISBLANK(A54)=TRUE,0,1)</f>
        <v>1</v>
      </c>
      <c r="J54" s="2">
        <f t="shared" si="57"/>
        <v>1</v>
      </c>
      <c r="K54" s="2">
        <f t="shared" si="57"/>
        <v>1</v>
      </c>
      <c r="L54" s="2">
        <f t="shared" si="57"/>
        <v>1</v>
      </c>
      <c r="M54" s="2">
        <f t="shared" si="57"/>
        <v>1</v>
      </c>
      <c r="N54" s="2">
        <f t="shared" si="57"/>
        <v>1</v>
      </c>
      <c r="O54" s="2">
        <f t="shared" si="57"/>
        <v>1</v>
      </c>
      <c r="P54" s="2">
        <f t="shared" si="57"/>
        <v>1</v>
      </c>
      <c r="Q54" s="2">
        <f t="shared" si="3"/>
        <v>1</v>
      </c>
      <c r="R54" s="2">
        <f>IF(ISERROR(VLOOKUP(A54, 'Project Reference'!A:A, 1, FALSE)), 0, 1)</f>
        <v>1</v>
      </c>
      <c r="S54" s="2">
        <f>IFERROR(__xludf.DUMMYFUNCTION("IF(AND(REGEXMATCH(D54, B54), REGEXMATCH(D54, C54)), 1, 0)
"),1.0)</f>
        <v>1</v>
      </c>
      <c r="T54" s="2">
        <f t="shared" si="4"/>
        <v>1</v>
      </c>
      <c r="U54" s="2">
        <f t="shared" si="5"/>
        <v>1</v>
      </c>
      <c r="V54" s="2">
        <f t="shared" si="6"/>
        <v>1</v>
      </c>
    </row>
    <row r="55" ht="14.25" customHeight="1">
      <c r="A55" s="2" t="s">
        <v>70</v>
      </c>
      <c r="B55" s="2" t="s">
        <v>60</v>
      </c>
      <c r="C55" s="2" t="s">
        <v>31</v>
      </c>
      <c r="D55" s="8" t="s">
        <v>613</v>
      </c>
      <c r="E55" s="6">
        <v>44941.0</v>
      </c>
      <c r="F55" s="6">
        <v>45290.0</v>
      </c>
      <c r="G55" s="7">
        <v>4.159855566E9</v>
      </c>
      <c r="H55" s="2" t="s">
        <v>33</v>
      </c>
      <c r="I55" s="2">
        <f t="shared" ref="I55:P55" si="58">IF(ISBLANK(A55)=TRUE,0,1)</f>
        <v>1</v>
      </c>
      <c r="J55" s="2">
        <f t="shared" si="58"/>
        <v>1</v>
      </c>
      <c r="K55" s="2">
        <f t="shared" si="58"/>
        <v>1</v>
      </c>
      <c r="L55" s="2">
        <f t="shared" si="58"/>
        <v>1</v>
      </c>
      <c r="M55" s="2">
        <f t="shared" si="58"/>
        <v>1</v>
      </c>
      <c r="N55" s="2">
        <f t="shared" si="58"/>
        <v>1</v>
      </c>
      <c r="O55" s="2">
        <f t="shared" si="58"/>
        <v>1</v>
      </c>
      <c r="P55" s="2">
        <f t="shared" si="58"/>
        <v>1</v>
      </c>
      <c r="Q55" s="2">
        <f t="shared" si="3"/>
        <v>1</v>
      </c>
      <c r="R55" s="2">
        <f>IF(ISERROR(VLOOKUP(A55, 'Project Reference'!A:A, 1, FALSE)), 0, 1)</f>
        <v>1</v>
      </c>
      <c r="S55" s="2">
        <f>IFERROR(__xludf.DUMMYFUNCTION("IF(AND(REGEXMATCH(D55, B55), REGEXMATCH(D55, C55)), 1, 0)
"),1.0)</f>
        <v>1</v>
      </c>
      <c r="T55" s="2">
        <f t="shared" si="4"/>
        <v>1</v>
      </c>
      <c r="U55" s="2">
        <f t="shared" si="5"/>
        <v>1</v>
      </c>
      <c r="V55" s="2">
        <f t="shared" si="6"/>
        <v>1</v>
      </c>
    </row>
    <row r="56" ht="14.25" customHeight="1">
      <c r="A56" s="2" t="s">
        <v>72</v>
      </c>
      <c r="B56" s="2" t="s">
        <v>30</v>
      </c>
      <c r="C56" s="2" t="s">
        <v>36</v>
      </c>
      <c r="D56" s="8" t="s">
        <v>614</v>
      </c>
      <c r="E56" s="6">
        <v>44941.0</v>
      </c>
      <c r="F56" s="6">
        <v>45095.0</v>
      </c>
      <c r="G56" s="7">
        <v>4.492886828E9</v>
      </c>
      <c r="H56" s="2" t="s">
        <v>50</v>
      </c>
      <c r="I56" s="2">
        <f t="shared" ref="I56:P56" si="59">IF(ISBLANK(A56)=TRUE,0,1)</f>
        <v>1</v>
      </c>
      <c r="J56" s="2">
        <f t="shared" si="59"/>
        <v>1</v>
      </c>
      <c r="K56" s="2">
        <f t="shared" si="59"/>
        <v>1</v>
      </c>
      <c r="L56" s="2">
        <f t="shared" si="59"/>
        <v>1</v>
      </c>
      <c r="M56" s="2">
        <f t="shared" si="59"/>
        <v>1</v>
      </c>
      <c r="N56" s="2">
        <f t="shared" si="59"/>
        <v>1</v>
      </c>
      <c r="O56" s="2">
        <f t="shared" si="59"/>
        <v>1</v>
      </c>
      <c r="P56" s="2">
        <f t="shared" si="59"/>
        <v>1</v>
      </c>
      <c r="Q56" s="2">
        <f t="shared" si="3"/>
        <v>1</v>
      </c>
      <c r="R56" s="2">
        <f>IF(ISERROR(VLOOKUP(A56, 'Project Reference'!A:A, 1, FALSE)), 0, 1)</f>
        <v>1</v>
      </c>
      <c r="S56" s="2">
        <f>IFERROR(__xludf.DUMMYFUNCTION("IF(AND(REGEXMATCH(D56, B56), REGEXMATCH(D56, C56)), 1, 0)
"),1.0)</f>
        <v>1</v>
      </c>
      <c r="T56" s="2">
        <f t="shared" si="4"/>
        <v>1</v>
      </c>
      <c r="U56" s="2">
        <f t="shared" si="5"/>
        <v>1</v>
      </c>
      <c r="V56" s="2">
        <f t="shared" si="6"/>
        <v>1</v>
      </c>
    </row>
    <row r="57" ht="14.25" customHeight="1">
      <c r="A57" s="2" t="s">
        <v>73</v>
      </c>
      <c r="B57" s="2" t="s">
        <v>30</v>
      </c>
      <c r="C57" s="2" t="s">
        <v>48</v>
      </c>
      <c r="D57" s="8" t="s">
        <v>615</v>
      </c>
      <c r="E57" s="6">
        <v>44942.0</v>
      </c>
      <c r="F57" s="6">
        <v>45034.0</v>
      </c>
      <c r="G57" s="7">
        <v>1.424729417E9</v>
      </c>
      <c r="H57" s="8" t="s">
        <v>581</v>
      </c>
      <c r="I57" s="2">
        <f t="shared" ref="I57:P57" si="60">IF(ISBLANK(A57)=TRUE,0,1)</f>
        <v>1</v>
      </c>
      <c r="J57" s="2">
        <f t="shared" si="60"/>
        <v>1</v>
      </c>
      <c r="K57" s="2">
        <f t="shared" si="60"/>
        <v>1</v>
      </c>
      <c r="L57" s="2">
        <f t="shared" si="60"/>
        <v>1</v>
      </c>
      <c r="M57" s="2">
        <f t="shared" si="60"/>
        <v>1</v>
      </c>
      <c r="N57" s="2">
        <f t="shared" si="60"/>
        <v>1</v>
      </c>
      <c r="O57" s="2">
        <f t="shared" si="60"/>
        <v>1</v>
      </c>
      <c r="P57" s="2">
        <f t="shared" si="60"/>
        <v>1</v>
      </c>
      <c r="Q57" s="2">
        <f t="shared" si="3"/>
        <v>1</v>
      </c>
      <c r="R57" s="2">
        <f>IF(ISERROR(VLOOKUP(A57, 'Project Reference'!A:A, 1, FALSE)), 0, 1)</f>
        <v>1</v>
      </c>
      <c r="S57" s="2">
        <f>IFERROR(__xludf.DUMMYFUNCTION("IF(AND(REGEXMATCH(D57, B57), REGEXMATCH(D57, C57)), 1, 0)
"),1.0)</f>
        <v>1</v>
      </c>
      <c r="T57" s="2">
        <f t="shared" si="4"/>
        <v>1</v>
      </c>
      <c r="U57" s="2">
        <f t="shared" si="5"/>
        <v>1</v>
      </c>
      <c r="V57" s="2">
        <f t="shared" si="6"/>
        <v>1</v>
      </c>
    </row>
    <row r="58" ht="14.25" customHeight="1">
      <c r="A58" s="2" t="s">
        <v>75</v>
      </c>
      <c r="B58" s="2" t="s">
        <v>30</v>
      </c>
      <c r="C58" s="2" t="s">
        <v>31</v>
      </c>
      <c r="D58" s="8" t="s">
        <v>595</v>
      </c>
      <c r="E58" s="6">
        <v>44943.0</v>
      </c>
      <c r="F58" s="6">
        <v>45027.0</v>
      </c>
      <c r="G58" s="7">
        <v>1.425616276E9</v>
      </c>
      <c r="H58" s="2" t="s">
        <v>44</v>
      </c>
      <c r="I58" s="2">
        <f t="shared" ref="I58:P58" si="61">IF(ISBLANK(A58)=TRUE,0,1)</f>
        <v>1</v>
      </c>
      <c r="J58" s="2">
        <f t="shared" si="61"/>
        <v>1</v>
      </c>
      <c r="K58" s="2">
        <f t="shared" si="61"/>
        <v>1</v>
      </c>
      <c r="L58" s="2">
        <f t="shared" si="61"/>
        <v>1</v>
      </c>
      <c r="M58" s="2">
        <f t="shared" si="61"/>
        <v>1</v>
      </c>
      <c r="N58" s="2">
        <f t="shared" si="61"/>
        <v>1</v>
      </c>
      <c r="O58" s="2">
        <f t="shared" si="61"/>
        <v>1</v>
      </c>
      <c r="P58" s="2">
        <f t="shared" si="61"/>
        <v>1</v>
      </c>
      <c r="Q58" s="2">
        <f t="shared" si="3"/>
        <v>1</v>
      </c>
      <c r="R58" s="2">
        <f>IF(ISERROR(VLOOKUP(A58, 'Project Reference'!A:A, 1, FALSE)), 0, 1)</f>
        <v>1</v>
      </c>
      <c r="S58" s="2">
        <f>IFERROR(__xludf.DUMMYFUNCTION("IF(AND(REGEXMATCH(D58, B58), REGEXMATCH(D58, C58)), 1, 0)
"),1.0)</f>
        <v>1</v>
      </c>
      <c r="T58" s="2">
        <f t="shared" si="4"/>
        <v>1</v>
      </c>
      <c r="U58" s="2">
        <f t="shared" si="5"/>
        <v>1</v>
      </c>
      <c r="V58" s="2">
        <f t="shared" si="6"/>
        <v>1</v>
      </c>
    </row>
    <row r="59" ht="14.25" customHeight="1">
      <c r="A59" s="2" t="s">
        <v>76</v>
      </c>
      <c r="B59" s="2" t="s">
        <v>12</v>
      </c>
      <c r="C59" s="2" t="s">
        <v>36</v>
      </c>
      <c r="D59" s="8" t="s">
        <v>578</v>
      </c>
      <c r="E59" s="6">
        <v>44943.0</v>
      </c>
      <c r="F59" s="6">
        <v>45136.0</v>
      </c>
      <c r="G59" s="7">
        <v>3.07413755E8</v>
      </c>
      <c r="H59" s="2" t="s">
        <v>44</v>
      </c>
      <c r="I59" s="2">
        <f t="shared" ref="I59:P59" si="62">IF(ISBLANK(A59)=TRUE,0,1)</f>
        <v>1</v>
      </c>
      <c r="J59" s="2">
        <f t="shared" si="62"/>
        <v>1</v>
      </c>
      <c r="K59" s="2">
        <f t="shared" si="62"/>
        <v>1</v>
      </c>
      <c r="L59" s="2">
        <f t="shared" si="62"/>
        <v>1</v>
      </c>
      <c r="M59" s="2">
        <f t="shared" si="62"/>
        <v>1</v>
      </c>
      <c r="N59" s="2">
        <f t="shared" si="62"/>
        <v>1</v>
      </c>
      <c r="O59" s="2">
        <f t="shared" si="62"/>
        <v>1</v>
      </c>
      <c r="P59" s="2">
        <f t="shared" si="62"/>
        <v>1</v>
      </c>
      <c r="Q59" s="2">
        <f t="shared" si="3"/>
        <v>1</v>
      </c>
      <c r="R59" s="2">
        <f>IF(ISERROR(VLOOKUP(A59, 'Project Reference'!A:A, 1, FALSE)), 0, 1)</f>
        <v>1</v>
      </c>
      <c r="S59" s="2">
        <f>IFERROR(__xludf.DUMMYFUNCTION("IF(AND(REGEXMATCH(D59, B59), REGEXMATCH(D59, C59)), 1, 0)
"),1.0)</f>
        <v>1</v>
      </c>
      <c r="T59" s="2">
        <f t="shared" si="4"/>
        <v>1</v>
      </c>
      <c r="U59" s="2">
        <f t="shared" si="5"/>
        <v>1</v>
      </c>
      <c r="V59" s="2">
        <f t="shared" si="6"/>
        <v>1</v>
      </c>
    </row>
    <row r="60" ht="14.25" customHeight="1">
      <c r="A60" s="2" t="s">
        <v>77</v>
      </c>
      <c r="B60" s="2" t="s">
        <v>30</v>
      </c>
      <c r="C60" s="2" t="s">
        <v>31</v>
      </c>
      <c r="D60" s="8" t="s">
        <v>595</v>
      </c>
      <c r="E60" s="6">
        <v>44944.0</v>
      </c>
      <c r="F60" s="6">
        <v>45113.0</v>
      </c>
      <c r="G60" s="7">
        <v>6.929733135E9</v>
      </c>
      <c r="H60" s="2" t="s">
        <v>33</v>
      </c>
      <c r="I60" s="2">
        <f t="shared" ref="I60:P60" si="63">IF(ISBLANK(A60)=TRUE,0,1)</f>
        <v>1</v>
      </c>
      <c r="J60" s="2">
        <f t="shared" si="63"/>
        <v>1</v>
      </c>
      <c r="K60" s="2">
        <f t="shared" si="63"/>
        <v>1</v>
      </c>
      <c r="L60" s="2">
        <f t="shared" si="63"/>
        <v>1</v>
      </c>
      <c r="M60" s="2">
        <f t="shared" si="63"/>
        <v>1</v>
      </c>
      <c r="N60" s="2">
        <f t="shared" si="63"/>
        <v>1</v>
      </c>
      <c r="O60" s="2">
        <f t="shared" si="63"/>
        <v>1</v>
      </c>
      <c r="P60" s="2">
        <f t="shared" si="63"/>
        <v>1</v>
      </c>
      <c r="Q60" s="2">
        <f t="shared" si="3"/>
        <v>1</v>
      </c>
      <c r="R60" s="2">
        <f>IF(ISERROR(VLOOKUP(A60, 'Project Reference'!A:A, 1, FALSE)), 0, 1)</f>
        <v>1</v>
      </c>
      <c r="S60" s="2">
        <f>IFERROR(__xludf.DUMMYFUNCTION("IF(AND(REGEXMATCH(D60, B60), REGEXMATCH(D60, C60)), 1, 0)
"),1.0)</f>
        <v>1</v>
      </c>
      <c r="T60" s="2">
        <f t="shared" si="4"/>
        <v>1</v>
      </c>
      <c r="U60" s="2">
        <f t="shared" si="5"/>
        <v>1</v>
      </c>
      <c r="V60" s="2">
        <f t="shared" si="6"/>
        <v>1</v>
      </c>
    </row>
    <row r="61" ht="14.25" customHeight="1">
      <c r="A61" s="2" t="s">
        <v>79</v>
      </c>
      <c r="B61" s="2" t="s">
        <v>30</v>
      </c>
      <c r="C61" s="2" t="s">
        <v>31</v>
      </c>
      <c r="D61" s="8" t="s">
        <v>585</v>
      </c>
      <c r="E61" s="6">
        <v>44944.0</v>
      </c>
      <c r="F61" s="6">
        <v>45284.0</v>
      </c>
      <c r="G61" s="7">
        <v>1.56771217E9</v>
      </c>
      <c r="H61" s="8" t="s">
        <v>581</v>
      </c>
      <c r="I61" s="2">
        <f t="shared" ref="I61:P61" si="64">IF(ISBLANK(A61)=TRUE,0,1)</f>
        <v>1</v>
      </c>
      <c r="J61" s="2">
        <f t="shared" si="64"/>
        <v>1</v>
      </c>
      <c r="K61" s="2">
        <f t="shared" si="64"/>
        <v>1</v>
      </c>
      <c r="L61" s="2">
        <f t="shared" si="64"/>
        <v>1</v>
      </c>
      <c r="M61" s="2">
        <f t="shared" si="64"/>
        <v>1</v>
      </c>
      <c r="N61" s="2">
        <f t="shared" si="64"/>
        <v>1</v>
      </c>
      <c r="O61" s="2">
        <f t="shared" si="64"/>
        <v>1</v>
      </c>
      <c r="P61" s="2">
        <f t="shared" si="64"/>
        <v>1</v>
      </c>
      <c r="Q61" s="2">
        <f t="shared" si="3"/>
        <v>1</v>
      </c>
      <c r="R61" s="2">
        <f>IF(ISERROR(VLOOKUP(A61, 'Project Reference'!A:A, 1, FALSE)), 0, 1)</f>
        <v>1</v>
      </c>
      <c r="S61" s="2">
        <f>IFERROR(__xludf.DUMMYFUNCTION("IF(AND(REGEXMATCH(D61, B61), REGEXMATCH(D61, C61)), 1, 0)
"),1.0)</f>
        <v>1</v>
      </c>
      <c r="T61" s="2">
        <f t="shared" si="4"/>
        <v>1</v>
      </c>
      <c r="U61" s="2">
        <f t="shared" si="5"/>
        <v>1</v>
      </c>
      <c r="V61" s="2">
        <f t="shared" si="6"/>
        <v>1</v>
      </c>
    </row>
    <row r="62" ht="14.25" customHeight="1">
      <c r="A62" s="2" t="s">
        <v>81</v>
      </c>
      <c r="B62" s="2" t="s">
        <v>30</v>
      </c>
      <c r="C62" s="2" t="s">
        <v>39</v>
      </c>
      <c r="D62" s="8" t="s">
        <v>590</v>
      </c>
      <c r="E62" s="6">
        <v>44945.0</v>
      </c>
      <c r="F62" s="6">
        <v>45037.0</v>
      </c>
      <c r="G62" s="7">
        <v>3.020860458E9</v>
      </c>
      <c r="H62" s="8" t="s">
        <v>581</v>
      </c>
      <c r="I62" s="2">
        <f t="shared" ref="I62:P62" si="65">IF(ISBLANK(A62)=TRUE,0,1)</f>
        <v>1</v>
      </c>
      <c r="J62" s="2">
        <f t="shared" si="65"/>
        <v>1</v>
      </c>
      <c r="K62" s="2">
        <f t="shared" si="65"/>
        <v>1</v>
      </c>
      <c r="L62" s="2">
        <f t="shared" si="65"/>
        <v>1</v>
      </c>
      <c r="M62" s="2">
        <f t="shared" si="65"/>
        <v>1</v>
      </c>
      <c r="N62" s="2">
        <f t="shared" si="65"/>
        <v>1</v>
      </c>
      <c r="O62" s="2">
        <f t="shared" si="65"/>
        <v>1</v>
      </c>
      <c r="P62" s="2">
        <f t="shared" si="65"/>
        <v>1</v>
      </c>
      <c r="Q62" s="2">
        <f t="shared" si="3"/>
        <v>1</v>
      </c>
      <c r="R62" s="2">
        <f>IF(ISERROR(VLOOKUP(A62, 'Project Reference'!A:A, 1, FALSE)), 0, 1)</f>
        <v>1</v>
      </c>
      <c r="S62" s="2">
        <f>IFERROR(__xludf.DUMMYFUNCTION("IF(AND(REGEXMATCH(D62, B62), REGEXMATCH(D62, C62)), 1, 0)
"),1.0)</f>
        <v>1</v>
      </c>
      <c r="T62" s="2">
        <f t="shared" si="4"/>
        <v>1</v>
      </c>
      <c r="U62" s="2">
        <f t="shared" si="5"/>
        <v>1</v>
      </c>
      <c r="V62" s="2">
        <f t="shared" si="6"/>
        <v>1</v>
      </c>
    </row>
    <row r="63" ht="14.25" customHeight="1">
      <c r="A63" s="2" t="s">
        <v>82</v>
      </c>
      <c r="B63" s="2" t="s">
        <v>35</v>
      </c>
      <c r="C63" s="2" t="s">
        <v>42</v>
      </c>
      <c r="D63" s="2" t="s">
        <v>69</v>
      </c>
      <c r="E63" s="6">
        <v>44946.0</v>
      </c>
      <c r="F63" s="6">
        <v>45105.0</v>
      </c>
      <c r="G63" s="7">
        <v>4.43234047E8</v>
      </c>
      <c r="H63" s="8" t="s">
        <v>573</v>
      </c>
      <c r="I63" s="2">
        <f t="shared" ref="I63:P63" si="66">IF(ISBLANK(A63)=TRUE,0,1)</f>
        <v>1</v>
      </c>
      <c r="J63" s="2">
        <f t="shared" si="66"/>
        <v>1</v>
      </c>
      <c r="K63" s="2">
        <f t="shared" si="66"/>
        <v>1</v>
      </c>
      <c r="L63" s="2">
        <f t="shared" si="66"/>
        <v>1</v>
      </c>
      <c r="M63" s="2">
        <f t="shared" si="66"/>
        <v>1</v>
      </c>
      <c r="N63" s="2">
        <f t="shared" si="66"/>
        <v>1</v>
      </c>
      <c r="O63" s="2">
        <f t="shared" si="66"/>
        <v>1</v>
      </c>
      <c r="P63" s="2">
        <f t="shared" si="66"/>
        <v>1</v>
      </c>
      <c r="Q63" s="2">
        <f t="shared" si="3"/>
        <v>1</v>
      </c>
      <c r="R63" s="2">
        <f>IF(ISERROR(VLOOKUP(A63, 'Project Reference'!A:A, 1, FALSE)), 0, 1)</f>
        <v>1</v>
      </c>
      <c r="S63" s="2">
        <f>IFERROR(__xludf.DUMMYFUNCTION("IF(AND(REGEXMATCH(D63, B63), REGEXMATCH(D63, C63)), 1, 0)
"),1.0)</f>
        <v>1</v>
      </c>
      <c r="T63" s="2">
        <f t="shared" si="4"/>
        <v>1</v>
      </c>
      <c r="U63" s="2">
        <f t="shared" si="5"/>
        <v>1</v>
      </c>
      <c r="V63" s="2">
        <f t="shared" si="6"/>
        <v>1</v>
      </c>
    </row>
    <row r="64" ht="14.25" customHeight="1">
      <c r="A64" s="2" t="s">
        <v>84</v>
      </c>
      <c r="B64" s="2" t="s">
        <v>60</v>
      </c>
      <c r="C64" s="2" t="s">
        <v>19</v>
      </c>
      <c r="D64" s="8" t="s">
        <v>616</v>
      </c>
      <c r="E64" s="6">
        <v>44947.0</v>
      </c>
      <c r="F64" s="6">
        <v>45177.0</v>
      </c>
      <c r="G64" s="7">
        <v>4.609627E9</v>
      </c>
      <c r="H64" s="2" t="s">
        <v>33</v>
      </c>
      <c r="I64" s="2">
        <f t="shared" ref="I64:P64" si="67">IF(ISBLANK(A64)=TRUE,0,1)</f>
        <v>1</v>
      </c>
      <c r="J64" s="2">
        <f t="shared" si="67"/>
        <v>1</v>
      </c>
      <c r="K64" s="2">
        <f t="shared" si="67"/>
        <v>1</v>
      </c>
      <c r="L64" s="2">
        <f t="shared" si="67"/>
        <v>1</v>
      </c>
      <c r="M64" s="2">
        <f t="shared" si="67"/>
        <v>1</v>
      </c>
      <c r="N64" s="2">
        <f t="shared" si="67"/>
        <v>1</v>
      </c>
      <c r="O64" s="2">
        <f t="shared" si="67"/>
        <v>1</v>
      </c>
      <c r="P64" s="2">
        <f t="shared" si="67"/>
        <v>1</v>
      </c>
      <c r="Q64" s="2">
        <f t="shared" si="3"/>
        <v>1</v>
      </c>
      <c r="R64" s="2">
        <f>IF(ISERROR(VLOOKUP(A64, 'Project Reference'!A:A, 1, FALSE)), 0, 1)</f>
        <v>1</v>
      </c>
      <c r="S64" s="2">
        <f>IFERROR(__xludf.DUMMYFUNCTION("IF(AND(REGEXMATCH(D64, B64), REGEXMATCH(D64, C64)), 1, 0)
"),1.0)</f>
        <v>1</v>
      </c>
      <c r="T64" s="2">
        <f t="shared" si="4"/>
        <v>1</v>
      </c>
      <c r="U64" s="2">
        <f t="shared" si="5"/>
        <v>1</v>
      </c>
      <c r="V64" s="2">
        <f t="shared" si="6"/>
        <v>1</v>
      </c>
    </row>
    <row r="65" ht="14.25" customHeight="1">
      <c r="A65" s="2" t="s">
        <v>86</v>
      </c>
      <c r="B65" s="2" t="s">
        <v>12</v>
      </c>
      <c r="C65" s="2" t="s">
        <v>36</v>
      </c>
      <c r="D65" s="8" t="s">
        <v>578</v>
      </c>
      <c r="E65" s="6">
        <v>44948.0</v>
      </c>
      <c r="F65" s="6">
        <v>45054.0</v>
      </c>
      <c r="G65" s="7">
        <v>9.95204213E8</v>
      </c>
      <c r="H65" s="8" t="s">
        <v>581</v>
      </c>
      <c r="I65" s="2">
        <f t="shared" ref="I65:P65" si="68">IF(ISBLANK(A65)=TRUE,0,1)</f>
        <v>1</v>
      </c>
      <c r="J65" s="2">
        <f t="shared" si="68"/>
        <v>1</v>
      </c>
      <c r="K65" s="2">
        <f t="shared" si="68"/>
        <v>1</v>
      </c>
      <c r="L65" s="2">
        <f t="shared" si="68"/>
        <v>1</v>
      </c>
      <c r="M65" s="2">
        <f t="shared" si="68"/>
        <v>1</v>
      </c>
      <c r="N65" s="2">
        <f t="shared" si="68"/>
        <v>1</v>
      </c>
      <c r="O65" s="2">
        <f t="shared" si="68"/>
        <v>1</v>
      </c>
      <c r="P65" s="2">
        <f t="shared" si="68"/>
        <v>1</v>
      </c>
      <c r="Q65" s="2">
        <f t="shared" si="3"/>
        <v>1</v>
      </c>
      <c r="R65" s="2">
        <f>IF(ISERROR(VLOOKUP(A65, 'Project Reference'!A:A, 1, FALSE)), 0, 1)</f>
        <v>1</v>
      </c>
      <c r="S65" s="2">
        <f>IFERROR(__xludf.DUMMYFUNCTION("IF(AND(REGEXMATCH(D65, B65), REGEXMATCH(D65, C65)), 1, 0)
"),1.0)</f>
        <v>1</v>
      </c>
      <c r="T65" s="2">
        <f t="shared" si="4"/>
        <v>1</v>
      </c>
      <c r="U65" s="2">
        <f t="shared" si="5"/>
        <v>1</v>
      </c>
      <c r="V65" s="2">
        <f t="shared" si="6"/>
        <v>1</v>
      </c>
    </row>
    <row r="66" ht="14.25" customHeight="1">
      <c r="A66" s="2" t="s">
        <v>88</v>
      </c>
      <c r="B66" s="2" t="s">
        <v>60</v>
      </c>
      <c r="C66" s="2" t="s">
        <v>42</v>
      </c>
      <c r="D66" s="8" t="s">
        <v>617</v>
      </c>
      <c r="E66" s="6">
        <v>44949.0</v>
      </c>
      <c r="F66" s="6">
        <v>45041.0</v>
      </c>
      <c r="G66" s="7">
        <v>3.867579335E9</v>
      </c>
      <c r="H66" s="2" t="s">
        <v>50</v>
      </c>
      <c r="I66" s="2">
        <f t="shared" ref="I66:P66" si="69">IF(ISBLANK(A66)=TRUE,0,1)</f>
        <v>1</v>
      </c>
      <c r="J66" s="2">
        <f t="shared" si="69"/>
        <v>1</v>
      </c>
      <c r="K66" s="2">
        <f t="shared" si="69"/>
        <v>1</v>
      </c>
      <c r="L66" s="2">
        <f t="shared" si="69"/>
        <v>1</v>
      </c>
      <c r="M66" s="2">
        <f t="shared" si="69"/>
        <v>1</v>
      </c>
      <c r="N66" s="2">
        <f t="shared" si="69"/>
        <v>1</v>
      </c>
      <c r="O66" s="2">
        <f t="shared" si="69"/>
        <v>1</v>
      </c>
      <c r="P66" s="2">
        <f t="shared" si="69"/>
        <v>1</v>
      </c>
      <c r="Q66" s="2">
        <f t="shared" si="3"/>
        <v>1</v>
      </c>
      <c r="R66" s="2">
        <f>IF(ISERROR(VLOOKUP(A66, 'Project Reference'!A:A, 1, FALSE)), 0, 1)</f>
        <v>1</v>
      </c>
      <c r="S66" s="2">
        <f>IFERROR(__xludf.DUMMYFUNCTION("IF(AND(REGEXMATCH(D66, B66), REGEXMATCH(D66, C66)), 1, 0)
"),1.0)</f>
        <v>1</v>
      </c>
      <c r="T66" s="2">
        <f t="shared" si="4"/>
        <v>1</v>
      </c>
      <c r="U66" s="2">
        <f t="shared" si="5"/>
        <v>1</v>
      </c>
      <c r="V66" s="2">
        <f t="shared" si="6"/>
        <v>1</v>
      </c>
    </row>
    <row r="67" ht="14.25" customHeight="1">
      <c r="A67" s="2" t="s">
        <v>89</v>
      </c>
      <c r="B67" s="2" t="s">
        <v>18</v>
      </c>
      <c r="C67" s="2" t="s">
        <v>24</v>
      </c>
      <c r="D67" s="8" t="s">
        <v>618</v>
      </c>
      <c r="E67" s="6">
        <v>44949.0</v>
      </c>
      <c r="F67" s="6">
        <v>44986.0</v>
      </c>
      <c r="G67" s="7">
        <v>8.428412586E9</v>
      </c>
      <c r="H67" s="8" t="s">
        <v>573</v>
      </c>
      <c r="I67" s="2">
        <f t="shared" ref="I67:P67" si="70">IF(ISBLANK(A67)=TRUE,0,1)</f>
        <v>1</v>
      </c>
      <c r="J67" s="2">
        <f t="shared" si="70"/>
        <v>1</v>
      </c>
      <c r="K67" s="2">
        <f t="shared" si="70"/>
        <v>1</v>
      </c>
      <c r="L67" s="2">
        <f t="shared" si="70"/>
        <v>1</v>
      </c>
      <c r="M67" s="2">
        <f t="shared" si="70"/>
        <v>1</v>
      </c>
      <c r="N67" s="2">
        <f t="shared" si="70"/>
        <v>1</v>
      </c>
      <c r="O67" s="2">
        <f t="shared" si="70"/>
        <v>1</v>
      </c>
      <c r="P67" s="2">
        <f t="shared" si="70"/>
        <v>1</v>
      </c>
      <c r="Q67" s="2">
        <f t="shared" si="3"/>
        <v>1</v>
      </c>
      <c r="R67" s="2">
        <f>IF(ISERROR(VLOOKUP(A67, 'Project Reference'!A:A, 1, FALSE)), 0, 1)</f>
        <v>1</v>
      </c>
      <c r="S67" s="2">
        <f>IFERROR(__xludf.DUMMYFUNCTION("IF(AND(REGEXMATCH(D67, B67), REGEXMATCH(D67, C67)), 1, 0)
"),1.0)</f>
        <v>1</v>
      </c>
      <c r="T67" s="2">
        <f t="shared" si="4"/>
        <v>1</v>
      </c>
      <c r="U67" s="2">
        <f t="shared" si="5"/>
        <v>1</v>
      </c>
      <c r="V67" s="2">
        <f t="shared" si="6"/>
        <v>1</v>
      </c>
    </row>
    <row r="68" ht="14.25" customHeight="1">
      <c r="A68" s="2" t="s">
        <v>90</v>
      </c>
      <c r="B68" s="2" t="s">
        <v>60</v>
      </c>
      <c r="C68" s="2" t="s">
        <v>13</v>
      </c>
      <c r="D68" s="8" t="s">
        <v>619</v>
      </c>
      <c r="E68" s="6">
        <v>44950.0</v>
      </c>
      <c r="F68" s="6">
        <v>45078.0</v>
      </c>
      <c r="G68" s="7">
        <v>2.004784321E9</v>
      </c>
      <c r="H68" s="2" t="s">
        <v>21</v>
      </c>
      <c r="I68" s="2">
        <f t="shared" ref="I68:P68" si="71">IF(ISBLANK(A68)=TRUE,0,1)</f>
        <v>1</v>
      </c>
      <c r="J68" s="2">
        <f t="shared" si="71"/>
        <v>1</v>
      </c>
      <c r="K68" s="2">
        <f t="shared" si="71"/>
        <v>1</v>
      </c>
      <c r="L68" s="2">
        <f t="shared" si="71"/>
        <v>1</v>
      </c>
      <c r="M68" s="2">
        <f t="shared" si="71"/>
        <v>1</v>
      </c>
      <c r="N68" s="2">
        <f t="shared" si="71"/>
        <v>1</v>
      </c>
      <c r="O68" s="2">
        <f t="shared" si="71"/>
        <v>1</v>
      </c>
      <c r="P68" s="2">
        <f t="shared" si="71"/>
        <v>1</v>
      </c>
      <c r="Q68" s="2">
        <f t="shared" si="3"/>
        <v>1</v>
      </c>
      <c r="R68" s="2">
        <f>IF(ISERROR(VLOOKUP(A68, 'Project Reference'!A:A, 1, FALSE)), 0, 1)</f>
        <v>1</v>
      </c>
      <c r="S68" s="2">
        <f>IFERROR(__xludf.DUMMYFUNCTION("IF(AND(REGEXMATCH(D68, B68), REGEXMATCH(D68, C68)), 1, 0)
"),1.0)</f>
        <v>1</v>
      </c>
      <c r="T68" s="2">
        <f t="shared" si="4"/>
        <v>1</v>
      </c>
      <c r="U68" s="2">
        <f t="shared" si="5"/>
        <v>1</v>
      </c>
      <c r="V68" s="2">
        <f t="shared" si="6"/>
        <v>1</v>
      </c>
    </row>
    <row r="69" ht="14.25" customHeight="1">
      <c r="A69" s="2" t="s">
        <v>92</v>
      </c>
      <c r="B69" s="2" t="s">
        <v>30</v>
      </c>
      <c r="C69" s="2" t="s">
        <v>48</v>
      </c>
      <c r="D69" s="8" t="s">
        <v>620</v>
      </c>
      <c r="E69" s="6">
        <v>44950.0</v>
      </c>
      <c r="F69" s="6">
        <v>45023.0</v>
      </c>
      <c r="G69" s="7">
        <v>2.364631347E9</v>
      </c>
      <c r="H69" s="2" t="s">
        <v>44</v>
      </c>
      <c r="I69" s="2">
        <f t="shared" ref="I69:P69" si="72">IF(ISBLANK(A69)=TRUE,0,1)</f>
        <v>1</v>
      </c>
      <c r="J69" s="2">
        <f t="shared" si="72"/>
        <v>1</v>
      </c>
      <c r="K69" s="2">
        <f t="shared" si="72"/>
        <v>1</v>
      </c>
      <c r="L69" s="2">
        <f t="shared" si="72"/>
        <v>1</v>
      </c>
      <c r="M69" s="2">
        <f t="shared" si="72"/>
        <v>1</v>
      </c>
      <c r="N69" s="2">
        <f t="shared" si="72"/>
        <v>1</v>
      </c>
      <c r="O69" s="2">
        <f t="shared" si="72"/>
        <v>1</v>
      </c>
      <c r="P69" s="2">
        <f t="shared" si="72"/>
        <v>1</v>
      </c>
      <c r="Q69" s="2">
        <f t="shared" si="3"/>
        <v>1</v>
      </c>
      <c r="R69" s="2">
        <f>IF(ISERROR(VLOOKUP(A69, 'Project Reference'!A:A, 1, FALSE)), 0, 1)</f>
        <v>1</v>
      </c>
      <c r="S69" s="2">
        <f>IFERROR(__xludf.DUMMYFUNCTION("IF(AND(REGEXMATCH(D69, B69), REGEXMATCH(D69, C69)), 1, 0)
"),1.0)</f>
        <v>1</v>
      </c>
      <c r="T69" s="2">
        <f t="shared" si="4"/>
        <v>1</v>
      </c>
      <c r="U69" s="2">
        <f t="shared" si="5"/>
        <v>1</v>
      </c>
      <c r="V69" s="2">
        <f t="shared" si="6"/>
        <v>1</v>
      </c>
    </row>
    <row r="70" ht="14.25" customHeight="1">
      <c r="A70" s="2" t="s">
        <v>94</v>
      </c>
      <c r="B70" s="2" t="s">
        <v>30</v>
      </c>
      <c r="C70" s="2" t="s">
        <v>31</v>
      </c>
      <c r="D70" s="8" t="s">
        <v>585</v>
      </c>
      <c r="E70" s="6">
        <v>44951.0</v>
      </c>
      <c r="F70" s="6">
        <v>45187.0</v>
      </c>
      <c r="G70" s="7">
        <v>7.177546505E9</v>
      </c>
      <c r="H70" s="2" t="s">
        <v>21</v>
      </c>
      <c r="I70" s="2">
        <f t="shared" ref="I70:P70" si="73">IF(ISBLANK(A70)=TRUE,0,1)</f>
        <v>1</v>
      </c>
      <c r="J70" s="2">
        <f t="shared" si="73"/>
        <v>1</v>
      </c>
      <c r="K70" s="2">
        <f t="shared" si="73"/>
        <v>1</v>
      </c>
      <c r="L70" s="2">
        <f t="shared" si="73"/>
        <v>1</v>
      </c>
      <c r="M70" s="2">
        <f t="shared" si="73"/>
        <v>1</v>
      </c>
      <c r="N70" s="2">
        <f t="shared" si="73"/>
        <v>1</v>
      </c>
      <c r="O70" s="2">
        <f t="shared" si="73"/>
        <v>1</v>
      </c>
      <c r="P70" s="2">
        <f t="shared" si="73"/>
        <v>1</v>
      </c>
      <c r="Q70" s="2">
        <f t="shared" si="3"/>
        <v>1</v>
      </c>
      <c r="R70" s="2">
        <f>IF(ISERROR(VLOOKUP(A70, 'Project Reference'!A:A, 1, FALSE)), 0, 1)</f>
        <v>1</v>
      </c>
      <c r="S70" s="2">
        <f>IFERROR(__xludf.DUMMYFUNCTION("IF(AND(REGEXMATCH(D70, B70), REGEXMATCH(D70, C70)), 1, 0)
"),1.0)</f>
        <v>1</v>
      </c>
      <c r="T70" s="2">
        <f t="shared" si="4"/>
        <v>1</v>
      </c>
      <c r="U70" s="2">
        <f t="shared" si="5"/>
        <v>1</v>
      </c>
      <c r="V70" s="2">
        <f t="shared" si="6"/>
        <v>1</v>
      </c>
    </row>
    <row r="71" ht="14.25" customHeight="1">
      <c r="A71" s="2" t="s">
        <v>96</v>
      </c>
      <c r="B71" s="2" t="s">
        <v>35</v>
      </c>
      <c r="C71" s="2" t="s">
        <v>31</v>
      </c>
      <c r="D71" s="2" t="s">
        <v>91</v>
      </c>
      <c r="E71" s="6">
        <v>44951.0</v>
      </c>
      <c r="F71" s="6">
        <v>45262.0</v>
      </c>
      <c r="G71" s="7">
        <v>4.20827734E8</v>
      </c>
      <c r="H71" s="2" t="s">
        <v>67</v>
      </c>
      <c r="I71" s="2">
        <f t="shared" ref="I71:P71" si="74">IF(ISBLANK(A71)=TRUE,0,1)</f>
        <v>1</v>
      </c>
      <c r="J71" s="2">
        <f t="shared" si="74"/>
        <v>1</v>
      </c>
      <c r="K71" s="2">
        <f t="shared" si="74"/>
        <v>1</v>
      </c>
      <c r="L71" s="2">
        <f t="shared" si="74"/>
        <v>1</v>
      </c>
      <c r="M71" s="2">
        <f t="shared" si="74"/>
        <v>1</v>
      </c>
      <c r="N71" s="2">
        <f t="shared" si="74"/>
        <v>1</v>
      </c>
      <c r="O71" s="2">
        <f t="shared" si="74"/>
        <v>1</v>
      </c>
      <c r="P71" s="2">
        <f t="shared" si="74"/>
        <v>1</v>
      </c>
      <c r="Q71" s="2">
        <f t="shared" si="3"/>
        <v>1</v>
      </c>
      <c r="R71" s="2">
        <f>IF(ISERROR(VLOOKUP(A71, 'Project Reference'!A:A, 1, FALSE)), 0, 1)</f>
        <v>1</v>
      </c>
      <c r="S71" s="2">
        <f>IFERROR(__xludf.DUMMYFUNCTION("IF(AND(REGEXMATCH(D71, B71), REGEXMATCH(D71, C71)), 1, 0)
"),1.0)</f>
        <v>1</v>
      </c>
      <c r="T71" s="2">
        <f t="shared" si="4"/>
        <v>1</v>
      </c>
      <c r="U71" s="2">
        <f t="shared" si="5"/>
        <v>1</v>
      </c>
      <c r="V71" s="2">
        <f t="shared" si="6"/>
        <v>1</v>
      </c>
    </row>
    <row r="72" ht="14.25" customHeight="1">
      <c r="A72" s="2" t="s">
        <v>98</v>
      </c>
      <c r="B72" s="2" t="s">
        <v>35</v>
      </c>
      <c r="C72" s="2" t="s">
        <v>13</v>
      </c>
      <c r="D72" s="2" t="s">
        <v>78</v>
      </c>
      <c r="E72" s="6">
        <v>44954.0</v>
      </c>
      <c r="F72" s="6">
        <v>45186.0</v>
      </c>
      <c r="G72" s="7">
        <v>3.8226621E8</v>
      </c>
      <c r="H72" s="22"/>
      <c r="I72" s="2">
        <f t="shared" ref="I72:P72" si="75">IF(ISBLANK(A72)=TRUE,0,1)</f>
        <v>1</v>
      </c>
      <c r="J72" s="2">
        <f t="shared" si="75"/>
        <v>1</v>
      </c>
      <c r="K72" s="2">
        <f t="shared" si="75"/>
        <v>1</v>
      </c>
      <c r="L72" s="2">
        <f t="shared" si="75"/>
        <v>1</v>
      </c>
      <c r="M72" s="2">
        <f t="shared" si="75"/>
        <v>1</v>
      </c>
      <c r="N72" s="2">
        <f t="shared" si="75"/>
        <v>1</v>
      </c>
      <c r="O72" s="2">
        <f t="shared" si="75"/>
        <v>1</v>
      </c>
      <c r="P72" s="2">
        <f t="shared" si="75"/>
        <v>0</v>
      </c>
      <c r="Q72" s="2">
        <f t="shared" si="3"/>
        <v>1</v>
      </c>
      <c r="R72" s="2">
        <f>IF(ISERROR(VLOOKUP(A72, 'Project Reference'!A:A, 1, FALSE)), 0, 1)</f>
        <v>1</v>
      </c>
      <c r="S72" s="2">
        <f>IFERROR(__xludf.DUMMYFUNCTION("IF(AND(REGEXMATCH(D72, B72), REGEXMATCH(D72, C72)), 1, 0)
"),1.0)</f>
        <v>1</v>
      </c>
      <c r="T72" s="2">
        <f t="shared" si="4"/>
        <v>1</v>
      </c>
      <c r="U72" s="2">
        <f t="shared" si="5"/>
        <v>1</v>
      </c>
      <c r="V72" s="2">
        <f t="shared" si="6"/>
        <v>1</v>
      </c>
    </row>
    <row r="73" ht="14.25" customHeight="1">
      <c r="A73" s="2" t="s">
        <v>99</v>
      </c>
      <c r="B73" s="2" t="s">
        <v>60</v>
      </c>
      <c r="C73" s="2" t="s">
        <v>31</v>
      </c>
      <c r="D73" s="8" t="s">
        <v>599</v>
      </c>
      <c r="E73" s="6">
        <v>44954.0</v>
      </c>
      <c r="F73" s="6">
        <v>45220.0</v>
      </c>
      <c r="G73" s="7">
        <v>1.545241955E9</v>
      </c>
      <c r="H73" s="2" t="s">
        <v>44</v>
      </c>
      <c r="I73" s="2">
        <f t="shared" ref="I73:P73" si="76">IF(ISBLANK(A73)=TRUE,0,1)</f>
        <v>1</v>
      </c>
      <c r="J73" s="2">
        <f t="shared" si="76"/>
        <v>1</v>
      </c>
      <c r="K73" s="2">
        <f t="shared" si="76"/>
        <v>1</v>
      </c>
      <c r="L73" s="2">
        <f t="shared" si="76"/>
        <v>1</v>
      </c>
      <c r="M73" s="2">
        <f t="shared" si="76"/>
        <v>1</v>
      </c>
      <c r="N73" s="2">
        <f t="shared" si="76"/>
        <v>1</v>
      </c>
      <c r="O73" s="2">
        <f t="shared" si="76"/>
        <v>1</v>
      </c>
      <c r="P73" s="2">
        <f t="shared" si="76"/>
        <v>1</v>
      </c>
      <c r="Q73" s="2">
        <f t="shared" si="3"/>
        <v>1</v>
      </c>
      <c r="R73" s="2">
        <f>IF(ISERROR(VLOOKUP(A73, 'Project Reference'!A:A, 1, FALSE)), 0, 1)</f>
        <v>1</v>
      </c>
      <c r="S73" s="2">
        <f>IFERROR(__xludf.DUMMYFUNCTION("IF(AND(REGEXMATCH(D73, B73), REGEXMATCH(D73, C73)), 1, 0)
"),1.0)</f>
        <v>1</v>
      </c>
      <c r="T73" s="2">
        <f t="shared" si="4"/>
        <v>1</v>
      </c>
      <c r="U73" s="2">
        <f t="shared" si="5"/>
        <v>1</v>
      </c>
      <c r="V73" s="2">
        <f t="shared" si="6"/>
        <v>1</v>
      </c>
    </row>
    <row r="74" ht="14.25" customHeight="1">
      <c r="A74" s="2" t="s">
        <v>100</v>
      </c>
      <c r="B74" s="2" t="s">
        <v>18</v>
      </c>
      <c r="C74" s="2" t="s">
        <v>42</v>
      </c>
      <c r="D74" s="8" t="s">
        <v>621</v>
      </c>
      <c r="E74" s="6">
        <v>44954.0</v>
      </c>
      <c r="F74" s="6">
        <v>45158.0</v>
      </c>
      <c r="G74" s="7">
        <v>6.831252497E9</v>
      </c>
      <c r="H74" s="2" t="s">
        <v>21</v>
      </c>
      <c r="I74" s="2">
        <f t="shared" ref="I74:P74" si="77">IF(ISBLANK(A74)=TRUE,0,1)</f>
        <v>1</v>
      </c>
      <c r="J74" s="2">
        <f t="shared" si="77"/>
        <v>1</v>
      </c>
      <c r="K74" s="2">
        <f t="shared" si="77"/>
        <v>1</v>
      </c>
      <c r="L74" s="2">
        <f t="shared" si="77"/>
        <v>1</v>
      </c>
      <c r="M74" s="2">
        <f t="shared" si="77"/>
        <v>1</v>
      </c>
      <c r="N74" s="2">
        <f t="shared" si="77"/>
        <v>1</v>
      </c>
      <c r="O74" s="2">
        <f t="shared" si="77"/>
        <v>1</v>
      </c>
      <c r="P74" s="2">
        <f t="shared" si="77"/>
        <v>1</v>
      </c>
      <c r="Q74" s="2">
        <f t="shared" si="3"/>
        <v>1</v>
      </c>
      <c r="R74" s="2">
        <f>IF(ISERROR(VLOOKUP(A74, 'Project Reference'!A:A, 1, FALSE)), 0, 1)</f>
        <v>1</v>
      </c>
      <c r="S74" s="2">
        <f>IFERROR(__xludf.DUMMYFUNCTION("IF(AND(REGEXMATCH(D74, B74), REGEXMATCH(D74, C74)), 1, 0)
"),1.0)</f>
        <v>1</v>
      </c>
      <c r="T74" s="2">
        <f t="shared" si="4"/>
        <v>1</v>
      </c>
      <c r="U74" s="2">
        <f t="shared" si="5"/>
        <v>1</v>
      </c>
      <c r="V74" s="2">
        <f t="shared" si="6"/>
        <v>1</v>
      </c>
    </row>
    <row r="75" ht="14.25" customHeight="1">
      <c r="A75" s="2" t="s">
        <v>102</v>
      </c>
      <c r="B75" s="2" t="s">
        <v>30</v>
      </c>
      <c r="C75" s="2" t="s">
        <v>31</v>
      </c>
      <c r="D75" s="8" t="s">
        <v>585</v>
      </c>
      <c r="E75" s="6">
        <v>44955.0</v>
      </c>
      <c r="F75" s="6">
        <v>45116.0</v>
      </c>
      <c r="G75" s="7">
        <v>3.703277131E9</v>
      </c>
      <c r="H75" s="22"/>
      <c r="I75" s="2">
        <f t="shared" ref="I75:P75" si="78">IF(ISBLANK(A75)=TRUE,0,1)</f>
        <v>1</v>
      </c>
      <c r="J75" s="2">
        <f t="shared" si="78"/>
        <v>1</v>
      </c>
      <c r="K75" s="2">
        <f t="shared" si="78"/>
        <v>1</v>
      </c>
      <c r="L75" s="2">
        <f t="shared" si="78"/>
        <v>1</v>
      </c>
      <c r="M75" s="2">
        <f t="shared" si="78"/>
        <v>1</v>
      </c>
      <c r="N75" s="2">
        <f t="shared" si="78"/>
        <v>1</v>
      </c>
      <c r="O75" s="2">
        <f t="shared" si="78"/>
        <v>1</v>
      </c>
      <c r="P75" s="2">
        <f t="shared" si="78"/>
        <v>0</v>
      </c>
      <c r="Q75" s="2">
        <f t="shared" si="3"/>
        <v>1</v>
      </c>
      <c r="R75" s="2">
        <f>IF(ISERROR(VLOOKUP(A75, 'Project Reference'!A:A, 1, FALSE)), 0, 1)</f>
        <v>1</v>
      </c>
      <c r="S75" s="2">
        <f>IFERROR(__xludf.DUMMYFUNCTION("IF(AND(REGEXMATCH(D75, B75), REGEXMATCH(D75, C75)), 1, 0)
"),1.0)</f>
        <v>1</v>
      </c>
      <c r="T75" s="2">
        <f t="shared" si="4"/>
        <v>1</v>
      </c>
      <c r="U75" s="2">
        <f t="shared" si="5"/>
        <v>1</v>
      </c>
      <c r="V75" s="2">
        <f t="shared" si="6"/>
        <v>1</v>
      </c>
    </row>
    <row r="76" ht="14.25" customHeight="1">
      <c r="A76" s="2" t="s">
        <v>103</v>
      </c>
      <c r="B76" s="2" t="s">
        <v>60</v>
      </c>
      <c r="C76" s="2" t="s">
        <v>48</v>
      </c>
      <c r="D76" s="8" t="s">
        <v>622</v>
      </c>
      <c r="E76" s="6">
        <v>44958.0</v>
      </c>
      <c r="F76" s="6">
        <v>45158.0</v>
      </c>
      <c r="G76" s="7">
        <v>3.6783916E9</v>
      </c>
      <c r="H76" s="2" t="s">
        <v>67</v>
      </c>
      <c r="I76" s="2">
        <f t="shared" ref="I76:P76" si="79">IF(ISBLANK(A76)=TRUE,0,1)</f>
        <v>1</v>
      </c>
      <c r="J76" s="2">
        <f t="shared" si="79"/>
        <v>1</v>
      </c>
      <c r="K76" s="2">
        <f t="shared" si="79"/>
        <v>1</v>
      </c>
      <c r="L76" s="2">
        <f t="shared" si="79"/>
        <v>1</v>
      </c>
      <c r="M76" s="2">
        <f t="shared" si="79"/>
        <v>1</v>
      </c>
      <c r="N76" s="2">
        <f t="shared" si="79"/>
        <v>1</v>
      </c>
      <c r="O76" s="2">
        <f t="shared" si="79"/>
        <v>1</v>
      </c>
      <c r="P76" s="2">
        <f t="shared" si="79"/>
        <v>1</v>
      </c>
      <c r="Q76" s="2">
        <f t="shared" si="3"/>
        <v>1</v>
      </c>
      <c r="R76" s="2">
        <f>IF(ISERROR(VLOOKUP(A76, 'Project Reference'!A:A, 1, FALSE)), 0, 1)</f>
        <v>1</v>
      </c>
      <c r="S76" s="2">
        <f>IFERROR(__xludf.DUMMYFUNCTION("IF(AND(REGEXMATCH(D76, B76), REGEXMATCH(D76, C76)), 1, 0)
"),1.0)</f>
        <v>1</v>
      </c>
      <c r="T76" s="2">
        <f t="shared" si="4"/>
        <v>1</v>
      </c>
      <c r="U76" s="2">
        <f t="shared" si="5"/>
        <v>1</v>
      </c>
      <c r="V76" s="2">
        <f t="shared" si="6"/>
        <v>1</v>
      </c>
    </row>
    <row r="77" ht="14.25" customHeight="1">
      <c r="A77" s="2" t="s">
        <v>104</v>
      </c>
      <c r="B77" s="2" t="s">
        <v>12</v>
      </c>
      <c r="C77" s="2" t="s">
        <v>36</v>
      </c>
      <c r="D77" s="8" t="s">
        <v>578</v>
      </c>
      <c r="E77" s="6">
        <v>44959.0</v>
      </c>
      <c r="F77" s="6">
        <v>45258.0</v>
      </c>
      <c r="G77" s="7">
        <v>8.88014731E8</v>
      </c>
      <c r="H77" s="2" t="s">
        <v>67</v>
      </c>
      <c r="I77" s="2">
        <f t="shared" ref="I77:P77" si="80">IF(ISBLANK(A77)=TRUE,0,1)</f>
        <v>1</v>
      </c>
      <c r="J77" s="2">
        <f t="shared" si="80"/>
        <v>1</v>
      </c>
      <c r="K77" s="2">
        <f t="shared" si="80"/>
        <v>1</v>
      </c>
      <c r="L77" s="2">
        <f t="shared" si="80"/>
        <v>1</v>
      </c>
      <c r="M77" s="2">
        <f t="shared" si="80"/>
        <v>1</v>
      </c>
      <c r="N77" s="2">
        <f t="shared" si="80"/>
        <v>1</v>
      </c>
      <c r="O77" s="2">
        <f t="shared" si="80"/>
        <v>1</v>
      </c>
      <c r="P77" s="2">
        <f t="shared" si="80"/>
        <v>1</v>
      </c>
      <c r="Q77" s="2">
        <f t="shared" si="3"/>
        <v>1</v>
      </c>
      <c r="R77" s="2">
        <f>IF(ISERROR(VLOOKUP(A77, 'Project Reference'!A:A, 1, FALSE)), 0, 1)</f>
        <v>1</v>
      </c>
      <c r="S77" s="2">
        <f>IFERROR(__xludf.DUMMYFUNCTION("IF(AND(REGEXMATCH(D77, B77), REGEXMATCH(D77, C77)), 1, 0)
"),1.0)</f>
        <v>1</v>
      </c>
      <c r="T77" s="2">
        <f t="shared" si="4"/>
        <v>1</v>
      </c>
      <c r="U77" s="2">
        <f t="shared" si="5"/>
        <v>1</v>
      </c>
      <c r="V77" s="2">
        <f t="shared" si="6"/>
        <v>1</v>
      </c>
    </row>
    <row r="78" ht="14.25" customHeight="1">
      <c r="A78" s="2" t="s">
        <v>105</v>
      </c>
      <c r="B78" s="2" t="s">
        <v>12</v>
      </c>
      <c r="C78" s="2" t="s">
        <v>39</v>
      </c>
      <c r="D78" s="8" t="s">
        <v>591</v>
      </c>
      <c r="E78" s="6">
        <v>44959.0</v>
      </c>
      <c r="F78" s="6">
        <v>45150.0</v>
      </c>
      <c r="G78" s="7">
        <v>5.9362902E8</v>
      </c>
      <c r="H78" s="2" t="s">
        <v>50</v>
      </c>
      <c r="I78" s="2">
        <f t="shared" ref="I78:P78" si="81">IF(ISBLANK(A78)=TRUE,0,1)</f>
        <v>1</v>
      </c>
      <c r="J78" s="2">
        <f t="shared" si="81"/>
        <v>1</v>
      </c>
      <c r="K78" s="2">
        <f t="shared" si="81"/>
        <v>1</v>
      </c>
      <c r="L78" s="2">
        <f t="shared" si="81"/>
        <v>1</v>
      </c>
      <c r="M78" s="2">
        <f t="shared" si="81"/>
        <v>1</v>
      </c>
      <c r="N78" s="2">
        <f t="shared" si="81"/>
        <v>1</v>
      </c>
      <c r="O78" s="2">
        <f t="shared" si="81"/>
        <v>1</v>
      </c>
      <c r="P78" s="2">
        <f t="shared" si="81"/>
        <v>1</v>
      </c>
      <c r="Q78" s="2">
        <f t="shared" si="3"/>
        <v>1</v>
      </c>
      <c r="R78" s="2">
        <f>IF(ISERROR(VLOOKUP(A78, 'Project Reference'!A:A, 1, FALSE)), 0, 1)</f>
        <v>1</v>
      </c>
      <c r="S78" s="2">
        <f>IFERROR(__xludf.DUMMYFUNCTION("IF(AND(REGEXMATCH(D78, B78), REGEXMATCH(D78, C78)), 1, 0)
"),1.0)</f>
        <v>1</v>
      </c>
      <c r="T78" s="2">
        <f t="shared" si="4"/>
        <v>1</v>
      </c>
      <c r="U78" s="2">
        <f t="shared" si="5"/>
        <v>1</v>
      </c>
      <c r="V78" s="2">
        <f t="shared" si="6"/>
        <v>1</v>
      </c>
    </row>
    <row r="79" ht="14.25" customHeight="1">
      <c r="A79" s="2" t="s">
        <v>106</v>
      </c>
      <c r="B79" s="2" t="s">
        <v>30</v>
      </c>
      <c r="C79" s="2" t="s">
        <v>19</v>
      </c>
      <c r="D79" s="8" t="s">
        <v>623</v>
      </c>
      <c r="E79" s="6">
        <v>44959.0</v>
      </c>
      <c r="F79" s="6">
        <v>45167.0</v>
      </c>
      <c r="G79" s="7">
        <v>5.835541492E9</v>
      </c>
      <c r="H79" s="22"/>
      <c r="I79" s="2">
        <f t="shared" ref="I79:P79" si="82">IF(ISBLANK(A79)=TRUE,0,1)</f>
        <v>1</v>
      </c>
      <c r="J79" s="2">
        <f t="shared" si="82"/>
        <v>1</v>
      </c>
      <c r="K79" s="2">
        <f t="shared" si="82"/>
        <v>1</v>
      </c>
      <c r="L79" s="2">
        <f t="shared" si="82"/>
        <v>1</v>
      </c>
      <c r="M79" s="2">
        <f t="shared" si="82"/>
        <v>1</v>
      </c>
      <c r="N79" s="2">
        <f t="shared" si="82"/>
        <v>1</v>
      </c>
      <c r="O79" s="2">
        <f t="shared" si="82"/>
        <v>1</v>
      </c>
      <c r="P79" s="2">
        <f t="shared" si="82"/>
        <v>0</v>
      </c>
      <c r="Q79" s="2">
        <f t="shared" si="3"/>
        <v>1</v>
      </c>
      <c r="R79" s="2">
        <f>IF(ISERROR(VLOOKUP(A79, 'Project Reference'!A:A, 1, FALSE)), 0, 1)</f>
        <v>1</v>
      </c>
      <c r="S79" s="2">
        <f>IFERROR(__xludf.DUMMYFUNCTION("IF(AND(REGEXMATCH(D79, B79), REGEXMATCH(D79, C79)), 1, 0)
"),1.0)</f>
        <v>1</v>
      </c>
      <c r="T79" s="2">
        <f t="shared" si="4"/>
        <v>1</v>
      </c>
      <c r="U79" s="2">
        <f t="shared" si="5"/>
        <v>1</v>
      </c>
      <c r="V79" s="2">
        <f t="shared" si="6"/>
        <v>1</v>
      </c>
    </row>
    <row r="80" ht="14.25" customHeight="1">
      <c r="A80" s="2" t="s">
        <v>107</v>
      </c>
      <c r="B80" s="2" t="s">
        <v>35</v>
      </c>
      <c r="C80" s="2" t="s">
        <v>36</v>
      </c>
      <c r="D80" s="2" t="s">
        <v>37</v>
      </c>
      <c r="E80" s="6">
        <v>44960.0</v>
      </c>
      <c r="F80" s="6">
        <v>45303.0</v>
      </c>
      <c r="G80" s="7">
        <v>2.1345744E8</v>
      </c>
      <c r="H80" s="2" t="s">
        <v>21</v>
      </c>
      <c r="I80" s="2">
        <f t="shared" ref="I80:P80" si="83">IF(ISBLANK(A80)=TRUE,0,1)</f>
        <v>1</v>
      </c>
      <c r="J80" s="2">
        <f t="shared" si="83"/>
        <v>1</v>
      </c>
      <c r="K80" s="2">
        <f t="shared" si="83"/>
        <v>1</v>
      </c>
      <c r="L80" s="2">
        <f t="shared" si="83"/>
        <v>1</v>
      </c>
      <c r="M80" s="2">
        <f t="shared" si="83"/>
        <v>1</v>
      </c>
      <c r="N80" s="2">
        <f t="shared" si="83"/>
        <v>1</v>
      </c>
      <c r="O80" s="2">
        <f t="shared" si="83"/>
        <v>1</v>
      </c>
      <c r="P80" s="2">
        <f t="shared" si="83"/>
        <v>1</v>
      </c>
      <c r="Q80" s="2">
        <f t="shared" si="3"/>
        <v>1</v>
      </c>
      <c r="R80" s="2">
        <f>IF(ISERROR(VLOOKUP(A80, 'Project Reference'!A:A, 1, FALSE)), 0, 1)</f>
        <v>1</v>
      </c>
      <c r="S80" s="2">
        <f>IFERROR(__xludf.DUMMYFUNCTION("IF(AND(REGEXMATCH(D80, B80), REGEXMATCH(D80, C80)), 1, 0)
"),1.0)</f>
        <v>1</v>
      </c>
      <c r="T80" s="2">
        <f t="shared" si="4"/>
        <v>1</v>
      </c>
      <c r="U80" s="2">
        <f t="shared" si="5"/>
        <v>1</v>
      </c>
      <c r="V80" s="2">
        <f t="shared" si="6"/>
        <v>1</v>
      </c>
    </row>
    <row r="81" ht="14.25" customHeight="1">
      <c r="A81" s="2" t="s">
        <v>108</v>
      </c>
      <c r="B81" s="2" t="s">
        <v>35</v>
      </c>
      <c r="C81" s="2" t="s">
        <v>39</v>
      </c>
      <c r="D81" s="2" t="s">
        <v>145</v>
      </c>
      <c r="E81" s="6">
        <v>44961.0</v>
      </c>
      <c r="F81" s="6">
        <v>45065.0</v>
      </c>
      <c r="G81" s="7">
        <v>3.27569561E8</v>
      </c>
      <c r="H81" s="2" t="s">
        <v>21</v>
      </c>
      <c r="I81" s="2">
        <f t="shared" ref="I81:P81" si="84">IF(ISBLANK(A81)=TRUE,0,1)</f>
        <v>1</v>
      </c>
      <c r="J81" s="2">
        <f t="shared" si="84"/>
        <v>1</v>
      </c>
      <c r="K81" s="2">
        <f t="shared" si="84"/>
        <v>1</v>
      </c>
      <c r="L81" s="2">
        <f t="shared" si="84"/>
        <v>1</v>
      </c>
      <c r="M81" s="2">
        <f t="shared" si="84"/>
        <v>1</v>
      </c>
      <c r="N81" s="2">
        <f t="shared" si="84"/>
        <v>1</v>
      </c>
      <c r="O81" s="2">
        <f t="shared" si="84"/>
        <v>1</v>
      </c>
      <c r="P81" s="2">
        <f t="shared" si="84"/>
        <v>1</v>
      </c>
      <c r="Q81" s="2">
        <f t="shared" si="3"/>
        <v>1</v>
      </c>
      <c r="R81" s="2">
        <f>IF(ISERROR(VLOOKUP(A81, 'Project Reference'!A:A, 1, FALSE)), 0, 1)</f>
        <v>1</v>
      </c>
      <c r="S81" s="2">
        <f>IFERROR(__xludf.DUMMYFUNCTION("IF(AND(REGEXMATCH(D81, B81), REGEXMATCH(D81, C81)), 1, 0)
"),1.0)</f>
        <v>1</v>
      </c>
      <c r="T81" s="2">
        <f t="shared" si="4"/>
        <v>1</v>
      </c>
      <c r="U81" s="2">
        <f t="shared" si="5"/>
        <v>1</v>
      </c>
      <c r="V81" s="2">
        <f t="shared" si="6"/>
        <v>1</v>
      </c>
    </row>
    <row r="82" ht="14.25" customHeight="1">
      <c r="A82" s="2" t="s">
        <v>109</v>
      </c>
      <c r="B82" s="2" t="s">
        <v>35</v>
      </c>
      <c r="C82" s="2" t="s">
        <v>39</v>
      </c>
      <c r="D82" s="2" t="s">
        <v>145</v>
      </c>
      <c r="E82" s="6">
        <v>44961.0</v>
      </c>
      <c r="F82" s="6">
        <v>45078.0</v>
      </c>
      <c r="G82" s="7">
        <v>7.05483967E8</v>
      </c>
      <c r="H82" s="2" t="s">
        <v>44</v>
      </c>
      <c r="I82" s="2">
        <f t="shared" ref="I82:P82" si="85">IF(ISBLANK(A82)=TRUE,0,1)</f>
        <v>1</v>
      </c>
      <c r="J82" s="2">
        <f t="shared" si="85"/>
        <v>1</v>
      </c>
      <c r="K82" s="2">
        <f t="shared" si="85"/>
        <v>1</v>
      </c>
      <c r="L82" s="2">
        <f t="shared" si="85"/>
        <v>1</v>
      </c>
      <c r="M82" s="2">
        <f t="shared" si="85"/>
        <v>1</v>
      </c>
      <c r="N82" s="2">
        <f t="shared" si="85"/>
        <v>1</v>
      </c>
      <c r="O82" s="2">
        <f t="shared" si="85"/>
        <v>1</v>
      </c>
      <c r="P82" s="2">
        <f t="shared" si="85"/>
        <v>1</v>
      </c>
      <c r="Q82" s="2">
        <f t="shared" si="3"/>
        <v>1</v>
      </c>
      <c r="R82" s="2">
        <f>IF(ISERROR(VLOOKUP(A82, 'Project Reference'!A:A, 1, FALSE)), 0, 1)</f>
        <v>1</v>
      </c>
      <c r="S82" s="2">
        <f>IFERROR(__xludf.DUMMYFUNCTION("IF(AND(REGEXMATCH(D82, B82), REGEXMATCH(D82, C82)), 1, 0)
"),1.0)</f>
        <v>1</v>
      </c>
      <c r="T82" s="2">
        <f t="shared" si="4"/>
        <v>1</v>
      </c>
      <c r="U82" s="2">
        <f t="shared" si="5"/>
        <v>1</v>
      </c>
      <c r="V82" s="2">
        <f t="shared" si="6"/>
        <v>1</v>
      </c>
    </row>
    <row r="83" ht="14.25" customHeight="1">
      <c r="A83" s="2" t="s">
        <v>110</v>
      </c>
      <c r="B83" s="2" t="s">
        <v>30</v>
      </c>
      <c r="C83" s="2" t="s">
        <v>19</v>
      </c>
      <c r="D83" s="8" t="s">
        <v>624</v>
      </c>
      <c r="E83" s="6">
        <v>44963.0</v>
      </c>
      <c r="F83" s="6">
        <v>45048.0</v>
      </c>
      <c r="G83" s="7">
        <v>3.447782131E9</v>
      </c>
      <c r="H83" s="2" t="s">
        <v>50</v>
      </c>
      <c r="I83" s="2">
        <f t="shared" ref="I83:P83" si="86">IF(ISBLANK(A83)=TRUE,0,1)</f>
        <v>1</v>
      </c>
      <c r="J83" s="2">
        <f t="shared" si="86"/>
        <v>1</v>
      </c>
      <c r="K83" s="2">
        <f t="shared" si="86"/>
        <v>1</v>
      </c>
      <c r="L83" s="2">
        <f t="shared" si="86"/>
        <v>1</v>
      </c>
      <c r="M83" s="2">
        <f t="shared" si="86"/>
        <v>1</v>
      </c>
      <c r="N83" s="2">
        <f t="shared" si="86"/>
        <v>1</v>
      </c>
      <c r="O83" s="2">
        <f t="shared" si="86"/>
        <v>1</v>
      </c>
      <c r="P83" s="2">
        <f t="shared" si="86"/>
        <v>1</v>
      </c>
      <c r="Q83" s="2">
        <f t="shared" si="3"/>
        <v>1</v>
      </c>
      <c r="R83" s="2">
        <f>IF(ISERROR(VLOOKUP(A83, 'Project Reference'!A:A, 1, FALSE)), 0, 1)</f>
        <v>1</v>
      </c>
      <c r="S83" s="2">
        <f>IFERROR(__xludf.DUMMYFUNCTION("IF(AND(REGEXMATCH(D83, B83), REGEXMATCH(D83, C83)), 1, 0)
"),1.0)</f>
        <v>1</v>
      </c>
      <c r="T83" s="2">
        <f t="shared" si="4"/>
        <v>1</v>
      </c>
      <c r="U83" s="2">
        <f t="shared" si="5"/>
        <v>1</v>
      </c>
      <c r="V83" s="2">
        <f t="shared" si="6"/>
        <v>1</v>
      </c>
    </row>
    <row r="84" ht="14.25" customHeight="1">
      <c r="A84" s="2" t="s">
        <v>112</v>
      </c>
      <c r="B84" s="2" t="s">
        <v>60</v>
      </c>
      <c r="C84" s="2" t="s">
        <v>24</v>
      </c>
      <c r="D84" s="8" t="s">
        <v>575</v>
      </c>
      <c r="E84" s="6">
        <v>44963.0</v>
      </c>
      <c r="F84" s="6">
        <v>45313.0</v>
      </c>
      <c r="G84" s="7">
        <v>2.635808219E9</v>
      </c>
      <c r="H84" s="2" t="s">
        <v>67</v>
      </c>
      <c r="I84" s="2">
        <f t="shared" ref="I84:P84" si="87">IF(ISBLANK(A84)=TRUE,0,1)</f>
        <v>1</v>
      </c>
      <c r="J84" s="2">
        <f t="shared" si="87"/>
        <v>1</v>
      </c>
      <c r="K84" s="2">
        <f t="shared" si="87"/>
        <v>1</v>
      </c>
      <c r="L84" s="2">
        <f t="shared" si="87"/>
        <v>1</v>
      </c>
      <c r="M84" s="2">
        <f t="shared" si="87"/>
        <v>1</v>
      </c>
      <c r="N84" s="2">
        <f t="shared" si="87"/>
        <v>1</v>
      </c>
      <c r="O84" s="2">
        <f t="shared" si="87"/>
        <v>1</v>
      </c>
      <c r="P84" s="2">
        <f t="shared" si="87"/>
        <v>1</v>
      </c>
      <c r="Q84" s="2">
        <f t="shared" si="3"/>
        <v>1</v>
      </c>
      <c r="R84" s="2">
        <f>IF(ISERROR(VLOOKUP(A84, 'Project Reference'!A:A, 1, FALSE)), 0, 1)</f>
        <v>1</v>
      </c>
      <c r="S84" s="2">
        <f>IFERROR(__xludf.DUMMYFUNCTION("IF(AND(REGEXMATCH(D84, B84), REGEXMATCH(D84, C84)), 1, 0)
"),1.0)</f>
        <v>1</v>
      </c>
      <c r="T84" s="2">
        <f t="shared" si="4"/>
        <v>1</v>
      </c>
      <c r="U84" s="2">
        <f t="shared" si="5"/>
        <v>1</v>
      </c>
      <c r="V84" s="2">
        <f t="shared" si="6"/>
        <v>1</v>
      </c>
    </row>
    <row r="85" ht="14.25" customHeight="1">
      <c r="A85" s="2" t="s">
        <v>113</v>
      </c>
      <c r="B85" s="2" t="s">
        <v>60</v>
      </c>
      <c r="C85" s="2" t="s">
        <v>48</v>
      </c>
      <c r="D85" s="8" t="s">
        <v>625</v>
      </c>
      <c r="E85" s="6">
        <v>44965.0</v>
      </c>
      <c r="F85" s="6">
        <v>45267.0</v>
      </c>
      <c r="G85" s="7">
        <v>2.011712412E9</v>
      </c>
      <c r="H85" s="2" t="s">
        <v>50</v>
      </c>
      <c r="I85" s="2">
        <f t="shared" ref="I85:P85" si="88">IF(ISBLANK(A85)=TRUE,0,1)</f>
        <v>1</v>
      </c>
      <c r="J85" s="2">
        <f t="shared" si="88"/>
        <v>1</v>
      </c>
      <c r="K85" s="2">
        <f t="shared" si="88"/>
        <v>1</v>
      </c>
      <c r="L85" s="2">
        <f t="shared" si="88"/>
        <v>1</v>
      </c>
      <c r="M85" s="2">
        <f t="shared" si="88"/>
        <v>1</v>
      </c>
      <c r="N85" s="2">
        <f t="shared" si="88"/>
        <v>1</v>
      </c>
      <c r="O85" s="2">
        <f t="shared" si="88"/>
        <v>1</v>
      </c>
      <c r="P85" s="2">
        <f t="shared" si="88"/>
        <v>1</v>
      </c>
      <c r="Q85" s="2">
        <f t="shared" si="3"/>
        <v>1</v>
      </c>
      <c r="R85" s="2">
        <f>IF(ISERROR(VLOOKUP(A85, 'Project Reference'!A:A, 1, FALSE)), 0, 1)</f>
        <v>1</v>
      </c>
      <c r="S85" s="2">
        <f>IFERROR(__xludf.DUMMYFUNCTION("IF(AND(REGEXMATCH(D85, B85), REGEXMATCH(D85, C85)), 1, 0)
"),1.0)</f>
        <v>1</v>
      </c>
      <c r="T85" s="2">
        <f t="shared" si="4"/>
        <v>1</v>
      </c>
      <c r="U85" s="2">
        <f t="shared" si="5"/>
        <v>1</v>
      </c>
      <c r="V85" s="2">
        <f t="shared" si="6"/>
        <v>1</v>
      </c>
    </row>
    <row r="86" ht="14.25" customHeight="1">
      <c r="A86" s="2" t="s">
        <v>114</v>
      </c>
      <c r="B86" s="2" t="s">
        <v>60</v>
      </c>
      <c r="C86" s="2" t="s">
        <v>39</v>
      </c>
      <c r="D86" s="8" t="s">
        <v>626</v>
      </c>
      <c r="E86" s="6">
        <v>44965.0</v>
      </c>
      <c r="F86" s="6">
        <v>45066.0</v>
      </c>
      <c r="G86" s="7">
        <v>3.202495526E9</v>
      </c>
      <c r="H86" s="2" t="s">
        <v>44</v>
      </c>
      <c r="I86" s="2">
        <f t="shared" ref="I86:P86" si="89">IF(ISBLANK(A86)=TRUE,0,1)</f>
        <v>1</v>
      </c>
      <c r="J86" s="2">
        <f t="shared" si="89"/>
        <v>1</v>
      </c>
      <c r="K86" s="2">
        <f t="shared" si="89"/>
        <v>1</v>
      </c>
      <c r="L86" s="2">
        <f t="shared" si="89"/>
        <v>1</v>
      </c>
      <c r="M86" s="2">
        <f t="shared" si="89"/>
        <v>1</v>
      </c>
      <c r="N86" s="2">
        <f t="shared" si="89"/>
        <v>1</v>
      </c>
      <c r="O86" s="2">
        <f t="shared" si="89"/>
        <v>1</v>
      </c>
      <c r="P86" s="2">
        <f t="shared" si="89"/>
        <v>1</v>
      </c>
      <c r="Q86" s="2">
        <f t="shared" si="3"/>
        <v>1</v>
      </c>
      <c r="R86" s="2">
        <f>IF(ISERROR(VLOOKUP(A86, 'Project Reference'!A:A, 1, FALSE)), 0, 1)</f>
        <v>1</v>
      </c>
      <c r="S86" s="2">
        <f>IFERROR(__xludf.DUMMYFUNCTION("IF(AND(REGEXMATCH(D86, B86), REGEXMATCH(D86, C86)), 1, 0)
"),1.0)</f>
        <v>1</v>
      </c>
      <c r="T86" s="2">
        <f t="shared" si="4"/>
        <v>1</v>
      </c>
      <c r="U86" s="2">
        <f t="shared" si="5"/>
        <v>1</v>
      </c>
      <c r="V86" s="2">
        <f t="shared" si="6"/>
        <v>1</v>
      </c>
    </row>
    <row r="87" ht="14.25" customHeight="1">
      <c r="A87" s="2" t="s">
        <v>115</v>
      </c>
      <c r="B87" s="2" t="s">
        <v>60</v>
      </c>
      <c r="C87" s="2" t="s">
        <v>48</v>
      </c>
      <c r="D87" s="8" t="s">
        <v>622</v>
      </c>
      <c r="E87" s="6">
        <v>44967.0</v>
      </c>
      <c r="F87" s="6">
        <v>45260.0</v>
      </c>
      <c r="G87" s="7">
        <v>1.655558865E9</v>
      </c>
      <c r="H87" s="2" t="s">
        <v>67</v>
      </c>
      <c r="I87" s="2">
        <f t="shared" ref="I87:P87" si="90">IF(ISBLANK(A87)=TRUE,0,1)</f>
        <v>1</v>
      </c>
      <c r="J87" s="2">
        <f t="shared" si="90"/>
        <v>1</v>
      </c>
      <c r="K87" s="2">
        <f t="shared" si="90"/>
        <v>1</v>
      </c>
      <c r="L87" s="2">
        <f t="shared" si="90"/>
        <v>1</v>
      </c>
      <c r="M87" s="2">
        <f t="shared" si="90"/>
        <v>1</v>
      </c>
      <c r="N87" s="2">
        <f t="shared" si="90"/>
        <v>1</v>
      </c>
      <c r="O87" s="2">
        <f t="shared" si="90"/>
        <v>1</v>
      </c>
      <c r="P87" s="2">
        <f t="shared" si="90"/>
        <v>1</v>
      </c>
      <c r="Q87" s="2">
        <f t="shared" si="3"/>
        <v>1</v>
      </c>
      <c r="R87" s="2">
        <f>IF(ISERROR(VLOOKUP(A87, 'Project Reference'!A:A, 1, FALSE)), 0, 1)</f>
        <v>1</v>
      </c>
      <c r="S87" s="2">
        <f>IFERROR(__xludf.DUMMYFUNCTION("IF(AND(REGEXMATCH(D87, B87), REGEXMATCH(D87, C87)), 1, 0)
"),1.0)</f>
        <v>1</v>
      </c>
      <c r="T87" s="2">
        <f t="shared" si="4"/>
        <v>1</v>
      </c>
      <c r="U87" s="2">
        <f t="shared" si="5"/>
        <v>1</v>
      </c>
      <c r="V87" s="2">
        <f t="shared" si="6"/>
        <v>1</v>
      </c>
    </row>
    <row r="88" ht="14.25" customHeight="1">
      <c r="A88" s="2" t="s">
        <v>116</v>
      </c>
      <c r="B88" s="2" t="s">
        <v>60</v>
      </c>
      <c r="C88" s="2" t="s">
        <v>36</v>
      </c>
      <c r="D88" s="8" t="s">
        <v>597</v>
      </c>
      <c r="E88" s="6">
        <v>44967.0</v>
      </c>
      <c r="F88" s="6">
        <v>45099.0</v>
      </c>
      <c r="G88" s="7">
        <v>4.806787932E9</v>
      </c>
      <c r="H88" s="2" t="s">
        <v>44</v>
      </c>
      <c r="I88" s="2">
        <f t="shared" ref="I88:P88" si="91">IF(ISBLANK(A88)=TRUE,0,1)</f>
        <v>1</v>
      </c>
      <c r="J88" s="2">
        <f t="shared" si="91"/>
        <v>1</v>
      </c>
      <c r="K88" s="2">
        <f t="shared" si="91"/>
        <v>1</v>
      </c>
      <c r="L88" s="2">
        <f t="shared" si="91"/>
        <v>1</v>
      </c>
      <c r="M88" s="2">
        <f t="shared" si="91"/>
        <v>1</v>
      </c>
      <c r="N88" s="2">
        <f t="shared" si="91"/>
        <v>1</v>
      </c>
      <c r="O88" s="2">
        <f t="shared" si="91"/>
        <v>1</v>
      </c>
      <c r="P88" s="2">
        <f t="shared" si="91"/>
        <v>1</v>
      </c>
      <c r="Q88" s="2">
        <f t="shared" si="3"/>
        <v>1</v>
      </c>
      <c r="R88" s="2">
        <f>IF(ISERROR(VLOOKUP(A88, 'Project Reference'!A:A, 1, FALSE)), 0, 1)</f>
        <v>1</v>
      </c>
      <c r="S88" s="2">
        <f>IFERROR(__xludf.DUMMYFUNCTION("IF(AND(REGEXMATCH(D88, B88), REGEXMATCH(D88, C88)), 1, 0)
"),1.0)</f>
        <v>1</v>
      </c>
      <c r="T88" s="2">
        <f t="shared" si="4"/>
        <v>1</v>
      </c>
      <c r="U88" s="2">
        <f t="shared" si="5"/>
        <v>1</v>
      </c>
      <c r="V88" s="2">
        <f t="shared" si="6"/>
        <v>1</v>
      </c>
    </row>
    <row r="89" ht="14.25" customHeight="1">
      <c r="A89" s="2" t="s">
        <v>117</v>
      </c>
      <c r="B89" s="2" t="s">
        <v>12</v>
      </c>
      <c r="C89" s="2" t="s">
        <v>13</v>
      </c>
      <c r="D89" s="8" t="s">
        <v>605</v>
      </c>
      <c r="E89" s="6">
        <v>44968.0</v>
      </c>
      <c r="F89" s="6">
        <v>45329.0</v>
      </c>
      <c r="G89" s="7">
        <v>6.99551361E8</v>
      </c>
      <c r="H89" s="2" t="s">
        <v>21</v>
      </c>
      <c r="I89" s="2">
        <f t="shared" ref="I89:P89" si="92">IF(ISBLANK(A89)=TRUE,0,1)</f>
        <v>1</v>
      </c>
      <c r="J89" s="2">
        <f t="shared" si="92"/>
        <v>1</v>
      </c>
      <c r="K89" s="2">
        <f t="shared" si="92"/>
        <v>1</v>
      </c>
      <c r="L89" s="2">
        <f t="shared" si="92"/>
        <v>1</v>
      </c>
      <c r="M89" s="2">
        <f t="shared" si="92"/>
        <v>1</v>
      </c>
      <c r="N89" s="2">
        <f t="shared" si="92"/>
        <v>1</v>
      </c>
      <c r="O89" s="2">
        <f t="shared" si="92"/>
        <v>1</v>
      </c>
      <c r="P89" s="2">
        <f t="shared" si="92"/>
        <v>1</v>
      </c>
      <c r="Q89" s="2">
        <f t="shared" si="3"/>
        <v>1</v>
      </c>
      <c r="R89" s="2">
        <f>IF(ISERROR(VLOOKUP(A89, 'Project Reference'!A:A, 1, FALSE)), 0, 1)</f>
        <v>1</v>
      </c>
      <c r="S89" s="2">
        <f>IFERROR(__xludf.DUMMYFUNCTION("IF(AND(REGEXMATCH(D89, B89), REGEXMATCH(D89, C89)), 1, 0)
"),1.0)</f>
        <v>1</v>
      </c>
      <c r="T89" s="2">
        <f t="shared" si="4"/>
        <v>1</v>
      </c>
      <c r="U89" s="2">
        <f t="shared" si="5"/>
        <v>1</v>
      </c>
      <c r="V89" s="2">
        <f t="shared" si="6"/>
        <v>1</v>
      </c>
    </row>
    <row r="90" ht="14.25" customHeight="1">
      <c r="A90" s="2" t="s">
        <v>118</v>
      </c>
      <c r="B90" s="2" t="s">
        <v>35</v>
      </c>
      <c r="C90" s="2" t="s">
        <v>31</v>
      </c>
      <c r="D90" s="2" t="s">
        <v>91</v>
      </c>
      <c r="E90" s="6">
        <v>44968.0</v>
      </c>
      <c r="F90" s="6">
        <v>45186.0</v>
      </c>
      <c r="G90" s="7">
        <v>3.63997813E8</v>
      </c>
      <c r="H90" s="8" t="s">
        <v>581</v>
      </c>
      <c r="I90" s="2">
        <f t="shared" ref="I90:P90" si="93">IF(ISBLANK(A90)=TRUE,0,1)</f>
        <v>1</v>
      </c>
      <c r="J90" s="2">
        <f t="shared" si="93"/>
        <v>1</v>
      </c>
      <c r="K90" s="2">
        <f t="shared" si="93"/>
        <v>1</v>
      </c>
      <c r="L90" s="2">
        <f t="shared" si="93"/>
        <v>1</v>
      </c>
      <c r="M90" s="2">
        <f t="shared" si="93"/>
        <v>1</v>
      </c>
      <c r="N90" s="2">
        <f t="shared" si="93"/>
        <v>1</v>
      </c>
      <c r="O90" s="2">
        <f t="shared" si="93"/>
        <v>1</v>
      </c>
      <c r="P90" s="2">
        <f t="shared" si="93"/>
        <v>1</v>
      </c>
      <c r="Q90" s="2">
        <f t="shared" si="3"/>
        <v>1</v>
      </c>
      <c r="R90" s="2">
        <f>IF(ISERROR(VLOOKUP(A90, 'Project Reference'!A:A, 1, FALSE)), 0, 1)</f>
        <v>1</v>
      </c>
      <c r="S90" s="2">
        <f>IFERROR(__xludf.DUMMYFUNCTION("IF(AND(REGEXMATCH(D90, B90), REGEXMATCH(D90, C90)), 1, 0)
"),1.0)</f>
        <v>1</v>
      </c>
      <c r="T90" s="2">
        <f t="shared" si="4"/>
        <v>1</v>
      </c>
      <c r="U90" s="2">
        <f t="shared" si="5"/>
        <v>1</v>
      </c>
      <c r="V90" s="2">
        <f t="shared" si="6"/>
        <v>1</v>
      </c>
    </row>
    <row r="91" ht="14.25" customHeight="1">
      <c r="A91" s="2" t="s">
        <v>119</v>
      </c>
      <c r="B91" s="2" t="s">
        <v>12</v>
      </c>
      <c r="C91" s="2" t="s">
        <v>24</v>
      </c>
      <c r="D91" s="8" t="s">
        <v>610</v>
      </c>
      <c r="E91" s="6">
        <v>44969.0</v>
      </c>
      <c r="F91" s="6">
        <v>45123.0</v>
      </c>
      <c r="G91" s="7">
        <v>9.26922328E8</v>
      </c>
      <c r="H91" s="2" t="s">
        <v>33</v>
      </c>
      <c r="I91" s="2">
        <f t="shared" ref="I91:P91" si="94">IF(ISBLANK(A91)=TRUE,0,1)</f>
        <v>1</v>
      </c>
      <c r="J91" s="2">
        <f t="shared" si="94"/>
        <v>1</v>
      </c>
      <c r="K91" s="2">
        <f t="shared" si="94"/>
        <v>1</v>
      </c>
      <c r="L91" s="2">
        <f t="shared" si="94"/>
        <v>1</v>
      </c>
      <c r="M91" s="2">
        <f t="shared" si="94"/>
        <v>1</v>
      </c>
      <c r="N91" s="2">
        <f t="shared" si="94"/>
        <v>1</v>
      </c>
      <c r="O91" s="2">
        <f t="shared" si="94"/>
        <v>1</v>
      </c>
      <c r="P91" s="2">
        <f t="shared" si="94"/>
        <v>1</v>
      </c>
      <c r="Q91" s="2">
        <f t="shared" si="3"/>
        <v>1</v>
      </c>
      <c r="R91" s="2">
        <f>IF(ISERROR(VLOOKUP(A91, 'Project Reference'!A:A, 1, FALSE)), 0, 1)</f>
        <v>1</v>
      </c>
      <c r="S91" s="2">
        <f>IFERROR(__xludf.DUMMYFUNCTION("IF(AND(REGEXMATCH(D91, B91), REGEXMATCH(D91, C91)), 1, 0)
"),1.0)</f>
        <v>1</v>
      </c>
      <c r="T91" s="2">
        <f t="shared" si="4"/>
        <v>1</v>
      </c>
      <c r="U91" s="2">
        <f t="shared" si="5"/>
        <v>1</v>
      </c>
      <c r="V91" s="2">
        <f t="shared" si="6"/>
        <v>1</v>
      </c>
    </row>
    <row r="92" ht="14.25" customHeight="1">
      <c r="A92" s="2" t="s">
        <v>120</v>
      </c>
      <c r="B92" s="22"/>
      <c r="C92" s="22"/>
      <c r="D92" s="22"/>
      <c r="E92" s="6">
        <v>44969.0</v>
      </c>
      <c r="F92" s="6">
        <v>45030.0</v>
      </c>
      <c r="G92" s="11">
        <v>3.1469007E8</v>
      </c>
      <c r="H92" s="2" t="s">
        <v>44</v>
      </c>
      <c r="I92" s="2">
        <f t="shared" ref="I92:P92" si="95">IF(ISBLANK(A92)=TRUE,0,1)</f>
        <v>1</v>
      </c>
      <c r="J92" s="2">
        <f t="shared" si="95"/>
        <v>0</v>
      </c>
      <c r="K92" s="2">
        <f t="shared" si="95"/>
        <v>0</v>
      </c>
      <c r="L92" s="2">
        <f t="shared" si="95"/>
        <v>0</v>
      </c>
      <c r="M92" s="2">
        <f t="shared" si="95"/>
        <v>1</v>
      </c>
      <c r="N92" s="2">
        <f t="shared" si="95"/>
        <v>1</v>
      </c>
      <c r="O92" s="2">
        <f t="shared" si="95"/>
        <v>1</v>
      </c>
      <c r="P92" s="2">
        <f t="shared" si="95"/>
        <v>1</v>
      </c>
      <c r="Q92" s="2">
        <f t="shared" si="3"/>
        <v>1</v>
      </c>
      <c r="R92" s="2">
        <f>IF(ISERROR(VLOOKUP(A92, 'Project Reference'!A:A, 1, FALSE)), 0, 1)</f>
        <v>1</v>
      </c>
      <c r="S92" s="2">
        <f>IFERROR(__xludf.DUMMYFUNCTION("IF(AND(REGEXMATCH(D92, B92), REGEXMATCH(D92, C92)), 1, 0)
"),1.0)</f>
        <v>1</v>
      </c>
      <c r="T92" s="2">
        <f t="shared" si="4"/>
        <v>1</v>
      </c>
      <c r="U92" s="2">
        <f t="shared" si="5"/>
        <v>1</v>
      </c>
      <c r="V92" s="2">
        <f t="shared" si="6"/>
        <v>1</v>
      </c>
    </row>
    <row r="93" ht="14.25" customHeight="1">
      <c r="A93" s="2" t="s">
        <v>122</v>
      </c>
      <c r="B93" s="2" t="s">
        <v>35</v>
      </c>
      <c r="C93" s="2" t="s">
        <v>48</v>
      </c>
      <c r="D93" s="2" t="s">
        <v>49</v>
      </c>
      <c r="E93" s="6">
        <v>44971.0</v>
      </c>
      <c r="F93" s="6">
        <v>45232.0</v>
      </c>
      <c r="G93" s="7">
        <v>7.08312743E8</v>
      </c>
      <c r="H93" s="2" t="s">
        <v>50</v>
      </c>
      <c r="I93" s="2">
        <f t="shared" ref="I93:P93" si="96">IF(ISBLANK(A93)=TRUE,0,1)</f>
        <v>1</v>
      </c>
      <c r="J93" s="2">
        <f t="shared" si="96"/>
        <v>1</v>
      </c>
      <c r="K93" s="2">
        <f t="shared" si="96"/>
        <v>1</v>
      </c>
      <c r="L93" s="2">
        <f t="shared" si="96"/>
        <v>1</v>
      </c>
      <c r="M93" s="2">
        <f t="shared" si="96"/>
        <v>1</v>
      </c>
      <c r="N93" s="2">
        <f t="shared" si="96"/>
        <v>1</v>
      </c>
      <c r="O93" s="2">
        <f t="shared" si="96"/>
        <v>1</v>
      </c>
      <c r="P93" s="2">
        <f t="shared" si="96"/>
        <v>1</v>
      </c>
      <c r="Q93" s="2">
        <f t="shared" si="3"/>
        <v>1</v>
      </c>
      <c r="R93" s="2">
        <f>IF(ISERROR(VLOOKUP(A93, 'Project Reference'!A:A, 1, FALSE)), 0, 1)</f>
        <v>1</v>
      </c>
      <c r="S93" s="2">
        <f>IFERROR(__xludf.DUMMYFUNCTION("IF(AND(REGEXMATCH(D93, B93), REGEXMATCH(D93, C93)), 1, 0)
"),1.0)</f>
        <v>1</v>
      </c>
      <c r="T93" s="2">
        <f t="shared" si="4"/>
        <v>1</v>
      </c>
      <c r="U93" s="2">
        <f t="shared" si="5"/>
        <v>1</v>
      </c>
      <c r="V93" s="2">
        <f t="shared" si="6"/>
        <v>1</v>
      </c>
    </row>
    <row r="94" ht="14.25" customHeight="1">
      <c r="A94" s="2" t="s">
        <v>123</v>
      </c>
      <c r="B94" s="2" t="s">
        <v>35</v>
      </c>
      <c r="C94" s="2" t="s">
        <v>42</v>
      </c>
      <c r="D94" s="2" t="s">
        <v>69</v>
      </c>
      <c r="E94" s="6">
        <v>44971.0</v>
      </c>
      <c r="F94" s="6">
        <v>45228.0</v>
      </c>
      <c r="G94" s="7">
        <v>4.19037113E8</v>
      </c>
      <c r="H94" s="2" t="s">
        <v>21</v>
      </c>
      <c r="I94" s="2">
        <f t="shared" ref="I94:P94" si="97">IF(ISBLANK(A94)=TRUE,0,1)</f>
        <v>1</v>
      </c>
      <c r="J94" s="2">
        <f t="shared" si="97"/>
        <v>1</v>
      </c>
      <c r="K94" s="2">
        <f t="shared" si="97"/>
        <v>1</v>
      </c>
      <c r="L94" s="2">
        <f t="shared" si="97"/>
        <v>1</v>
      </c>
      <c r="M94" s="2">
        <f t="shared" si="97"/>
        <v>1</v>
      </c>
      <c r="N94" s="2">
        <f t="shared" si="97"/>
        <v>1</v>
      </c>
      <c r="O94" s="2">
        <f t="shared" si="97"/>
        <v>1</v>
      </c>
      <c r="P94" s="2">
        <f t="shared" si="97"/>
        <v>1</v>
      </c>
      <c r="Q94" s="2">
        <f t="shared" si="3"/>
        <v>1</v>
      </c>
      <c r="R94" s="2">
        <f>IF(ISERROR(VLOOKUP(A94, 'Project Reference'!A:A, 1, FALSE)), 0, 1)</f>
        <v>1</v>
      </c>
      <c r="S94" s="2">
        <f>IFERROR(__xludf.DUMMYFUNCTION("IF(AND(REGEXMATCH(D94, B94), REGEXMATCH(D94, C94)), 1, 0)
"),1.0)</f>
        <v>1</v>
      </c>
      <c r="T94" s="2">
        <f t="shared" si="4"/>
        <v>1</v>
      </c>
      <c r="U94" s="2">
        <f t="shared" si="5"/>
        <v>1</v>
      </c>
      <c r="V94" s="2">
        <f t="shared" si="6"/>
        <v>1</v>
      </c>
    </row>
    <row r="95" ht="14.25" customHeight="1">
      <c r="A95" s="2" t="s">
        <v>124</v>
      </c>
      <c r="B95" s="2" t="s">
        <v>35</v>
      </c>
      <c r="C95" s="2" t="s">
        <v>39</v>
      </c>
      <c r="D95" s="2" t="s">
        <v>145</v>
      </c>
      <c r="E95" s="6">
        <v>44972.0</v>
      </c>
      <c r="F95" s="6">
        <v>45130.0</v>
      </c>
      <c r="G95" s="7">
        <v>5.00841363E8</v>
      </c>
      <c r="H95" s="8" t="s">
        <v>581</v>
      </c>
      <c r="I95" s="2">
        <f t="shared" ref="I95:P95" si="98">IF(ISBLANK(A95)=TRUE,0,1)</f>
        <v>1</v>
      </c>
      <c r="J95" s="2">
        <f t="shared" si="98"/>
        <v>1</v>
      </c>
      <c r="K95" s="2">
        <f t="shared" si="98"/>
        <v>1</v>
      </c>
      <c r="L95" s="2">
        <f t="shared" si="98"/>
        <v>1</v>
      </c>
      <c r="M95" s="2">
        <f t="shared" si="98"/>
        <v>1</v>
      </c>
      <c r="N95" s="2">
        <f t="shared" si="98"/>
        <v>1</v>
      </c>
      <c r="O95" s="2">
        <f t="shared" si="98"/>
        <v>1</v>
      </c>
      <c r="P95" s="2">
        <f t="shared" si="98"/>
        <v>1</v>
      </c>
      <c r="Q95" s="2">
        <f t="shared" si="3"/>
        <v>1</v>
      </c>
      <c r="R95" s="2">
        <f>IF(ISERROR(VLOOKUP(A95, 'Project Reference'!A:A, 1, FALSE)), 0, 1)</f>
        <v>1</v>
      </c>
      <c r="S95" s="2">
        <f>IFERROR(__xludf.DUMMYFUNCTION("IF(AND(REGEXMATCH(D95, B95), REGEXMATCH(D95, C95)), 1, 0)
"),1.0)</f>
        <v>1</v>
      </c>
      <c r="T95" s="2">
        <f t="shared" si="4"/>
        <v>1</v>
      </c>
      <c r="U95" s="2">
        <f t="shared" si="5"/>
        <v>1</v>
      </c>
      <c r="V95" s="2">
        <f t="shared" si="6"/>
        <v>1</v>
      </c>
    </row>
    <row r="96" ht="14.25" customHeight="1">
      <c r="A96" s="2" t="s">
        <v>125</v>
      </c>
      <c r="B96" s="2" t="s">
        <v>12</v>
      </c>
      <c r="C96" s="2" t="s">
        <v>39</v>
      </c>
      <c r="D96" s="8" t="s">
        <v>591</v>
      </c>
      <c r="E96" s="6">
        <v>44973.0</v>
      </c>
      <c r="F96" s="6">
        <v>45289.0</v>
      </c>
      <c r="G96" s="7">
        <v>2.0930411E8</v>
      </c>
      <c r="H96" s="8" t="s">
        <v>581</v>
      </c>
      <c r="I96" s="2">
        <f t="shared" ref="I96:P96" si="99">IF(ISBLANK(A96)=TRUE,0,1)</f>
        <v>1</v>
      </c>
      <c r="J96" s="2">
        <f t="shared" si="99"/>
        <v>1</v>
      </c>
      <c r="K96" s="2">
        <f t="shared" si="99"/>
        <v>1</v>
      </c>
      <c r="L96" s="2">
        <f t="shared" si="99"/>
        <v>1</v>
      </c>
      <c r="M96" s="2">
        <f t="shared" si="99"/>
        <v>1</v>
      </c>
      <c r="N96" s="2">
        <f t="shared" si="99"/>
        <v>1</v>
      </c>
      <c r="O96" s="2">
        <f t="shared" si="99"/>
        <v>1</v>
      </c>
      <c r="P96" s="2">
        <f t="shared" si="99"/>
        <v>1</v>
      </c>
      <c r="Q96" s="2">
        <f t="shared" si="3"/>
        <v>1</v>
      </c>
      <c r="R96" s="2">
        <f>IF(ISERROR(VLOOKUP(A96, 'Project Reference'!A:A, 1, FALSE)), 0, 1)</f>
        <v>1</v>
      </c>
      <c r="S96" s="2">
        <f>IFERROR(__xludf.DUMMYFUNCTION("IF(AND(REGEXMATCH(D96, B96), REGEXMATCH(D96, C96)), 1, 0)
"),1.0)</f>
        <v>1</v>
      </c>
      <c r="T96" s="2">
        <f t="shared" si="4"/>
        <v>1</v>
      </c>
      <c r="U96" s="2">
        <f t="shared" si="5"/>
        <v>1</v>
      </c>
      <c r="V96" s="2">
        <f t="shared" si="6"/>
        <v>1</v>
      </c>
    </row>
    <row r="97" ht="14.25" customHeight="1">
      <c r="A97" s="2" t="s">
        <v>126</v>
      </c>
      <c r="B97" s="2" t="s">
        <v>30</v>
      </c>
      <c r="C97" s="2" t="s">
        <v>42</v>
      </c>
      <c r="D97" s="8" t="s">
        <v>627</v>
      </c>
      <c r="E97" s="6">
        <v>44974.0</v>
      </c>
      <c r="F97" s="6">
        <v>45082.0</v>
      </c>
      <c r="G97" s="7">
        <v>3.686469051E9</v>
      </c>
      <c r="H97" s="8" t="s">
        <v>581</v>
      </c>
      <c r="I97" s="2">
        <f t="shared" ref="I97:P97" si="100">IF(ISBLANK(A97)=TRUE,0,1)</f>
        <v>1</v>
      </c>
      <c r="J97" s="2">
        <f t="shared" si="100"/>
        <v>1</v>
      </c>
      <c r="K97" s="2">
        <f t="shared" si="100"/>
        <v>1</v>
      </c>
      <c r="L97" s="2">
        <f t="shared" si="100"/>
        <v>1</v>
      </c>
      <c r="M97" s="2">
        <f t="shared" si="100"/>
        <v>1</v>
      </c>
      <c r="N97" s="2">
        <f t="shared" si="100"/>
        <v>1</v>
      </c>
      <c r="O97" s="2">
        <f t="shared" si="100"/>
        <v>1</v>
      </c>
      <c r="P97" s="2">
        <f t="shared" si="100"/>
        <v>1</v>
      </c>
      <c r="Q97" s="2">
        <f t="shared" si="3"/>
        <v>1</v>
      </c>
      <c r="R97" s="2">
        <f>IF(ISERROR(VLOOKUP(A97, 'Project Reference'!A:A, 1, FALSE)), 0, 1)</f>
        <v>1</v>
      </c>
      <c r="S97" s="2">
        <f>IFERROR(__xludf.DUMMYFUNCTION("IF(AND(REGEXMATCH(D97, B97), REGEXMATCH(D97, C97)), 1, 0)
"),1.0)</f>
        <v>1</v>
      </c>
      <c r="T97" s="2">
        <f t="shared" si="4"/>
        <v>1</v>
      </c>
      <c r="U97" s="2">
        <f t="shared" si="5"/>
        <v>1</v>
      </c>
      <c r="V97" s="2">
        <f t="shared" si="6"/>
        <v>1</v>
      </c>
    </row>
    <row r="98" ht="14.25" customHeight="1">
      <c r="A98" s="2" t="s">
        <v>127</v>
      </c>
      <c r="B98" s="2" t="s">
        <v>12</v>
      </c>
      <c r="C98" s="2" t="s">
        <v>36</v>
      </c>
      <c r="D98" s="8" t="s">
        <v>578</v>
      </c>
      <c r="E98" s="6">
        <v>44974.0</v>
      </c>
      <c r="F98" s="6">
        <v>45112.0</v>
      </c>
      <c r="G98" s="7">
        <v>3.53290709E8</v>
      </c>
      <c r="H98" s="8" t="s">
        <v>573</v>
      </c>
      <c r="I98" s="2">
        <f t="shared" ref="I98:P98" si="101">IF(ISBLANK(A98)=TRUE,0,1)</f>
        <v>1</v>
      </c>
      <c r="J98" s="2">
        <f t="shared" si="101"/>
        <v>1</v>
      </c>
      <c r="K98" s="2">
        <f t="shared" si="101"/>
        <v>1</v>
      </c>
      <c r="L98" s="2">
        <f t="shared" si="101"/>
        <v>1</v>
      </c>
      <c r="M98" s="2">
        <f t="shared" si="101"/>
        <v>1</v>
      </c>
      <c r="N98" s="2">
        <f t="shared" si="101"/>
        <v>1</v>
      </c>
      <c r="O98" s="2">
        <f t="shared" si="101"/>
        <v>1</v>
      </c>
      <c r="P98" s="2">
        <f t="shared" si="101"/>
        <v>1</v>
      </c>
      <c r="Q98" s="2">
        <f t="shared" si="3"/>
        <v>1</v>
      </c>
      <c r="R98" s="2">
        <f>IF(ISERROR(VLOOKUP(A98, 'Project Reference'!A:A, 1, FALSE)), 0, 1)</f>
        <v>1</v>
      </c>
      <c r="S98" s="2">
        <f>IFERROR(__xludf.DUMMYFUNCTION("IF(AND(REGEXMATCH(D98, B98), REGEXMATCH(D98, C98)), 1, 0)
"),1.0)</f>
        <v>1</v>
      </c>
      <c r="T98" s="2">
        <f t="shared" si="4"/>
        <v>1</v>
      </c>
      <c r="U98" s="2">
        <f t="shared" si="5"/>
        <v>1</v>
      </c>
      <c r="V98" s="2">
        <f t="shared" si="6"/>
        <v>1</v>
      </c>
    </row>
    <row r="99" ht="14.25" customHeight="1">
      <c r="A99" s="2" t="s">
        <v>128</v>
      </c>
      <c r="B99" s="2" t="s">
        <v>18</v>
      </c>
      <c r="C99" s="2" t="s">
        <v>39</v>
      </c>
      <c r="D99" s="8" t="s">
        <v>577</v>
      </c>
      <c r="E99" s="6">
        <v>44974.0</v>
      </c>
      <c r="F99" s="6">
        <v>45230.0</v>
      </c>
      <c r="G99" s="7">
        <v>8.935017863E9</v>
      </c>
      <c r="H99" s="2" t="s">
        <v>21</v>
      </c>
      <c r="I99" s="2">
        <f t="shared" ref="I99:P99" si="102">IF(ISBLANK(A99)=TRUE,0,1)</f>
        <v>1</v>
      </c>
      <c r="J99" s="2">
        <f t="shared" si="102"/>
        <v>1</v>
      </c>
      <c r="K99" s="2">
        <f t="shared" si="102"/>
        <v>1</v>
      </c>
      <c r="L99" s="2">
        <f t="shared" si="102"/>
        <v>1</v>
      </c>
      <c r="M99" s="2">
        <f t="shared" si="102"/>
        <v>1</v>
      </c>
      <c r="N99" s="2">
        <f t="shared" si="102"/>
        <v>1</v>
      </c>
      <c r="O99" s="2">
        <f t="shared" si="102"/>
        <v>1</v>
      </c>
      <c r="P99" s="2">
        <f t="shared" si="102"/>
        <v>1</v>
      </c>
      <c r="Q99" s="2">
        <f t="shared" si="3"/>
        <v>1</v>
      </c>
      <c r="R99" s="2">
        <f>IF(ISERROR(VLOOKUP(A99, 'Project Reference'!A:A, 1, FALSE)), 0, 1)</f>
        <v>1</v>
      </c>
      <c r="S99" s="2">
        <f>IFERROR(__xludf.DUMMYFUNCTION("IF(AND(REGEXMATCH(D99, B99), REGEXMATCH(D99, C99)), 1, 0)
"),1.0)</f>
        <v>1</v>
      </c>
      <c r="T99" s="2">
        <f t="shared" si="4"/>
        <v>1</v>
      </c>
      <c r="U99" s="2">
        <f t="shared" si="5"/>
        <v>1</v>
      </c>
      <c r="V99" s="2">
        <f t="shared" si="6"/>
        <v>1</v>
      </c>
    </row>
    <row r="100" ht="14.25" customHeight="1">
      <c r="A100" s="2" t="s">
        <v>129</v>
      </c>
      <c r="B100" s="2" t="s">
        <v>30</v>
      </c>
      <c r="C100" s="2" t="s">
        <v>31</v>
      </c>
      <c r="D100" s="8" t="s">
        <v>585</v>
      </c>
      <c r="E100" s="6">
        <v>44975.0</v>
      </c>
      <c r="F100" s="6">
        <v>45193.0</v>
      </c>
      <c r="G100" s="7">
        <v>5.518454926E9</v>
      </c>
      <c r="H100" s="2" t="s">
        <v>33</v>
      </c>
      <c r="I100" s="2">
        <f t="shared" ref="I100:P100" si="103">IF(ISBLANK(A100)=TRUE,0,1)</f>
        <v>1</v>
      </c>
      <c r="J100" s="2">
        <f t="shared" si="103"/>
        <v>1</v>
      </c>
      <c r="K100" s="2">
        <f t="shared" si="103"/>
        <v>1</v>
      </c>
      <c r="L100" s="2">
        <f t="shared" si="103"/>
        <v>1</v>
      </c>
      <c r="M100" s="2">
        <f t="shared" si="103"/>
        <v>1</v>
      </c>
      <c r="N100" s="2">
        <f t="shared" si="103"/>
        <v>1</v>
      </c>
      <c r="O100" s="2">
        <f t="shared" si="103"/>
        <v>1</v>
      </c>
      <c r="P100" s="2">
        <f t="shared" si="103"/>
        <v>1</v>
      </c>
      <c r="Q100" s="2">
        <f t="shared" si="3"/>
        <v>1</v>
      </c>
      <c r="R100" s="2">
        <f>IF(ISERROR(VLOOKUP(A100, 'Project Reference'!A:A, 1, FALSE)), 0, 1)</f>
        <v>1</v>
      </c>
      <c r="S100" s="2">
        <f>IFERROR(__xludf.DUMMYFUNCTION("IF(AND(REGEXMATCH(D100, B100), REGEXMATCH(D100, C100)), 1, 0)
"),1.0)</f>
        <v>1</v>
      </c>
      <c r="T100" s="2">
        <f t="shared" si="4"/>
        <v>1</v>
      </c>
      <c r="U100" s="2">
        <f t="shared" si="5"/>
        <v>1</v>
      </c>
      <c r="V100" s="2">
        <f t="shared" si="6"/>
        <v>1</v>
      </c>
    </row>
    <row r="101" ht="14.25" customHeight="1">
      <c r="A101" s="2" t="s">
        <v>130</v>
      </c>
      <c r="B101" s="2" t="s">
        <v>60</v>
      </c>
      <c r="C101" s="2" t="s">
        <v>42</v>
      </c>
      <c r="D101" s="8" t="s">
        <v>617</v>
      </c>
      <c r="E101" s="6">
        <v>44975.0</v>
      </c>
      <c r="F101" s="6">
        <v>45256.0</v>
      </c>
      <c r="G101" s="7">
        <v>3.367495384E9</v>
      </c>
      <c r="H101" s="22"/>
      <c r="I101" s="2">
        <f t="shared" ref="I101:P101" si="104">IF(ISBLANK(A101)=TRUE,0,1)</f>
        <v>1</v>
      </c>
      <c r="J101" s="2">
        <f t="shared" si="104"/>
        <v>1</v>
      </c>
      <c r="K101" s="2">
        <f t="shared" si="104"/>
        <v>1</v>
      </c>
      <c r="L101" s="2">
        <f t="shared" si="104"/>
        <v>1</v>
      </c>
      <c r="M101" s="2">
        <f t="shared" si="104"/>
        <v>1</v>
      </c>
      <c r="N101" s="2">
        <f t="shared" si="104"/>
        <v>1</v>
      </c>
      <c r="O101" s="2">
        <f t="shared" si="104"/>
        <v>1</v>
      </c>
      <c r="P101" s="2">
        <f t="shared" si="104"/>
        <v>0</v>
      </c>
      <c r="Q101" s="2">
        <f t="shared" si="3"/>
        <v>1</v>
      </c>
      <c r="R101" s="2">
        <f>IF(ISERROR(VLOOKUP(A101, 'Project Reference'!A:A, 1, FALSE)), 0, 1)</f>
        <v>1</v>
      </c>
      <c r="S101" s="2">
        <f>IFERROR(__xludf.DUMMYFUNCTION("IF(AND(REGEXMATCH(D101, B101), REGEXMATCH(D101, C101)), 1, 0)
"),1.0)</f>
        <v>1</v>
      </c>
      <c r="T101" s="2">
        <f t="shared" si="4"/>
        <v>1</v>
      </c>
      <c r="U101" s="2">
        <f t="shared" si="5"/>
        <v>1</v>
      </c>
      <c r="V101" s="2">
        <f t="shared" si="6"/>
        <v>1</v>
      </c>
    </row>
    <row r="102" ht="14.25" customHeight="1">
      <c r="A102" s="2" t="s">
        <v>131</v>
      </c>
      <c r="B102" s="2" t="s">
        <v>60</v>
      </c>
      <c r="C102" s="2" t="s">
        <v>36</v>
      </c>
      <c r="D102" s="8" t="s">
        <v>628</v>
      </c>
      <c r="E102" s="6">
        <v>44976.0</v>
      </c>
      <c r="F102" s="6">
        <v>45307.0</v>
      </c>
      <c r="G102" s="7">
        <v>2.293993253E9</v>
      </c>
      <c r="H102" s="2" t="s">
        <v>33</v>
      </c>
      <c r="I102" s="2">
        <f t="shared" ref="I102:P102" si="105">IF(ISBLANK(A102)=TRUE,0,1)</f>
        <v>1</v>
      </c>
      <c r="J102" s="2">
        <f t="shared" si="105"/>
        <v>1</v>
      </c>
      <c r="K102" s="2">
        <f t="shared" si="105"/>
        <v>1</v>
      </c>
      <c r="L102" s="2">
        <f t="shared" si="105"/>
        <v>1</v>
      </c>
      <c r="M102" s="2">
        <f t="shared" si="105"/>
        <v>1</v>
      </c>
      <c r="N102" s="2">
        <f t="shared" si="105"/>
        <v>1</v>
      </c>
      <c r="O102" s="2">
        <f t="shared" si="105"/>
        <v>1</v>
      </c>
      <c r="P102" s="2">
        <f t="shared" si="105"/>
        <v>1</v>
      </c>
      <c r="Q102" s="2">
        <f t="shared" si="3"/>
        <v>1</v>
      </c>
      <c r="R102" s="2">
        <f>IF(ISERROR(VLOOKUP(A102, 'Project Reference'!A:A, 1, FALSE)), 0, 1)</f>
        <v>1</v>
      </c>
      <c r="S102" s="2">
        <f>IFERROR(__xludf.DUMMYFUNCTION("IF(AND(REGEXMATCH(D102, B102), REGEXMATCH(D102, C102)), 1, 0)
"),1.0)</f>
        <v>1</v>
      </c>
      <c r="T102" s="2">
        <f t="shared" si="4"/>
        <v>1</v>
      </c>
      <c r="U102" s="2">
        <f t="shared" si="5"/>
        <v>1</v>
      </c>
      <c r="V102" s="2">
        <f t="shared" si="6"/>
        <v>1</v>
      </c>
    </row>
    <row r="103" ht="14.25" customHeight="1">
      <c r="A103" s="2" t="s">
        <v>132</v>
      </c>
      <c r="B103" s="2" t="s">
        <v>60</v>
      </c>
      <c r="C103" s="2" t="s">
        <v>19</v>
      </c>
      <c r="D103" s="8" t="s">
        <v>616</v>
      </c>
      <c r="E103" s="6">
        <v>44976.0</v>
      </c>
      <c r="F103" s="6">
        <v>45318.0</v>
      </c>
      <c r="G103" s="7">
        <v>1.790927128E9</v>
      </c>
      <c r="H103" s="2" t="s">
        <v>50</v>
      </c>
      <c r="I103" s="2">
        <f t="shared" ref="I103:P103" si="106">IF(ISBLANK(A103)=TRUE,0,1)</f>
        <v>1</v>
      </c>
      <c r="J103" s="2">
        <f t="shared" si="106"/>
        <v>1</v>
      </c>
      <c r="K103" s="2">
        <f t="shared" si="106"/>
        <v>1</v>
      </c>
      <c r="L103" s="2">
        <f t="shared" si="106"/>
        <v>1</v>
      </c>
      <c r="M103" s="2">
        <f t="shared" si="106"/>
        <v>1</v>
      </c>
      <c r="N103" s="2">
        <f t="shared" si="106"/>
        <v>1</v>
      </c>
      <c r="O103" s="2">
        <f t="shared" si="106"/>
        <v>1</v>
      </c>
      <c r="P103" s="2">
        <f t="shared" si="106"/>
        <v>1</v>
      </c>
      <c r="Q103" s="2">
        <f t="shared" si="3"/>
        <v>1</v>
      </c>
      <c r="R103" s="2">
        <f>IF(ISERROR(VLOOKUP(A103, 'Project Reference'!A:A, 1, FALSE)), 0, 1)</f>
        <v>1</v>
      </c>
      <c r="S103" s="2">
        <f>IFERROR(__xludf.DUMMYFUNCTION("IF(AND(REGEXMATCH(D103, B103), REGEXMATCH(D103, C103)), 1, 0)
"),1.0)</f>
        <v>1</v>
      </c>
      <c r="T103" s="2">
        <f t="shared" si="4"/>
        <v>1</v>
      </c>
      <c r="U103" s="2">
        <f t="shared" si="5"/>
        <v>1</v>
      </c>
      <c r="V103" s="2">
        <f t="shared" si="6"/>
        <v>1</v>
      </c>
    </row>
    <row r="104" ht="14.25" customHeight="1">
      <c r="A104" s="2" t="s">
        <v>134</v>
      </c>
      <c r="B104" s="2" t="s">
        <v>18</v>
      </c>
      <c r="C104" s="2" t="s">
        <v>39</v>
      </c>
      <c r="D104" s="23" t="s">
        <v>577</v>
      </c>
      <c r="E104" s="6">
        <v>44977.0</v>
      </c>
      <c r="F104" s="6">
        <v>45285.0</v>
      </c>
      <c r="G104" s="7">
        <v>7.432359735E9</v>
      </c>
      <c r="H104" s="22"/>
      <c r="I104" s="2">
        <f t="shared" ref="I104:P104" si="107">IF(ISBLANK(A104)=TRUE,0,1)</f>
        <v>1</v>
      </c>
      <c r="J104" s="2">
        <f t="shared" si="107"/>
        <v>1</v>
      </c>
      <c r="K104" s="2">
        <f t="shared" si="107"/>
        <v>1</v>
      </c>
      <c r="L104" s="2">
        <f t="shared" si="107"/>
        <v>1</v>
      </c>
      <c r="M104" s="2">
        <f t="shared" si="107"/>
        <v>1</v>
      </c>
      <c r="N104" s="2">
        <f t="shared" si="107"/>
        <v>1</v>
      </c>
      <c r="O104" s="2">
        <f t="shared" si="107"/>
        <v>1</v>
      </c>
      <c r="P104" s="2">
        <f t="shared" si="107"/>
        <v>0</v>
      </c>
      <c r="Q104" s="2">
        <f t="shared" si="3"/>
        <v>1</v>
      </c>
      <c r="R104" s="2">
        <f>IF(ISERROR(VLOOKUP(A104, 'Project Reference'!A:A, 1, FALSE)), 0, 1)</f>
        <v>1</v>
      </c>
      <c r="S104" s="2">
        <f>IFERROR(__xludf.DUMMYFUNCTION("IF(AND(REGEXMATCH(D104, B104), REGEXMATCH(D104, C104)), 1, 0)
"),1.0)</f>
        <v>1</v>
      </c>
      <c r="T104" s="2">
        <f t="shared" si="4"/>
        <v>1</v>
      </c>
      <c r="U104" s="2">
        <f t="shared" si="5"/>
        <v>1</v>
      </c>
      <c r="V104" s="2">
        <f t="shared" si="6"/>
        <v>1</v>
      </c>
    </row>
    <row r="105" ht="14.25" customHeight="1">
      <c r="A105" s="2" t="s">
        <v>136</v>
      </c>
      <c r="B105" s="2" t="s">
        <v>18</v>
      </c>
      <c r="C105" s="2" t="s">
        <v>48</v>
      </c>
      <c r="D105" s="8" t="s">
        <v>629</v>
      </c>
      <c r="E105" s="6">
        <v>44977.0</v>
      </c>
      <c r="F105" s="6">
        <v>45233.0</v>
      </c>
      <c r="G105" s="7">
        <v>7.645065116E9</v>
      </c>
      <c r="H105" s="22"/>
      <c r="I105" s="2">
        <f t="shared" ref="I105:P105" si="108">IF(ISBLANK(A105)=TRUE,0,1)</f>
        <v>1</v>
      </c>
      <c r="J105" s="2">
        <f t="shared" si="108"/>
        <v>1</v>
      </c>
      <c r="K105" s="2">
        <f t="shared" si="108"/>
        <v>1</v>
      </c>
      <c r="L105" s="2">
        <f t="shared" si="108"/>
        <v>1</v>
      </c>
      <c r="M105" s="2">
        <f t="shared" si="108"/>
        <v>1</v>
      </c>
      <c r="N105" s="2">
        <f t="shared" si="108"/>
        <v>1</v>
      </c>
      <c r="O105" s="2">
        <f t="shared" si="108"/>
        <v>1</v>
      </c>
      <c r="P105" s="2">
        <f t="shared" si="108"/>
        <v>0</v>
      </c>
      <c r="Q105" s="2">
        <f t="shared" si="3"/>
        <v>1</v>
      </c>
      <c r="R105" s="2">
        <f>IF(ISERROR(VLOOKUP(A105, 'Project Reference'!A:A, 1, FALSE)), 0, 1)</f>
        <v>1</v>
      </c>
      <c r="S105" s="2">
        <f>IFERROR(__xludf.DUMMYFUNCTION("IF(AND(REGEXMATCH(D105, B105), REGEXMATCH(D105, C105)), 1, 0)
"),1.0)</f>
        <v>1</v>
      </c>
      <c r="T105" s="2">
        <f t="shared" si="4"/>
        <v>1</v>
      </c>
      <c r="U105" s="2">
        <f t="shared" si="5"/>
        <v>1</v>
      </c>
      <c r="V105" s="2">
        <f t="shared" si="6"/>
        <v>1</v>
      </c>
    </row>
    <row r="106" ht="14.25" customHeight="1">
      <c r="A106" s="2" t="s">
        <v>137</v>
      </c>
      <c r="B106" s="2" t="s">
        <v>30</v>
      </c>
      <c r="C106" s="2" t="s">
        <v>13</v>
      </c>
      <c r="D106" s="8" t="s">
        <v>630</v>
      </c>
      <c r="E106" s="6">
        <v>44979.0</v>
      </c>
      <c r="F106" s="6">
        <v>45295.0</v>
      </c>
      <c r="G106" s="7">
        <v>5.52231232E9</v>
      </c>
      <c r="H106" s="8" t="s">
        <v>581</v>
      </c>
      <c r="I106" s="2">
        <f t="shared" ref="I106:P106" si="109">IF(ISBLANK(A106)=TRUE,0,1)</f>
        <v>1</v>
      </c>
      <c r="J106" s="2">
        <f t="shared" si="109"/>
        <v>1</v>
      </c>
      <c r="K106" s="2">
        <f t="shared" si="109"/>
        <v>1</v>
      </c>
      <c r="L106" s="2">
        <f t="shared" si="109"/>
        <v>1</v>
      </c>
      <c r="M106" s="2">
        <f t="shared" si="109"/>
        <v>1</v>
      </c>
      <c r="N106" s="2">
        <f t="shared" si="109"/>
        <v>1</v>
      </c>
      <c r="O106" s="2">
        <f t="shared" si="109"/>
        <v>1</v>
      </c>
      <c r="P106" s="2">
        <f t="shared" si="109"/>
        <v>1</v>
      </c>
      <c r="Q106" s="2">
        <f t="shared" si="3"/>
        <v>1</v>
      </c>
      <c r="R106" s="2">
        <f>IF(ISERROR(VLOOKUP(A106, 'Project Reference'!A:A, 1, FALSE)), 0, 1)</f>
        <v>1</v>
      </c>
      <c r="S106" s="2">
        <f>IFERROR(__xludf.DUMMYFUNCTION("IF(AND(REGEXMATCH(D106, B106), REGEXMATCH(D106, C106)), 1, 0)
"),1.0)</f>
        <v>1</v>
      </c>
      <c r="T106" s="2">
        <f t="shared" si="4"/>
        <v>1</v>
      </c>
      <c r="U106" s="2">
        <f t="shared" si="5"/>
        <v>1</v>
      </c>
      <c r="V106" s="2">
        <f t="shared" si="6"/>
        <v>1</v>
      </c>
    </row>
    <row r="107" ht="14.25" customHeight="1">
      <c r="A107" s="2" t="s">
        <v>138</v>
      </c>
      <c r="B107" s="2" t="s">
        <v>12</v>
      </c>
      <c r="C107" s="2" t="s">
        <v>42</v>
      </c>
      <c r="D107" s="8" t="s">
        <v>603</v>
      </c>
      <c r="E107" s="6">
        <v>44979.0</v>
      </c>
      <c r="F107" s="6">
        <v>45074.0</v>
      </c>
      <c r="G107" s="7">
        <v>9.3432556E8</v>
      </c>
      <c r="H107" s="2" t="s">
        <v>50</v>
      </c>
      <c r="I107" s="2">
        <f t="shared" ref="I107:P107" si="110">IF(ISBLANK(A107)=TRUE,0,1)</f>
        <v>1</v>
      </c>
      <c r="J107" s="2">
        <f t="shared" si="110"/>
        <v>1</v>
      </c>
      <c r="K107" s="2">
        <f t="shared" si="110"/>
        <v>1</v>
      </c>
      <c r="L107" s="2">
        <f t="shared" si="110"/>
        <v>1</v>
      </c>
      <c r="M107" s="2">
        <f t="shared" si="110"/>
        <v>1</v>
      </c>
      <c r="N107" s="2">
        <f t="shared" si="110"/>
        <v>1</v>
      </c>
      <c r="O107" s="2">
        <f t="shared" si="110"/>
        <v>1</v>
      </c>
      <c r="P107" s="2">
        <f t="shared" si="110"/>
        <v>1</v>
      </c>
      <c r="Q107" s="2">
        <f t="shared" si="3"/>
        <v>1</v>
      </c>
      <c r="R107" s="2">
        <f>IF(ISERROR(VLOOKUP(A107, 'Project Reference'!A:A, 1, FALSE)), 0, 1)</f>
        <v>1</v>
      </c>
      <c r="S107" s="2">
        <f>IFERROR(__xludf.DUMMYFUNCTION("IF(AND(REGEXMATCH(D107, B107), REGEXMATCH(D107, C107)), 1, 0)
"),1.0)</f>
        <v>1</v>
      </c>
      <c r="T107" s="2">
        <f t="shared" si="4"/>
        <v>1</v>
      </c>
      <c r="U107" s="2">
        <f t="shared" si="5"/>
        <v>1</v>
      </c>
      <c r="V107" s="2">
        <f t="shared" si="6"/>
        <v>1</v>
      </c>
    </row>
    <row r="108" ht="14.25" customHeight="1">
      <c r="A108" s="2" t="s">
        <v>139</v>
      </c>
      <c r="B108" s="2" t="s">
        <v>12</v>
      </c>
      <c r="C108" s="2" t="s">
        <v>19</v>
      </c>
      <c r="D108" s="8" t="s">
        <v>631</v>
      </c>
      <c r="E108" s="6">
        <v>44979.0</v>
      </c>
      <c r="F108" s="6">
        <v>45058.0</v>
      </c>
      <c r="G108" s="7">
        <v>1.21142623E8</v>
      </c>
      <c r="H108" s="2" t="s">
        <v>44</v>
      </c>
      <c r="I108" s="2">
        <f t="shared" ref="I108:P108" si="111">IF(ISBLANK(A108)=TRUE,0,1)</f>
        <v>1</v>
      </c>
      <c r="J108" s="2">
        <f t="shared" si="111"/>
        <v>1</v>
      </c>
      <c r="K108" s="2">
        <f t="shared" si="111"/>
        <v>1</v>
      </c>
      <c r="L108" s="2">
        <f t="shared" si="111"/>
        <v>1</v>
      </c>
      <c r="M108" s="2">
        <f t="shared" si="111"/>
        <v>1</v>
      </c>
      <c r="N108" s="2">
        <f t="shared" si="111"/>
        <v>1</v>
      </c>
      <c r="O108" s="2">
        <f t="shared" si="111"/>
        <v>1</v>
      </c>
      <c r="P108" s="2">
        <f t="shared" si="111"/>
        <v>1</v>
      </c>
      <c r="Q108" s="2">
        <f t="shared" si="3"/>
        <v>1</v>
      </c>
      <c r="R108" s="2">
        <f>IF(ISERROR(VLOOKUP(A108, 'Project Reference'!A:A, 1, FALSE)), 0, 1)</f>
        <v>1</v>
      </c>
      <c r="S108" s="2">
        <f>IFERROR(__xludf.DUMMYFUNCTION("IF(AND(REGEXMATCH(D108, B108), REGEXMATCH(D108, C108)), 1, 0)
"),1.0)</f>
        <v>1</v>
      </c>
      <c r="T108" s="2">
        <f t="shared" si="4"/>
        <v>1</v>
      </c>
      <c r="U108" s="2">
        <f t="shared" si="5"/>
        <v>1</v>
      </c>
      <c r="V108" s="2">
        <f t="shared" si="6"/>
        <v>1</v>
      </c>
    </row>
    <row r="109" ht="14.25" customHeight="1">
      <c r="A109" s="2" t="s">
        <v>140</v>
      </c>
      <c r="B109" s="2" t="s">
        <v>30</v>
      </c>
      <c r="C109" s="2" t="s">
        <v>42</v>
      </c>
      <c r="D109" s="8" t="s">
        <v>632</v>
      </c>
      <c r="E109" s="6">
        <v>44982.0</v>
      </c>
      <c r="F109" s="6">
        <v>45181.0</v>
      </c>
      <c r="G109" s="7">
        <v>1.493231996E9</v>
      </c>
      <c r="H109" s="2" t="s">
        <v>33</v>
      </c>
      <c r="I109" s="2">
        <f t="shared" ref="I109:P109" si="112">IF(ISBLANK(A109)=TRUE,0,1)</f>
        <v>1</v>
      </c>
      <c r="J109" s="2">
        <f t="shared" si="112"/>
        <v>1</v>
      </c>
      <c r="K109" s="2">
        <f t="shared" si="112"/>
        <v>1</v>
      </c>
      <c r="L109" s="2">
        <f t="shared" si="112"/>
        <v>1</v>
      </c>
      <c r="M109" s="2">
        <f t="shared" si="112"/>
        <v>1</v>
      </c>
      <c r="N109" s="2">
        <f t="shared" si="112"/>
        <v>1</v>
      </c>
      <c r="O109" s="2">
        <f t="shared" si="112"/>
        <v>1</v>
      </c>
      <c r="P109" s="2">
        <f t="shared" si="112"/>
        <v>1</v>
      </c>
      <c r="Q109" s="2">
        <f t="shared" si="3"/>
        <v>1</v>
      </c>
      <c r="R109" s="2">
        <f>IF(ISERROR(VLOOKUP(A109, 'Project Reference'!A:A, 1, FALSE)), 0, 1)</f>
        <v>1</v>
      </c>
      <c r="S109" s="2">
        <f>IFERROR(__xludf.DUMMYFUNCTION("IF(AND(REGEXMATCH(D109, B109), REGEXMATCH(D109, C109)), 1, 0)
"),1.0)</f>
        <v>1</v>
      </c>
      <c r="T109" s="2">
        <f t="shared" si="4"/>
        <v>1</v>
      </c>
      <c r="U109" s="2">
        <f t="shared" si="5"/>
        <v>1</v>
      </c>
      <c r="V109" s="2">
        <f t="shared" si="6"/>
        <v>1</v>
      </c>
    </row>
    <row r="110" ht="14.25" customHeight="1">
      <c r="A110" s="2" t="s">
        <v>141</v>
      </c>
      <c r="B110" s="2" t="s">
        <v>30</v>
      </c>
      <c r="C110" s="2" t="s">
        <v>39</v>
      </c>
      <c r="D110" s="8" t="s">
        <v>590</v>
      </c>
      <c r="E110" s="6">
        <v>44984.0</v>
      </c>
      <c r="F110" s="6">
        <v>45324.0</v>
      </c>
      <c r="G110" s="7">
        <v>5.860997586E9</v>
      </c>
      <c r="H110" s="8" t="s">
        <v>573</v>
      </c>
      <c r="I110" s="2">
        <f t="shared" ref="I110:P110" si="113">IF(ISBLANK(A110)=TRUE,0,1)</f>
        <v>1</v>
      </c>
      <c r="J110" s="2">
        <f t="shared" si="113"/>
        <v>1</v>
      </c>
      <c r="K110" s="2">
        <f t="shared" si="113"/>
        <v>1</v>
      </c>
      <c r="L110" s="2">
        <f t="shared" si="113"/>
        <v>1</v>
      </c>
      <c r="M110" s="2">
        <f t="shared" si="113"/>
        <v>1</v>
      </c>
      <c r="N110" s="2">
        <f t="shared" si="113"/>
        <v>1</v>
      </c>
      <c r="O110" s="2">
        <f t="shared" si="113"/>
        <v>1</v>
      </c>
      <c r="P110" s="2">
        <f t="shared" si="113"/>
        <v>1</v>
      </c>
      <c r="Q110" s="2">
        <f t="shared" si="3"/>
        <v>1</v>
      </c>
      <c r="R110" s="2">
        <f>IF(ISERROR(VLOOKUP(A110, 'Project Reference'!A:A, 1, FALSE)), 0, 1)</f>
        <v>1</v>
      </c>
      <c r="S110" s="2">
        <f>IFERROR(__xludf.DUMMYFUNCTION("IF(AND(REGEXMATCH(D110, B110), REGEXMATCH(D110, C110)), 1, 0)
"),1.0)</f>
        <v>1</v>
      </c>
      <c r="T110" s="2">
        <f t="shared" si="4"/>
        <v>1</v>
      </c>
      <c r="U110" s="2">
        <f t="shared" si="5"/>
        <v>1</v>
      </c>
      <c r="V110" s="2">
        <f t="shared" si="6"/>
        <v>1</v>
      </c>
    </row>
    <row r="111" ht="14.25" customHeight="1">
      <c r="A111" s="2" t="s">
        <v>142</v>
      </c>
      <c r="B111" s="2" t="s">
        <v>35</v>
      </c>
      <c r="C111" s="2" t="s">
        <v>39</v>
      </c>
      <c r="D111" s="2" t="s">
        <v>145</v>
      </c>
      <c r="E111" s="6">
        <v>44984.0</v>
      </c>
      <c r="F111" s="6">
        <v>45149.0</v>
      </c>
      <c r="G111" s="7">
        <v>5.51513519E8</v>
      </c>
      <c r="H111" s="2" t="s">
        <v>44</v>
      </c>
      <c r="I111" s="2">
        <f t="shared" ref="I111:P111" si="114">IF(ISBLANK(A111)=TRUE,0,1)</f>
        <v>1</v>
      </c>
      <c r="J111" s="2">
        <f t="shared" si="114"/>
        <v>1</v>
      </c>
      <c r="K111" s="2">
        <f t="shared" si="114"/>
        <v>1</v>
      </c>
      <c r="L111" s="2">
        <f t="shared" si="114"/>
        <v>1</v>
      </c>
      <c r="M111" s="2">
        <f t="shared" si="114"/>
        <v>1</v>
      </c>
      <c r="N111" s="2">
        <f t="shared" si="114"/>
        <v>1</v>
      </c>
      <c r="O111" s="2">
        <f t="shared" si="114"/>
        <v>1</v>
      </c>
      <c r="P111" s="2">
        <f t="shared" si="114"/>
        <v>1</v>
      </c>
      <c r="Q111" s="2">
        <f t="shared" si="3"/>
        <v>1</v>
      </c>
      <c r="R111" s="2">
        <f>IF(ISERROR(VLOOKUP(A111, 'Project Reference'!A:A, 1, FALSE)), 0, 1)</f>
        <v>1</v>
      </c>
      <c r="S111" s="2">
        <f>IFERROR(__xludf.DUMMYFUNCTION("IF(AND(REGEXMATCH(D111, B111), REGEXMATCH(D111, C111)), 1, 0)
"),1.0)</f>
        <v>1</v>
      </c>
      <c r="T111" s="2">
        <f t="shared" si="4"/>
        <v>1</v>
      </c>
      <c r="U111" s="2">
        <f t="shared" si="5"/>
        <v>1</v>
      </c>
      <c r="V111" s="2">
        <f t="shared" si="6"/>
        <v>1</v>
      </c>
    </row>
    <row r="112" ht="14.25" customHeight="1">
      <c r="A112" s="2" t="s">
        <v>144</v>
      </c>
      <c r="B112" s="2" t="s">
        <v>12</v>
      </c>
      <c r="C112" s="2" t="s">
        <v>48</v>
      </c>
      <c r="D112" s="8" t="s">
        <v>602</v>
      </c>
      <c r="E112" s="6">
        <v>44985.0</v>
      </c>
      <c r="F112" s="6">
        <v>45186.0</v>
      </c>
      <c r="G112" s="7">
        <v>3.59783228E8</v>
      </c>
      <c r="H112" s="2" t="s">
        <v>44</v>
      </c>
      <c r="I112" s="2">
        <f t="shared" ref="I112:P112" si="115">IF(ISBLANK(A112)=TRUE,0,1)</f>
        <v>1</v>
      </c>
      <c r="J112" s="2">
        <f t="shared" si="115"/>
        <v>1</v>
      </c>
      <c r="K112" s="2">
        <f t="shared" si="115"/>
        <v>1</v>
      </c>
      <c r="L112" s="2">
        <f t="shared" si="115"/>
        <v>1</v>
      </c>
      <c r="M112" s="2">
        <f t="shared" si="115"/>
        <v>1</v>
      </c>
      <c r="N112" s="2">
        <f t="shared" si="115"/>
        <v>1</v>
      </c>
      <c r="O112" s="2">
        <f t="shared" si="115"/>
        <v>1</v>
      </c>
      <c r="P112" s="2">
        <f t="shared" si="115"/>
        <v>1</v>
      </c>
      <c r="Q112" s="2">
        <f t="shared" si="3"/>
        <v>1</v>
      </c>
      <c r="R112" s="2">
        <f>IF(ISERROR(VLOOKUP(A112, 'Project Reference'!A:A, 1, FALSE)), 0, 1)</f>
        <v>1</v>
      </c>
      <c r="S112" s="2">
        <f>IFERROR(__xludf.DUMMYFUNCTION("IF(AND(REGEXMATCH(D112, B112), REGEXMATCH(D112, C112)), 1, 0)
"),1.0)</f>
        <v>1</v>
      </c>
      <c r="T112" s="2">
        <f t="shared" si="4"/>
        <v>1</v>
      </c>
      <c r="U112" s="2">
        <f t="shared" si="5"/>
        <v>1</v>
      </c>
      <c r="V112" s="2">
        <f t="shared" si="6"/>
        <v>1</v>
      </c>
    </row>
    <row r="113" ht="14.25" customHeight="1">
      <c r="A113" s="2" t="s">
        <v>146</v>
      </c>
      <c r="B113" s="2" t="s">
        <v>60</v>
      </c>
      <c r="C113" s="2" t="s">
        <v>48</v>
      </c>
      <c r="D113" s="8" t="s">
        <v>622</v>
      </c>
      <c r="E113" s="6">
        <v>44986.0</v>
      </c>
      <c r="F113" s="6">
        <v>45105.0</v>
      </c>
      <c r="G113" s="7">
        <v>4.429242773E9</v>
      </c>
      <c r="H113" s="2" t="s">
        <v>50</v>
      </c>
      <c r="I113" s="2">
        <f t="shared" ref="I113:P113" si="116">IF(ISBLANK(A113)=TRUE,0,1)</f>
        <v>1</v>
      </c>
      <c r="J113" s="2">
        <f t="shared" si="116"/>
        <v>1</v>
      </c>
      <c r="K113" s="2">
        <f t="shared" si="116"/>
        <v>1</v>
      </c>
      <c r="L113" s="2">
        <f t="shared" si="116"/>
        <v>1</v>
      </c>
      <c r="M113" s="2">
        <f t="shared" si="116"/>
        <v>1</v>
      </c>
      <c r="N113" s="2">
        <f t="shared" si="116"/>
        <v>1</v>
      </c>
      <c r="O113" s="2">
        <f t="shared" si="116"/>
        <v>1</v>
      </c>
      <c r="P113" s="2">
        <f t="shared" si="116"/>
        <v>1</v>
      </c>
      <c r="Q113" s="2">
        <f t="shared" si="3"/>
        <v>1</v>
      </c>
      <c r="R113" s="2">
        <f>IF(ISERROR(VLOOKUP(A113, 'Project Reference'!A:A, 1, FALSE)), 0, 1)</f>
        <v>1</v>
      </c>
      <c r="S113" s="2">
        <f>IFERROR(__xludf.DUMMYFUNCTION("IF(AND(REGEXMATCH(D113, B113), REGEXMATCH(D113, C113)), 1, 0)
"),1.0)</f>
        <v>1</v>
      </c>
      <c r="T113" s="2">
        <f t="shared" si="4"/>
        <v>1</v>
      </c>
      <c r="U113" s="2">
        <f t="shared" si="5"/>
        <v>1</v>
      </c>
      <c r="V113" s="2">
        <f t="shared" si="6"/>
        <v>1</v>
      </c>
    </row>
    <row r="114" ht="14.25" customHeight="1">
      <c r="A114" s="2" t="s">
        <v>147</v>
      </c>
      <c r="B114" s="2" t="s">
        <v>18</v>
      </c>
      <c r="C114" s="2" t="s">
        <v>13</v>
      </c>
      <c r="D114" s="8" t="s">
        <v>580</v>
      </c>
      <c r="E114" s="6">
        <v>44987.0</v>
      </c>
      <c r="F114" s="6">
        <v>45234.0</v>
      </c>
      <c r="G114" s="7">
        <v>2.034415367E9</v>
      </c>
      <c r="H114" s="2" t="s">
        <v>67</v>
      </c>
      <c r="I114" s="2">
        <f t="shared" ref="I114:P114" si="117">IF(ISBLANK(A114)=TRUE,0,1)</f>
        <v>1</v>
      </c>
      <c r="J114" s="2">
        <f t="shared" si="117"/>
        <v>1</v>
      </c>
      <c r="K114" s="2">
        <f t="shared" si="117"/>
        <v>1</v>
      </c>
      <c r="L114" s="2">
        <f t="shared" si="117"/>
        <v>1</v>
      </c>
      <c r="M114" s="2">
        <f t="shared" si="117"/>
        <v>1</v>
      </c>
      <c r="N114" s="2">
        <f t="shared" si="117"/>
        <v>1</v>
      </c>
      <c r="O114" s="2">
        <f t="shared" si="117"/>
        <v>1</v>
      </c>
      <c r="P114" s="2">
        <f t="shared" si="117"/>
        <v>1</v>
      </c>
      <c r="Q114" s="2">
        <f t="shared" si="3"/>
        <v>1</v>
      </c>
      <c r="R114" s="2">
        <f>IF(ISERROR(VLOOKUP(A114, 'Project Reference'!A:A, 1, FALSE)), 0, 1)</f>
        <v>1</v>
      </c>
      <c r="S114" s="2">
        <f>IFERROR(__xludf.DUMMYFUNCTION("IF(AND(REGEXMATCH(D114, B114), REGEXMATCH(D114, C114)), 1, 0)
"),1.0)</f>
        <v>1</v>
      </c>
      <c r="T114" s="2">
        <f t="shared" si="4"/>
        <v>1</v>
      </c>
      <c r="U114" s="2">
        <f t="shared" si="5"/>
        <v>1</v>
      </c>
      <c r="V114" s="2">
        <f t="shared" si="6"/>
        <v>1</v>
      </c>
    </row>
    <row r="115" ht="14.25" customHeight="1">
      <c r="A115" s="2" t="s">
        <v>148</v>
      </c>
      <c r="B115" s="2" t="s">
        <v>30</v>
      </c>
      <c r="C115" s="2" t="s">
        <v>42</v>
      </c>
      <c r="D115" s="8" t="s">
        <v>627</v>
      </c>
      <c r="E115" s="6">
        <v>44989.0</v>
      </c>
      <c r="F115" s="6">
        <v>45301.0</v>
      </c>
      <c r="G115" s="7">
        <v>1.597122511E9</v>
      </c>
      <c r="H115" s="2" t="s">
        <v>44</v>
      </c>
      <c r="I115" s="2">
        <f t="shared" ref="I115:P115" si="118">IF(ISBLANK(A115)=TRUE,0,1)</f>
        <v>1</v>
      </c>
      <c r="J115" s="2">
        <f t="shared" si="118"/>
        <v>1</v>
      </c>
      <c r="K115" s="2">
        <f t="shared" si="118"/>
        <v>1</v>
      </c>
      <c r="L115" s="2">
        <f t="shared" si="118"/>
        <v>1</v>
      </c>
      <c r="M115" s="2">
        <f t="shared" si="118"/>
        <v>1</v>
      </c>
      <c r="N115" s="2">
        <f t="shared" si="118"/>
        <v>1</v>
      </c>
      <c r="O115" s="2">
        <f t="shared" si="118"/>
        <v>1</v>
      </c>
      <c r="P115" s="2">
        <f t="shared" si="118"/>
        <v>1</v>
      </c>
      <c r="Q115" s="2">
        <f t="shared" si="3"/>
        <v>1</v>
      </c>
      <c r="R115" s="2">
        <f>IF(ISERROR(VLOOKUP(A115, 'Project Reference'!A:A, 1, FALSE)), 0, 1)</f>
        <v>1</v>
      </c>
      <c r="S115" s="2">
        <f>IFERROR(__xludf.DUMMYFUNCTION("IF(AND(REGEXMATCH(D115, B115), REGEXMATCH(D115, C115)), 1, 0)
"),1.0)</f>
        <v>1</v>
      </c>
      <c r="T115" s="2">
        <f t="shared" si="4"/>
        <v>1</v>
      </c>
      <c r="U115" s="2">
        <f t="shared" si="5"/>
        <v>1</v>
      </c>
      <c r="V115" s="2">
        <f t="shared" si="6"/>
        <v>1</v>
      </c>
    </row>
    <row r="116" ht="14.25" customHeight="1">
      <c r="A116" s="2" t="s">
        <v>149</v>
      </c>
      <c r="B116" s="2" t="s">
        <v>12</v>
      </c>
      <c r="C116" s="2" t="s">
        <v>42</v>
      </c>
      <c r="D116" s="8" t="s">
        <v>603</v>
      </c>
      <c r="E116" s="6">
        <v>44989.0</v>
      </c>
      <c r="F116" s="6">
        <v>45120.0</v>
      </c>
      <c r="G116" s="7">
        <v>9.66519099E8</v>
      </c>
      <c r="H116" s="2" t="s">
        <v>33</v>
      </c>
      <c r="I116" s="2">
        <f t="shared" ref="I116:P116" si="119">IF(ISBLANK(A116)=TRUE,0,1)</f>
        <v>1</v>
      </c>
      <c r="J116" s="2">
        <f t="shared" si="119"/>
        <v>1</v>
      </c>
      <c r="K116" s="2">
        <f t="shared" si="119"/>
        <v>1</v>
      </c>
      <c r="L116" s="2">
        <f t="shared" si="119"/>
        <v>1</v>
      </c>
      <c r="M116" s="2">
        <f t="shared" si="119"/>
        <v>1</v>
      </c>
      <c r="N116" s="2">
        <f t="shared" si="119"/>
        <v>1</v>
      </c>
      <c r="O116" s="2">
        <f t="shared" si="119"/>
        <v>1</v>
      </c>
      <c r="P116" s="2">
        <f t="shared" si="119"/>
        <v>1</v>
      </c>
      <c r="Q116" s="2">
        <f t="shared" si="3"/>
        <v>1</v>
      </c>
      <c r="R116" s="2">
        <f>IF(ISERROR(VLOOKUP(A116, 'Project Reference'!A:A, 1, FALSE)), 0, 1)</f>
        <v>1</v>
      </c>
      <c r="S116" s="2">
        <f>IFERROR(__xludf.DUMMYFUNCTION("IF(AND(REGEXMATCH(D116, B116), REGEXMATCH(D116, C116)), 1, 0)
"),1.0)</f>
        <v>1</v>
      </c>
      <c r="T116" s="2">
        <f t="shared" si="4"/>
        <v>1</v>
      </c>
      <c r="U116" s="2">
        <f t="shared" si="5"/>
        <v>1</v>
      </c>
      <c r="V116" s="2">
        <f t="shared" si="6"/>
        <v>1</v>
      </c>
    </row>
    <row r="117" ht="14.25" customHeight="1">
      <c r="A117" s="2" t="s">
        <v>150</v>
      </c>
      <c r="B117" s="2" t="s">
        <v>12</v>
      </c>
      <c r="C117" s="2" t="s">
        <v>13</v>
      </c>
      <c r="D117" s="8" t="s">
        <v>605</v>
      </c>
      <c r="E117" s="6">
        <v>44990.0</v>
      </c>
      <c r="F117" s="6">
        <v>45158.0</v>
      </c>
      <c r="G117" s="7">
        <v>8.81938572E8</v>
      </c>
      <c r="H117" s="8" t="s">
        <v>581</v>
      </c>
      <c r="I117" s="2">
        <f t="shared" ref="I117:P117" si="120">IF(ISBLANK(A117)=TRUE,0,1)</f>
        <v>1</v>
      </c>
      <c r="J117" s="2">
        <f t="shared" si="120"/>
        <v>1</v>
      </c>
      <c r="K117" s="2">
        <f t="shared" si="120"/>
        <v>1</v>
      </c>
      <c r="L117" s="2">
        <f t="shared" si="120"/>
        <v>1</v>
      </c>
      <c r="M117" s="2">
        <f t="shared" si="120"/>
        <v>1</v>
      </c>
      <c r="N117" s="2">
        <f t="shared" si="120"/>
        <v>1</v>
      </c>
      <c r="O117" s="2">
        <f t="shared" si="120"/>
        <v>1</v>
      </c>
      <c r="P117" s="2">
        <f t="shared" si="120"/>
        <v>1</v>
      </c>
      <c r="Q117" s="2">
        <f t="shared" si="3"/>
        <v>1</v>
      </c>
      <c r="R117" s="2">
        <f>IF(ISERROR(VLOOKUP(A117, 'Project Reference'!A:A, 1, FALSE)), 0, 1)</f>
        <v>1</v>
      </c>
      <c r="S117" s="2">
        <f>IFERROR(__xludf.DUMMYFUNCTION("IF(AND(REGEXMATCH(D117, B117), REGEXMATCH(D117, C117)), 1, 0)
"),1.0)</f>
        <v>1</v>
      </c>
      <c r="T117" s="2">
        <f t="shared" si="4"/>
        <v>1</v>
      </c>
      <c r="U117" s="2">
        <f t="shared" si="5"/>
        <v>1</v>
      </c>
      <c r="V117" s="2">
        <f t="shared" si="6"/>
        <v>1</v>
      </c>
    </row>
    <row r="118" ht="14.25" customHeight="1">
      <c r="A118" s="2" t="s">
        <v>151</v>
      </c>
      <c r="B118" s="2" t="s">
        <v>60</v>
      </c>
      <c r="C118" s="2" t="s">
        <v>39</v>
      </c>
      <c r="D118" s="8" t="s">
        <v>626</v>
      </c>
      <c r="E118" s="6">
        <v>44990.0</v>
      </c>
      <c r="F118" s="6">
        <v>45020.0</v>
      </c>
      <c r="G118" s="7">
        <v>4.50812299E9</v>
      </c>
      <c r="H118" s="2" t="s">
        <v>50</v>
      </c>
      <c r="I118" s="2">
        <f t="shared" ref="I118:P118" si="121">IF(ISBLANK(A118)=TRUE,0,1)</f>
        <v>1</v>
      </c>
      <c r="J118" s="2">
        <f t="shared" si="121"/>
        <v>1</v>
      </c>
      <c r="K118" s="2">
        <f t="shared" si="121"/>
        <v>1</v>
      </c>
      <c r="L118" s="2">
        <f t="shared" si="121"/>
        <v>1</v>
      </c>
      <c r="M118" s="2">
        <f t="shared" si="121"/>
        <v>1</v>
      </c>
      <c r="N118" s="2">
        <f t="shared" si="121"/>
        <v>1</v>
      </c>
      <c r="O118" s="2">
        <f t="shared" si="121"/>
        <v>1</v>
      </c>
      <c r="P118" s="2">
        <f t="shared" si="121"/>
        <v>1</v>
      </c>
      <c r="Q118" s="2">
        <f t="shared" si="3"/>
        <v>1</v>
      </c>
      <c r="R118" s="2">
        <f>IF(ISERROR(VLOOKUP(A118, 'Project Reference'!A:A, 1, FALSE)), 0, 1)</f>
        <v>1</v>
      </c>
      <c r="S118" s="2">
        <f>IFERROR(__xludf.DUMMYFUNCTION("IF(AND(REGEXMATCH(D118, B118), REGEXMATCH(D118, C118)), 1, 0)
"),1.0)</f>
        <v>1</v>
      </c>
      <c r="T118" s="2">
        <f t="shared" si="4"/>
        <v>1</v>
      </c>
      <c r="U118" s="2">
        <f t="shared" si="5"/>
        <v>1</v>
      </c>
      <c r="V118" s="2">
        <f t="shared" si="6"/>
        <v>1</v>
      </c>
    </row>
    <row r="119" ht="14.25" customHeight="1">
      <c r="A119" s="2" t="s">
        <v>152</v>
      </c>
      <c r="B119" s="2" t="s">
        <v>60</v>
      </c>
      <c r="C119" s="2" t="s">
        <v>42</v>
      </c>
      <c r="D119" s="8" t="s">
        <v>587</v>
      </c>
      <c r="E119" s="6">
        <v>44990.0</v>
      </c>
      <c r="F119" s="6">
        <v>45311.0</v>
      </c>
      <c r="G119" s="7">
        <v>1.863372939E9</v>
      </c>
      <c r="H119" s="2" t="s">
        <v>44</v>
      </c>
      <c r="I119" s="2">
        <f t="shared" ref="I119:P119" si="122">IF(ISBLANK(A119)=TRUE,0,1)</f>
        <v>1</v>
      </c>
      <c r="J119" s="2">
        <f t="shared" si="122"/>
        <v>1</v>
      </c>
      <c r="K119" s="2">
        <f t="shared" si="122"/>
        <v>1</v>
      </c>
      <c r="L119" s="2">
        <f t="shared" si="122"/>
        <v>1</v>
      </c>
      <c r="M119" s="2">
        <f t="shared" si="122"/>
        <v>1</v>
      </c>
      <c r="N119" s="2">
        <f t="shared" si="122"/>
        <v>1</v>
      </c>
      <c r="O119" s="2">
        <f t="shared" si="122"/>
        <v>1</v>
      </c>
      <c r="P119" s="2">
        <f t="shared" si="122"/>
        <v>1</v>
      </c>
      <c r="Q119" s="2">
        <f t="shared" si="3"/>
        <v>1</v>
      </c>
      <c r="R119" s="2">
        <f>IF(ISERROR(VLOOKUP(A119, 'Project Reference'!A:A, 1, FALSE)), 0, 1)</f>
        <v>1</v>
      </c>
      <c r="S119" s="2">
        <f>IFERROR(__xludf.DUMMYFUNCTION("IF(AND(REGEXMATCH(D119, B119), REGEXMATCH(D119, C119)), 1, 0)
"),1.0)</f>
        <v>1</v>
      </c>
      <c r="T119" s="2">
        <f t="shared" si="4"/>
        <v>1</v>
      </c>
      <c r="U119" s="2">
        <f t="shared" si="5"/>
        <v>1</v>
      </c>
      <c r="V119" s="2">
        <f t="shared" si="6"/>
        <v>1</v>
      </c>
    </row>
    <row r="120" ht="14.25" customHeight="1">
      <c r="A120" s="2" t="s">
        <v>153</v>
      </c>
      <c r="B120" s="2" t="s">
        <v>35</v>
      </c>
      <c r="C120" s="2" t="s">
        <v>13</v>
      </c>
      <c r="D120" s="2" t="s">
        <v>78</v>
      </c>
      <c r="E120" s="6">
        <v>44991.0</v>
      </c>
      <c r="F120" s="6">
        <v>45062.0</v>
      </c>
      <c r="G120" s="7">
        <v>5.12883235E8</v>
      </c>
      <c r="H120" s="8" t="s">
        <v>573</v>
      </c>
      <c r="I120" s="2">
        <f t="shared" ref="I120:P120" si="123">IF(ISBLANK(A120)=TRUE,0,1)</f>
        <v>1</v>
      </c>
      <c r="J120" s="2">
        <f t="shared" si="123"/>
        <v>1</v>
      </c>
      <c r="K120" s="2">
        <f t="shared" si="123"/>
        <v>1</v>
      </c>
      <c r="L120" s="2">
        <f t="shared" si="123"/>
        <v>1</v>
      </c>
      <c r="M120" s="2">
        <f t="shared" si="123"/>
        <v>1</v>
      </c>
      <c r="N120" s="2">
        <f t="shared" si="123"/>
        <v>1</v>
      </c>
      <c r="O120" s="2">
        <f t="shared" si="123"/>
        <v>1</v>
      </c>
      <c r="P120" s="2">
        <f t="shared" si="123"/>
        <v>1</v>
      </c>
      <c r="Q120" s="2">
        <f t="shared" si="3"/>
        <v>1</v>
      </c>
      <c r="R120" s="2">
        <f>IF(ISERROR(VLOOKUP(A120, 'Project Reference'!A:A, 1, FALSE)), 0, 1)</f>
        <v>1</v>
      </c>
      <c r="S120" s="2">
        <f>IFERROR(__xludf.DUMMYFUNCTION("IF(AND(REGEXMATCH(D120, B120), REGEXMATCH(D120, C120)), 1, 0)
"),1.0)</f>
        <v>1</v>
      </c>
      <c r="T120" s="2">
        <f t="shared" si="4"/>
        <v>1</v>
      </c>
      <c r="U120" s="2">
        <f t="shared" si="5"/>
        <v>1</v>
      </c>
      <c r="V120" s="2">
        <f t="shared" si="6"/>
        <v>1</v>
      </c>
    </row>
    <row r="121" ht="14.25" customHeight="1">
      <c r="A121" s="2" t="s">
        <v>155</v>
      </c>
      <c r="B121" s="2" t="s">
        <v>18</v>
      </c>
      <c r="C121" s="2" t="s">
        <v>42</v>
      </c>
      <c r="D121" s="8" t="s">
        <v>621</v>
      </c>
      <c r="E121" s="6">
        <v>44991.0</v>
      </c>
      <c r="F121" s="6">
        <v>45338.0</v>
      </c>
      <c r="G121" s="7">
        <v>4.679669631E9</v>
      </c>
      <c r="H121" s="2" t="s">
        <v>44</v>
      </c>
      <c r="I121" s="2">
        <f t="shared" ref="I121:P121" si="124">IF(ISBLANK(A121)=TRUE,0,1)</f>
        <v>1</v>
      </c>
      <c r="J121" s="2">
        <f t="shared" si="124"/>
        <v>1</v>
      </c>
      <c r="K121" s="2">
        <f t="shared" si="124"/>
        <v>1</v>
      </c>
      <c r="L121" s="2">
        <f t="shared" si="124"/>
        <v>1</v>
      </c>
      <c r="M121" s="2">
        <f t="shared" si="124"/>
        <v>1</v>
      </c>
      <c r="N121" s="2">
        <f t="shared" si="124"/>
        <v>1</v>
      </c>
      <c r="O121" s="2">
        <f t="shared" si="124"/>
        <v>1</v>
      </c>
      <c r="P121" s="2">
        <f t="shared" si="124"/>
        <v>1</v>
      </c>
      <c r="Q121" s="2">
        <f t="shared" si="3"/>
        <v>1</v>
      </c>
      <c r="R121" s="2">
        <f>IF(ISERROR(VLOOKUP(A121, 'Project Reference'!A:A, 1, FALSE)), 0, 1)</f>
        <v>1</v>
      </c>
      <c r="S121" s="2">
        <f>IFERROR(__xludf.DUMMYFUNCTION("IF(AND(REGEXMATCH(D121, B121), REGEXMATCH(D121, C121)), 1, 0)
"),1.0)</f>
        <v>1</v>
      </c>
      <c r="T121" s="2">
        <f t="shared" si="4"/>
        <v>1</v>
      </c>
      <c r="U121" s="2">
        <f t="shared" si="5"/>
        <v>1</v>
      </c>
      <c r="V121" s="2">
        <f t="shared" si="6"/>
        <v>1</v>
      </c>
    </row>
    <row r="122" ht="14.25" customHeight="1">
      <c r="A122" s="2" t="s">
        <v>156</v>
      </c>
      <c r="B122" s="2" t="s">
        <v>30</v>
      </c>
      <c r="C122" s="2" t="s">
        <v>31</v>
      </c>
      <c r="D122" s="8" t="s">
        <v>595</v>
      </c>
      <c r="E122" s="6">
        <v>44991.0</v>
      </c>
      <c r="F122" s="6">
        <v>45269.0</v>
      </c>
      <c r="G122" s="7">
        <v>4.513453864E9</v>
      </c>
      <c r="H122" s="8" t="s">
        <v>573</v>
      </c>
      <c r="I122" s="2">
        <f t="shared" ref="I122:P122" si="125">IF(ISBLANK(A122)=TRUE,0,1)</f>
        <v>1</v>
      </c>
      <c r="J122" s="2">
        <f t="shared" si="125"/>
        <v>1</v>
      </c>
      <c r="K122" s="2">
        <f t="shared" si="125"/>
        <v>1</v>
      </c>
      <c r="L122" s="2">
        <f t="shared" si="125"/>
        <v>1</v>
      </c>
      <c r="M122" s="2">
        <f t="shared" si="125"/>
        <v>1</v>
      </c>
      <c r="N122" s="2">
        <f t="shared" si="125"/>
        <v>1</v>
      </c>
      <c r="O122" s="2">
        <f t="shared" si="125"/>
        <v>1</v>
      </c>
      <c r="P122" s="2">
        <f t="shared" si="125"/>
        <v>1</v>
      </c>
      <c r="Q122" s="2">
        <f t="shared" si="3"/>
        <v>1</v>
      </c>
      <c r="R122" s="2">
        <f>IF(ISERROR(VLOOKUP(A122, 'Project Reference'!A:A, 1, FALSE)), 0, 1)</f>
        <v>1</v>
      </c>
      <c r="S122" s="2">
        <f>IFERROR(__xludf.DUMMYFUNCTION("IF(AND(REGEXMATCH(D122, B122), REGEXMATCH(D122, C122)), 1, 0)
"),1.0)</f>
        <v>1</v>
      </c>
      <c r="T122" s="2">
        <f t="shared" si="4"/>
        <v>1</v>
      </c>
      <c r="U122" s="2">
        <f t="shared" si="5"/>
        <v>1</v>
      </c>
      <c r="V122" s="2">
        <f t="shared" si="6"/>
        <v>1</v>
      </c>
    </row>
    <row r="123" ht="14.25" customHeight="1">
      <c r="A123" s="2" t="s">
        <v>157</v>
      </c>
      <c r="B123" s="2" t="s">
        <v>30</v>
      </c>
      <c r="C123" s="2" t="s">
        <v>36</v>
      </c>
      <c r="D123" s="8" t="s">
        <v>614</v>
      </c>
      <c r="E123" s="6">
        <v>44992.0</v>
      </c>
      <c r="F123" s="6">
        <v>45322.0</v>
      </c>
      <c r="G123" s="7">
        <v>7.126604362E9</v>
      </c>
      <c r="H123" s="2" t="s">
        <v>50</v>
      </c>
      <c r="I123" s="2">
        <f t="shared" ref="I123:P123" si="126">IF(ISBLANK(A123)=TRUE,0,1)</f>
        <v>1</v>
      </c>
      <c r="J123" s="2">
        <f t="shared" si="126"/>
        <v>1</v>
      </c>
      <c r="K123" s="2">
        <f t="shared" si="126"/>
        <v>1</v>
      </c>
      <c r="L123" s="2">
        <f t="shared" si="126"/>
        <v>1</v>
      </c>
      <c r="M123" s="2">
        <f t="shared" si="126"/>
        <v>1</v>
      </c>
      <c r="N123" s="2">
        <f t="shared" si="126"/>
        <v>1</v>
      </c>
      <c r="O123" s="2">
        <f t="shared" si="126"/>
        <v>1</v>
      </c>
      <c r="P123" s="2">
        <f t="shared" si="126"/>
        <v>1</v>
      </c>
      <c r="Q123" s="2">
        <f t="shared" si="3"/>
        <v>1</v>
      </c>
      <c r="R123" s="2">
        <f>IF(ISERROR(VLOOKUP(A123, 'Project Reference'!A:A, 1, FALSE)), 0, 1)</f>
        <v>1</v>
      </c>
      <c r="S123" s="2">
        <f>IFERROR(__xludf.DUMMYFUNCTION("IF(AND(REGEXMATCH(D123, B123), REGEXMATCH(D123, C123)), 1, 0)
"),1.0)</f>
        <v>1</v>
      </c>
      <c r="T123" s="2">
        <f t="shared" si="4"/>
        <v>1</v>
      </c>
      <c r="U123" s="2">
        <f t="shared" si="5"/>
        <v>1</v>
      </c>
      <c r="V123" s="2">
        <f t="shared" si="6"/>
        <v>1</v>
      </c>
    </row>
    <row r="124" ht="14.25" customHeight="1">
      <c r="A124" s="2" t="s">
        <v>158</v>
      </c>
      <c r="B124" s="2" t="s">
        <v>30</v>
      </c>
      <c r="C124" s="2" t="s">
        <v>42</v>
      </c>
      <c r="D124" s="8" t="s">
        <v>627</v>
      </c>
      <c r="E124" s="6">
        <v>44994.0</v>
      </c>
      <c r="F124" s="6">
        <v>45241.0</v>
      </c>
      <c r="G124" s="7">
        <v>4.952427692E9</v>
      </c>
      <c r="H124" s="8" t="s">
        <v>573</v>
      </c>
      <c r="I124" s="2">
        <f t="shared" ref="I124:P124" si="127">IF(ISBLANK(A124)=TRUE,0,1)</f>
        <v>1</v>
      </c>
      <c r="J124" s="2">
        <f t="shared" si="127"/>
        <v>1</v>
      </c>
      <c r="K124" s="2">
        <f t="shared" si="127"/>
        <v>1</v>
      </c>
      <c r="L124" s="2">
        <f t="shared" si="127"/>
        <v>1</v>
      </c>
      <c r="M124" s="2">
        <f t="shared" si="127"/>
        <v>1</v>
      </c>
      <c r="N124" s="2">
        <f t="shared" si="127"/>
        <v>1</v>
      </c>
      <c r="O124" s="2">
        <f t="shared" si="127"/>
        <v>1</v>
      </c>
      <c r="P124" s="2">
        <f t="shared" si="127"/>
        <v>1</v>
      </c>
      <c r="Q124" s="2">
        <f t="shared" si="3"/>
        <v>1</v>
      </c>
      <c r="R124" s="2">
        <f>IF(ISERROR(VLOOKUP(A124, 'Project Reference'!A:A, 1, FALSE)), 0, 1)</f>
        <v>1</v>
      </c>
      <c r="S124" s="2">
        <f>IFERROR(__xludf.DUMMYFUNCTION("IF(AND(REGEXMATCH(D124, B124), REGEXMATCH(D124, C124)), 1, 0)
"),1.0)</f>
        <v>1</v>
      </c>
      <c r="T124" s="2">
        <f t="shared" si="4"/>
        <v>1</v>
      </c>
      <c r="U124" s="2">
        <f t="shared" si="5"/>
        <v>1</v>
      </c>
      <c r="V124" s="2">
        <f t="shared" si="6"/>
        <v>1</v>
      </c>
    </row>
    <row r="125" ht="14.25" customHeight="1">
      <c r="A125" s="2" t="s">
        <v>159</v>
      </c>
      <c r="B125" s="2" t="s">
        <v>35</v>
      </c>
      <c r="C125" s="2" t="s">
        <v>31</v>
      </c>
      <c r="D125" s="2" t="s">
        <v>91</v>
      </c>
      <c r="E125" s="6">
        <v>44994.0</v>
      </c>
      <c r="F125" s="6">
        <v>45231.0</v>
      </c>
      <c r="G125" s="7">
        <v>5.4275981E8</v>
      </c>
      <c r="H125" s="2" t="s">
        <v>44</v>
      </c>
      <c r="I125" s="2">
        <f t="shared" ref="I125:P125" si="128">IF(ISBLANK(A125)=TRUE,0,1)</f>
        <v>1</v>
      </c>
      <c r="J125" s="2">
        <f t="shared" si="128"/>
        <v>1</v>
      </c>
      <c r="K125" s="2">
        <f t="shared" si="128"/>
        <v>1</v>
      </c>
      <c r="L125" s="2">
        <f t="shared" si="128"/>
        <v>1</v>
      </c>
      <c r="M125" s="2">
        <f t="shared" si="128"/>
        <v>1</v>
      </c>
      <c r="N125" s="2">
        <f t="shared" si="128"/>
        <v>1</v>
      </c>
      <c r="O125" s="2">
        <f t="shared" si="128"/>
        <v>1</v>
      </c>
      <c r="P125" s="2">
        <f t="shared" si="128"/>
        <v>1</v>
      </c>
      <c r="Q125" s="2">
        <f t="shared" si="3"/>
        <v>1</v>
      </c>
      <c r="R125" s="2">
        <f>IF(ISERROR(VLOOKUP(A125, 'Project Reference'!A:A, 1, FALSE)), 0, 1)</f>
        <v>1</v>
      </c>
      <c r="S125" s="2">
        <f>IFERROR(__xludf.DUMMYFUNCTION("IF(AND(REGEXMATCH(D125, B125), REGEXMATCH(D125, C125)), 1, 0)
"),1.0)</f>
        <v>1</v>
      </c>
      <c r="T125" s="2">
        <f t="shared" si="4"/>
        <v>1</v>
      </c>
      <c r="U125" s="2">
        <f t="shared" si="5"/>
        <v>1</v>
      </c>
      <c r="V125" s="2">
        <f t="shared" si="6"/>
        <v>1</v>
      </c>
    </row>
    <row r="126" ht="14.25" customHeight="1">
      <c r="A126" s="2" t="s">
        <v>161</v>
      </c>
      <c r="B126" s="2" t="s">
        <v>18</v>
      </c>
      <c r="C126" s="2" t="s">
        <v>48</v>
      </c>
      <c r="D126" s="8" t="s">
        <v>629</v>
      </c>
      <c r="E126" s="6">
        <v>44994.0</v>
      </c>
      <c r="F126" s="6">
        <v>45074.0</v>
      </c>
      <c r="G126" s="7">
        <v>5.059161734E9</v>
      </c>
      <c r="H126" s="2" t="s">
        <v>50</v>
      </c>
      <c r="I126" s="2">
        <f t="shared" ref="I126:P126" si="129">IF(ISBLANK(A126)=TRUE,0,1)</f>
        <v>1</v>
      </c>
      <c r="J126" s="2">
        <f t="shared" si="129"/>
        <v>1</v>
      </c>
      <c r="K126" s="2">
        <f t="shared" si="129"/>
        <v>1</v>
      </c>
      <c r="L126" s="2">
        <f t="shared" si="129"/>
        <v>1</v>
      </c>
      <c r="M126" s="2">
        <f t="shared" si="129"/>
        <v>1</v>
      </c>
      <c r="N126" s="2">
        <f t="shared" si="129"/>
        <v>1</v>
      </c>
      <c r="O126" s="2">
        <f t="shared" si="129"/>
        <v>1</v>
      </c>
      <c r="P126" s="2">
        <f t="shared" si="129"/>
        <v>1</v>
      </c>
      <c r="Q126" s="2">
        <f t="shared" si="3"/>
        <v>1</v>
      </c>
      <c r="R126" s="2">
        <f>IF(ISERROR(VLOOKUP(A126, 'Project Reference'!A:A, 1, FALSE)), 0, 1)</f>
        <v>1</v>
      </c>
      <c r="S126" s="2">
        <f>IFERROR(__xludf.DUMMYFUNCTION("IF(AND(REGEXMATCH(D126, B126), REGEXMATCH(D126, C126)), 1, 0)
"),1.0)</f>
        <v>1</v>
      </c>
      <c r="T126" s="2">
        <f t="shared" si="4"/>
        <v>1</v>
      </c>
      <c r="U126" s="2">
        <f t="shared" si="5"/>
        <v>1</v>
      </c>
      <c r="V126" s="2">
        <f t="shared" si="6"/>
        <v>1</v>
      </c>
    </row>
    <row r="127" ht="14.25" customHeight="1">
      <c r="A127" s="2" t="s">
        <v>162</v>
      </c>
      <c r="B127" s="2" t="s">
        <v>30</v>
      </c>
      <c r="C127" s="2" t="s">
        <v>31</v>
      </c>
      <c r="D127" s="8" t="s">
        <v>585</v>
      </c>
      <c r="E127" s="6">
        <v>44996.0</v>
      </c>
      <c r="F127" s="6">
        <v>45203.0</v>
      </c>
      <c r="G127" s="7">
        <v>5.462259142E9</v>
      </c>
      <c r="H127" s="2" t="s">
        <v>21</v>
      </c>
      <c r="I127" s="2">
        <f t="shared" ref="I127:P127" si="130">IF(ISBLANK(A127)=TRUE,0,1)</f>
        <v>1</v>
      </c>
      <c r="J127" s="2">
        <f t="shared" si="130"/>
        <v>1</v>
      </c>
      <c r="K127" s="2">
        <f t="shared" si="130"/>
        <v>1</v>
      </c>
      <c r="L127" s="2">
        <f t="shared" si="130"/>
        <v>1</v>
      </c>
      <c r="M127" s="2">
        <f t="shared" si="130"/>
        <v>1</v>
      </c>
      <c r="N127" s="2">
        <f t="shared" si="130"/>
        <v>1</v>
      </c>
      <c r="O127" s="2">
        <f t="shared" si="130"/>
        <v>1</v>
      </c>
      <c r="P127" s="2">
        <f t="shared" si="130"/>
        <v>1</v>
      </c>
      <c r="Q127" s="2">
        <f t="shared" si="3"/>
        <v>1</v>
      </c>
      <c r="R127" s="2">
        <f>IF(ISERROR(VLOOKUP(A127, 'Project Reference'!A:A, 1, FALSE)), 0, 1)</f>
        <v>1</v>
      </c>
      <c r="S127" s="2">
        <f>IFERROR(__xludf.DUMMYFUNCTION("IF(AND(REGEXMATCH(D127, B127), REGEXMATCH(D127, C127)), 1, 0)
"),1.0)</f>
        <v>1</v>
      </c>
      <c r="T127" s="2">
        <f t="shared" si="4"/>
        <v>1</v>
      </c>
      <c r="U127" s="2">
        <f t="shared" si="5"/>
        <v>1</v>
      </c>
      <c r="V127" s="2">
        <f t="shared" si="6"/>
        <v>1</v>
      </c>
    </row>
    <row r="128" ht="14.25" customHeight="1">
      <c r="A128" s="2" t="s">
        <v>163</v>
      </c>
      <c r="B128" s="2" t="s">
        <v>60</v>
      </c>
      <c r="C128" s="2" t="s">
        <v>13</v>
      </c>
      <c r="D128" s="8" t="s">
        <v>619</v>
      </c>
      <c r="E128" s="6">
        <v>44996.0</v>
      </c>
      <c r="F128" s="6">
        <v>45181.0</v>
      </c>
      <c r="G128" s="7">
        <v>3.922070251E9</v>
      </c>
      <c r="H128" s="2" t="s">
        <v>50</v>
      </c>
      <c r="I128" s="2">
        <f t="shared" ref="I128:P128" si="131">IF(ISBLANK(A128)=TRUE,0,1)</f>
        <v>1</v>
      </c>
      <c r="J128" s="2">
        <f t="shared" si="131"/>
        <v>1</v>
      </c>
      <c r="K128" s="2">
        <f t="shared" si="131"/>
        <v>1</v>
      </c>
      <c r="L128" s="2">
        <f t="shared" si="131"/>
        <v>1</v>
      </c>
      <c r="M128" s="2">
        <f t="shared" si="131"/>
        <v>1</v>
      </c>
      <c r="N128" s="2">
        <f t="shared" si="131"/>
        <v>1</v>
      </c>
      <c r="O128" s="2">
        <f t="shared" si="131"/>
        <v>1</v>
      </c>
      <c r="P128" s="2">
        <f t="shared" si="131"/>
        <v>1</v>
      </c>
      <c r="Q128" s="2">
        <f t="shared" si="3"/>
        <v>1</v>
      </c>
      <c r="R128" s="2">
        <f>IF(ISERROR(VLOOKUP(A128, 'Project Reference'!A:A, 1, FALSE)), 0, 1)</f>
        <v>1</v>
      </c>
      <c r="S128" s="2">
        <f>IFERROR(__xludf.DUMMYFUNCTION("IF(AND(REGEXMATCH(D128, B128), REGEXMATCH(D128, C128)), 1, 0)
"),1.0)</f>
        <v>1</v>
      </c>
      <c r="T128" s="2">
        <f t="shared" si="4"/>
        <v>1</v>
      </c>
      <c r="U128" s="2">
        <f t="shared" si="5"/>
        <v>1</v>
      </c>
      <c r="V128" s="2">
        <f t="shared" si="6"/>
        <v>1</v>
      </c>
    </row>
    <row r="129" ht="14.25" customHeight="1">
      <c r="A129" s="2" t="s">
        <v>164</v>
      </c>
      <c r="B129" s="2" t="s">
        <v>18</v>
      </c>
      <c r="C129" s="2" t="s">
        <v>19</v>
      </c>
      <c r="D129" s="8" t="s">
        <v>633</v>
      </c>
      <c r="E129" s="6">
        <v>44998.0</v>
      </c>
      <c r="F129" s="6">
        <v>45341.0</v>
      </c>
      <c r="G129" s="7">
        <v>9.404668499E9</v>
      </c>
      <c r="H129" s="22"/>
      <c r="I129" s="2">
        <f t="shared" ref="I129:P129" si="132">IF(ISBLANK(A129)=TRUE,0,1)</f>
        <v>1</v>
      </c>
      <c r="J129" s="2">
        <f t="shared" si="132"/>
        <v>1</v>
      </c>
      <c r="K129" s="2">
        <f t="shared" si="132"/>
        <v>1</v>
      </c>
      <c r="L129" s="2">
        <f t="shared" si="132"/>
        <v>1</v>
      </c>
      <c r="M129" s="2">
        <f t="shared" si="132"/>
        <v>1</v>
      </c>
      <c r="N129" s="2">
        <f t="shared" si="132"/>
        <v>1</v>
      </c>
      <c r="O129" s="2">
        <f t="shared" si="132"/>
        <v>1</v>
      </c>
      <c r="P129" s="2">
        <f t="shared" si="132"/>
        <v>0</v>
      </c>
      <c r="Q129" s="2">
        <f t="shared" si="3"/>
        <v>1</v>
      </c>
      <c r="R129" s="2">
        <f>IF(ISERROR(VLOOKUP(A129, 'Project Reference'!A:A, 1, FALSE)), 0, 1)</f>
        <v>1</v>
      </c>
      <c r="S129" s="2">
        <f>IFERROR(__xludf.DUMMYFUNCTION("IF(AND(REGEXMATCH(D129, B129), REGEXMATCH(D129, C129)), 1, 0)
"),1.0)</f>
        <v>1</v>
      </c>
      <c r="T129" s="2">
        <f t="shared" si="4"/>
        <v>1</v>
      </c>
      <c r="U129" s="2">
        <f t="shared" si="5"/>
        <v>1</v>
      </c>
      <c r="V129" s="2">
        <f t="shared" si="6"/>
        <v>1</v>
      </c>
    </row>
    <row r="130" ht="14.25" customHeight="1">
      <c r="A130" s="2" t="s">
        <v>165</v>
      </c>
      <c r="B130" s="2" t="s">
        <v>18</v>
      </c>
      <c r="C130" s="2" t="s">
        <v>13</v>
      </c>
      <c r="D130" s="8" t="s">
        <v>580</v>
      </c>
      <c r="E130" s="6">
        <v>45000.0</v>
      </c>
      <c r="F130" s="6">
        <v>45038.0</v>
      </c>
      <c r="G130" s="7">
        <v>6.049021945E9</v>
      </c>
      <c r="H130" s="2" t="s">
        <v>44</v>
      </c>
      <c r="I130" s="2">
        <f t="shared" ref="I130:P130" si="133">IF(ISBLANK(A130)=TRUE,0,1)</f>
        <v>1</v>
      </c>
      <c r="J130" s="2">
        <f t="shared" si="133"/>
        <v>1</v>
      </c>
      <c r="K130" s="2">
        <f t="shared" si="133"/>
        <v>1</v>
      </c>
      <c r="L130" s="2">
        <f t="shared" si="133"/>
        <v>1</v>
      </c>
      <c r="M130" s="2">
        <f t="shared" si="133"/>
        <v>1</v>
      </c>
      <c r="N130" s="2">
        <f t="shared" si="133"/>
        <v>1</v>
      </c>
      <c r="O130" s="2">
        <f t="shared" si="133"/>
        <v>1</v>
      </c>
      <c r="P130" s="2">
        <f t="shared" si="133"/>
        <v>1</v>
      </c>
      <c r="Q130" s="2">
        <f t="shared" si="3"/>
        <v>1</v>
      </c>
      <c r="R130" s="2">
        <f>IF(ISERROR(VLOOKUP(A130, 'Project Reference'!A:A, 1, FALSE)), 0, 1)</f>
        <v>1</v>
      </c>
      <c r="S130" s="2">
        <f>IFERROR(__xludf.DUMMYFUNCTION("IF(AND(REGEXMATCH(D130, B130), REGEXMATCH(D130, C130)), 1, 0)
"),1.0)</f>
        <v>1</v>
      </c>
      <c r="T130" s="2">
        <f t="shared" si="4"/>
        <v>1</v>
      </c>
      <c r="U130" s="2">
        <f t="shared" si="5"/>
        <v>1</v>
      </c>
      <c r="V130" s="2">
        <f t="shared" si="6"/>
        <v>1</v>
      </c>
    </row>
    <row r="131" ht="14.25" customHeight="1">
      <c r="A131" s="2" t="s">
        <v>166</v>
      </c>
      <c r="B131" s="2" t="s">
        <v>12</v>
      </c>
      <c r="C131" s="2" t="s">
        <v>13</v>
      </c>
      <c r="D131" s="8" t="s">
        <v>605</v>
      </c>
      <c r="E131" s="6">
        <v>45001.0</v>
      </c>
      <c r="F131" s="6">
        <v>45325.0</v>
      </c>
      <c r="G131" s="7">
        <v>9.89197622E8</v>
      </c>
      <c r="H131" s="2" t="s">
        <v>44</v>
      </c>
      <c r="I131" s="2">
        <f t="shared" ref="I131:P131" si="134">IF(ISBLANK(A131)=TRUE,0,1)</f>
        <v>1</v>
      </c>
      <c r="J131" s="2">
        <f t="shared" si="134"/>
        <v>1</v>
      </c>
      <c r="K131" s="2">
        <f t="shared" si="134"/>
        <v>1</v>
      </c>
      <c r="L131" s="2">
        <f t="shared" si="134"/>
        <v>1</v>
      </c>
      <c r="M131" s="2">
        <f t="shared" si="134"/>
        <v>1</v>
      </c>
      <c r="N131" s="2">
        <f t="shared" si="134"/>
        <v>1</v>
      </c>
      <c r="O131" s="2">
        <f t="shared" si="134"/>
        <v>1</v>
      </c>
      <c r="P131" s="2">
        <f t="shared" si="134"/>
        <v>1</v>
      </c>
      <c r="Q131" s="2">
        <f t="shared" si="3"/>
        <v>1</v>
      </c>
      <c r="R131" s="2">
        <f>IF(ISERROR(VLOOKUP(A131, 'Project Reference'!A:A, 1, FALSE)), 0, 1)</f>
        <v>1</v>
      </c>
      <c r="S131" s="2">
        <f>IFERROR(__xludf.DUMMYFUNCTION("IF(AND(REGEXMATCH(D131, B131), REGEXMATCH(D131, C131)), 1, 0)
"),1.0)</f>
        <v>1</v>
      </c>
      <c r="T131" s="2">
        <f t="shared" si="4"/>
        <v>1</v>
      </c>
      <c r="U131" s="2">
        <f t="shared" si="5"/>
        <v>1</v>
      </c>
      <c r="V131" s="2">
        <f t="shared" si="6"/>
        <v>1</v>
      </c>
    </row>
    <row r="132" ht="14.25" customHeight="1">
      <c r="A132" s="2" t="s">
        <v>167</v>
      </c>
      <c r="B132" s="2" t="s">
        <v>12</v>
      </c>
      <c r="C132" s="2" t="s">
        <v>36</v>
      </c>
      <c r="D132" s="8" t="s">
        <v>578</v>
      </c>
      <c r="E132" s="6">
        <v>45001.0</v>
      </c>
      <c r="F132" s="6">
        <v>45268.0</v>
      </c>
      <c r="G132" s="7">
        <v>9.23609376E8</v>
      </c>
      <c r="H132" s="2" t="s">
        <v>33</v>
      </c>
      <c r="I132" s="2">
        <f t="shared" ref="I132:P132" si="135">IF(ISBLANK(A132)=TRUE,0,1)</f>
        <v>1</v>
      </c>
      <c r="J132" s="2">
        <f t="shared" si="135"/>
        <v>1</v>
      </c>
      <c r="K132" s="2">
        <f t="shared" si="135"/>
        <v>1</v>
      </c>
      <c r="L132" s="2">
        <f t="shared" si="135"/>
        <v>1</v>
      </c>
      <c r="M132" s="2">
        <f t="shared" si="135"/>
        <v>1</v>
      </c>
      <c r="N132" s="2">
        <f t="shared" si="135"/>
        <v>1</v>
      </c>
      <c r="O132" s="2">
        <f t="shared" si="135"/>
        <v>1</v>
      </c>
      <c r="P132" s="2">
        <f t="shared" si="135"/>
        <v>1</v>
      </c>
      <c r="Q132" s="2">
        <f t="shared" si="3"/>
        <v>1</v>
      </c>
      <c r="R132" s="2">
        <f>IF(ISERROR(VLOOKUP(A132, 'Project Reference'!A:A, 1, FALSE)), 0, 1)</f>
        <v>1</v>
      </c>
      <c r="S132" s="2">
        <f>IFERROR(__xludf.DUMMYFUNCTION("IF(AND(REGEXMATCH(D132, B132), REGEXMATCH(D132, C132)), 1, 0)
"),1.0)</f>
        <v>1</v>
      </c>
      <c r="T132" s="2">
        <f t="shared" si="4"/>
        <v>1</v>
      </c>
      <c r="U132" s="2">
        <f t="shared" si="5"/>
        <v>1</v>
      </c>
      <c r="V132" s="2">
        <f t="shared" si="6"/>
        <v>1</v>
      </c>
    </row>
    <row r="133" ht="14.25" customHeight="1">
      <c r="A133" s="2" t="s">
        <v>168</v>
      </c>
      <c r="B133" s="2" t="s">
        <v>18</v>
      </c>
      <c r="C133" s="2" t="s">
        <v>36</v>
      </c>
      <c r="D133" s="8" t="s">
        <v>634</v>
      </c>
      <c r="E133" s="6">
        <v>45001.0</v>
      </c>
      <c r="F133" s="6">
        <v>45173.0</v>
      </c>
      <c r="G133" s="7">
        <v>7.00082207E9</v>
      </c>
      <c r="H133" s="2" t="s">
        <v>50</v>
      </c>
      <c r="I133" s="2">
        <f t="shared" ref="I133:P133" si="136">IF(ISBLANK(A133)=TRUE,0,1)</f>
        <v>1</v>
      </c>
      <c r="J133" s="2">
        <f t="shared" si="136"/>
        <v>1</v>
      </c>
      <c r="K133" s="2">
        <f t="shared" si="136"/>
        <v>1</v>
      </c>
      <c r="L133" s="2">
        <f t="shared" si="136"/>
        <v>1</v>
      </c>
      <c r="M133" s="2">
        <f t="shared" si="136"/>
        <v>1</v>
      </c>
      <c r="N133" s="2">
        <f t="shared" si="136"/>
        <v>1</v>
      </c>
      <c r="O133" s="2">
        <f t="shared" si="136"/>
        <v>1</v>
      </c>
      <c r="P133" s="2">
        <f t="shared" si="136"/>
        <v>1</v>
      </c>
      <c r="Q133" s="2">
        <f t="shared" si="3"/>
        <v>1</v>
      </c>
      <c r="R133" s="2">
        <f>IF(ISERROR(VLOOKUP(A133, 'Project Reference'!A:A, 1, FALSE)), 0, 1)</f>
        <v>1</v>
      </c>
      <c r="S133" s="2">
        <f>IFERROR(__xludf.DUMMYFUNCTION("IF(AND(REGEXMATCH(D133, B133), REGEXMATCH(D133, C133)), 1, 0)
"),1.0)</f>
        <v>1</v>
      </c>
      <c r="T133" s="2">
        <f t="shared" si="4"/>
        <v>1</v>
      </c>
      <c r="U133" s="2">
        <f t="shared" si="5"/>
        <v>1</v>
      </c>
      <c r="V133" s="2">
        <f t="shared" si="6"/>
        <v>1</v>
      </c>
    </row>
    <row r="134" ht="14.25" customHeight="1">
      <c r="A134" s="2" t="s">
        <v>169</v>
      </c>
      <c r="B134" s="2" t="s">
        <v>18</v>
      </c>
      <c r="C134" s="2" t="s">
        <v>39</v>
      </c>
      <c r="D134" s="8" t="s">
        <v>577</v>
      </c>
      <c r="E134" s="6">
        <v>45003.0</v>
      </c>
      <c r="F134" s="6">
        <v>45165.0</v>
      </c>
      <c r="G134" s="7">
        <v>4.006400142E9</v>
      </c>
      <c r="H134" s="8" t="s">
        <v>573</v>
      </c>
      <c r="I134" s="2">
        <f t="shared" ref="I134:P134" si="137">IF(ISBLANK(A134)=TRUE,0,1)</f>
        <v>1</v>
      </c>
      <c r="J134" s="2">
        <f t="shared" si="137"/>
        <v>1</v>
      </c>
      <c r="K134" s="2">
        <f t="shared" si="137"/>
        <v>1</v>
      </c>
      <c r="L134" s="2">
        <f t="shared" si="137"/>
        <v>1</v>
      </c>
      <c r="M134" s="2">
        <f t="shared" si="137"/>
        <v>1</v>
      </c>
      <c r="N134" s="2">
        <f t="shared" si="137"/>
        <v>1</v>
      </c>
      <c r="O134" s="2">
        <f t="shared" si="137"/>
        <v>1</v>
      </c>
      <c r="P134" s="2">
        <f t="shared" si="137"/>
        <v>1</v>
      </c>
      <c r="Q134" s="2">
        <f t="shared" si="3"/>
        <v>1</v>
      </c>
      <c r="R134" s="2">
        <f>IF(ISERROR(VLOOKUP(A134, 'Project Reference'!A:A, 1, FALSE)), 0, 1)</f>
        <v>1</v>
      </c>
      <c r="S134" s="2">
        <f>IFERROR(__xludf.DUMMYFUNCTION("IF(AND(REGEXMATCH(D134, B134), REGEXMATCH(D134, C134)), 1, 0)
"),1.0)</f>
        <v>1</v>
      </c>
      <c r="T134" s="2">
        <f t="shared" si="4"/>
        <v>1</v>
      </c>
      <c r="U134" s="2">
        <f t="shared" si="5"/>
        <v>1</v>
      </c>
      <c r="V134" s="2">
        <f t="shared" si="6"/>
        <v>1</v>
      </c>
    </row>
    <row r="135" ht="14.25" customHeight="1">
      <c r="A135" s="2" t="s">
        <v>170</v>
      </c>
      <c r="B135" s="2" t="s">
        <v>18</v>
      </c>
      <c r="C135" s="2" t="s">
        <v>24</v>
      </c>
      <c r="D135" s="8" t="s">
        <v>618</v>
      </c>
      <c r="E135" s="6">
        <v>45004.0</v>
      </c>
      <c r="F135" s="6">
        <v>45314.0</v>
      </c>
      <c r="G135" s="7">
        <v>7.054924571E9</v>
      </c>
      <c r="H135" s="8" t="s">
        <v>581</v>
      </c>
      <c r="I135" s="2">
        <f t="shared" ref="I135:P135" si="138">IF(ISBLANK(A135)=TRUE,0,1)</f>
        <v>1</v>
      </c>
      <c r="J135" s="2">
        <f t="shared" si="138"/>
        <v>1</v>
      </c>
      <c r="K135" s="2">
        <f t="shared" si="138"/>
        <v>1</v>
      </c>
      <c r="L135" s="2">
        <f t="shared" si="138"/>
        <v>1</v>
      </c>
      <c r="M135" s="2">
        <f t="shared" si="138"/>
        <v>1</v>
      </c>
      <c r="N135" s="2">
        <f t="shared" si="138"/>
        <v>1</v>
      </c>
      <c r="O135" s="2">
        <f t="shared" si="138"/>
        <v>1</v>
      </c>
      <c r="P135" s="2">
        <f t="shared" si="138"/>
        <v>1</v>
      </c>
      <c r="Q135" s="2">
        <f t="shared" si="3"/>
        <v>1</v>
      </c>
      <c r="R135" s="2">
        <f>IF(ISERROR(VLOOKUP(A135, 'Project Reference'!A:A, 1, FALSE)), 0, 1)</f>
        <v>1</v>
      </c>
      <c r="S135" s="2">
        <f>IFERROR(__xludf.DUMMYFUNCTION("IF(AND(REGEXMATCH(D135, B135), REGEXMATCH(D135, C135)), 1, 0)
"),1.0)</f>
        <v>1</v>
      </c>
      <c r="T135" s="2">
        <f t="shared" si="4"/>
        <v>1</v>
      </c>
      <c r="U135" s="2">
        <f t="shared" si="5"/>
        <v>1</v>
      </c>
      <c r="V135" s="2">
        <f t="shared" si="6"/>
        <v>1</v>
      </c>
    </row>
    <row r="136" ht="14.25" customHeight="1">
      <c r="A136" s="2" t="s">
        <v>172</v>
      </c>
      <c r="B136" s="2" t="s">
        <v>30</v>
      </c>
      <c r="C136" s="2" t="s">
        <v>42</v>
      </c>
      <c r="D136" s="8" t="s">
        <v>627</v>
      </c>
      <c r="E136" s="6">
        <v>45006.0</v>
      </c>
      <c r="F136" s="6">
        <v>45234.0</v>
      </c>
      <c r="G136" s="7">
        <v>7.494641055E9</v>
      </c>
      <c r="H136" s="22"/>
      <c r="I136" s="2">
        <f t="shared" ref="I136:P136" si="139">IF(ISBLANK(A136)=TRUE,0,1)</f>
        <v>1</v>
      </c>
      <c r="J136" s="2">
        <f t="shared" si="139"/>
        <v>1</v>
      </c>
      <c r="K136" s="2">
        <f t="shared" si="139"/>
        <v>1</v>
      </c>
      <c r="L136" s="2">
        <f t="shared" si="139"/>
        <v>1</v>
      </c>
      <c r="M136" s="2">
        <f t="shared" si="139"/>
        <v>1</v>
      </c>
      <c r="N136" s="2">
        <f t="shared" si="139"/>
        <v>1</v>
      </c>
      <c r="O136" s="2">
        <f t="shared" si="139"/>
        <v>1</v>
      </c>
      <c r="P136" s="2">
        <f t="shared" si="139"/>
        <v>0</v>
      </c>
      <c r="Q136" s="2">
        <f t="shared" si="3"/>
        <v>1</v>
      </c>
      <c r="R136" s="2">
        <f>IF(ISERROR(VLOOKUP(A136, 'Project Reference'!A:A, 1, FALSE)), 0, 1)</f>
        <v>1</v>
      </c>
      <c r="S136" s="2">
        <f>IFERROR(__xludf.DUMMYFUNCTION("IF(AND(REGEXMATCH(D136, B136), REGEXMATCH(D136, C136)), 1, 0)
"),1.0)</f>
        <v>1</v>
      </c>
      <c r="T136" s="2">
        <f t="shared" si="4"/>
        <v>1</v>
      </c>
      <c r="U136" s="2">
        <f t="shared" si="5"/>
        <v>1</v>
      </c>
      <c r="V136" s="2">
        <f t="shared" si="6"/>
        <v>1</v>
      </c>
    </row>
    <row r="137" ht="14.25" customHeight="1">
      <c r="A137" s="2" t="s">
        <v>173</v>
      </c>
      <c r="B137" s="2" t="s">
        <v>18</v>
      </c>
      <c r="C137" s="2" t="s">
        <v>42</v>
      </c>
      <c r="D137" s="8" t="s">
        <v>621</v>
      </c>
      <c r="E137" s="6">
        <v>45008.0</v>
      </c>
      <c r="F137" s="6">
        <v>45268.0</v>
      </c>
      <c r="G137" s="7">
        <v>7.221183664E9</v>
      </c>
      <c r="H137" s="2" t="s">
        <v>33</v>
      </c>
      <c r="I137" s="2">
        <f t="shared" ref="I137:P137" si="140">IF(ISBLANK(A137)=TRUE,0,1)</f>
        <v>1</v>
      </c>
      <c r="J137" s="2">
        <f t="shared" si="140"/>
        <v>1</v>
      </c>
      <c r="K137" s="2">
        <f t="shared" si="140"/>
        <v>1</v>
      </c>
      <c r="L137" s="2">
        <f t="shared" si="140"/>
        <v>1</v>
      </c>
      <c r="M137" s="2">
        <f t="shared" si="140"/>
        <v>1</v>
      </c>
      <c r="N137" s="2">
        <f t="shared" si="140"/>
        <v>1</v>
      </c>
      <c r="O137" s="2">
        <f t="shared" si="140"/>
        <v>1</v>
      </c>
      <c r="P137" s="2">
        <f t="shared" si="140"/>
        <v>1</v>
      </c>
      <c r="Q137" s="2">
        <f t="shared" si="3"/>
        <v>1</v>
      </c>
      <c r="R137" s="2">
        <f>IF(ISERROR(VLOOKUP(A137, 'Project Reference'!A:A, 1, FALSE)), 0, 1)</f>
        <v>1</v>
      </c>
      <c r="S137" s="2">
        <f>IFERROR(__xludf.DUMMYFUNCTION("IF(AND(REGEXMATCH(D137, B137), REGEXMATCH(D137, C137)), 1, 0)
"),1.0)</f>
        <v>1</v>
      </c>
      <c r="T137" s="2">
        <f t="shared" si="4"/>
        <v>1</v>
      </c>
      <c r="U137" s="2">
        <f t="shared" si="5"/>
        <v>1</v>
      </c>
      <c r="V137" s="2">
        <f t="shared" si="6"/>
        <v>1</v>
      </c>
    </row>
    <row r="138" ht="14.25" customHeight="1">
      <c r="A138" s="2" t="s">
        <v>174</v>
      </c>
      <c r="B138" s="2" t="s">
        <v>12</v>
      </c>
      <c r="C138" s="2" t="s">
        <v>36</v>
      </c>
      <c r="D138" s="8" t="s">
        <v>578</v>
      </c>
      <c r="E138" s="6">
        <v>45008.0</v>
      </c>
      <c r="F138" s="6">
        <v>45121.0</v>
      </c>
      <c r="G138" s="7">
        <v>8.7087675E8</v>
      </c>
      <c r="H138" s="8" t="s">
        <v>573</v>
      </c>
      <c r="I138" s="2">
        <f t="shared" ref="I138:P138" si="141">IF(ISBLANK(A138)=TRUE,0,1)</f>
        <v>1</v>
      </c>
      <c r="J138" s="2">
        <f t="shared" si="141"/>
        <v>1</v>
      </c>
      <c r="K138" s="2">
        <f t="shared" si="141"/>
        <v>1</v>
      </c>
      <c r="L138" s="2">
        <f t="shared" si="141"/>
        <v>1</v>
      </c>
      <c r="M138" s="2">
        <f t="shared" si="141"/>
        <v>1</v>
      </c>
      <c r="N138" s="2">
        <f t="shared" si="141"/>
        <v>1</v>
      </c>
      <c r="O138" s="2">
        <f t="shared" si="141"/>
        <v>1</v>
      </c>
      <c r="P138" s="2">
        <f t="shared" si="141"/>
        <v>1</v>
      </c>
      <c r="Q138" s="2">
        <f t="shared" si="3"/>
        <v>1</v>
      </c>
      <c r="R138" s="2">
        <f>IF(ISERROR(VLOOKUP(A138, 'Project Reference'!A:A, 1, FALSE)), 0, 1)</f>
        <v>1</v>
      </c>
      <c r="S138" s="2">
        <f>IFERROR(__xludf.DUMMYFUNCTION("IF(AND(REGEXMATCH(D138, B138), REGEXMATCH(D138, C138)), 1, 0)
"),1.0)</f>
        <v>1</v>
      </c>
      <c r="T138" s="2">
        <f t="shared" si="4"/>
        <v>1</v>
      </c>
      <c r="U138" s="2">
        <f t="shared" si="5"/>
        <v>1</v>
      </c>
      <c r="V138" s="2">
        <f t="shared" si="6"/>
        <v>1</v>
      </c>
    </row>
    <row r="139" ht="14.25" customHeight="1">
      <c r="A139" s="2" t="s">
        <v>175</v>
      </c>
      <c r="B139" s="2" t="s">
        <v>60</v>
      </c>
      <c r="C139" s="2" t="s">
        <v>19</v>
      </c>
      <c r="D139" s="8" t="s">
        <v>635</v>
      </c>
      <c r="E139" s="6">
        <v>45009.0</v>
      </c>
      <c r="F139" s="6">
        <v>45316.0</v>
      </c>
      <c r="G139" s="7">
        <v>2.164051592E9</v>
      </c>
      <c r="H139" s="2" t="s">
        <v>33</v>
      </c>
      <c r="I139" s="2">
        <f t="shared" ref="I139:P139" si="142">IF(ISBLANK(A139)=TRUE,0,1)</f>
        <v>1</v>
      </c>
      <c r="J139" s="2">
        <f t="shared" si="142"/>
        <v>1</v>
      </c>
      <c r="K139" s="2">
        <f t="shared" si="142"/>
        <v>1</v>
      </c>
      <c r="L139" s="2">
        <f t="shared" si="142"/>
        <v>1</v>
      </c>
      <c r="M139" s="2">
        <f t="shared" si="142"/>
        <v>1</v>
      </c>
      <c r="N139" s="2">
        <f t="shared" si="142"/>
        <v>1</v>
      </c>
      <c r="O139" s="2">
        <f t="shared" si="142"/>
        <v>1</v>
      </c>
      <c r="P139" s="2">
        <f t="shared" si="142"/>
        <v>1</v>
      </c>
      <c r="Q139" s="2">
        <f t="shared" si="3"/>
        <v>1</v>
      </c>
      <c r="R139" s="2">
        <f>IF(ISERROR(VLOOKUP(A139, 'Project Reference'!A:A, 1, FALSE)), 0, 1)</f>
        <v>1</v>
      </c>
      <c r="S139" s="2">
        <f>IFERROR(__xludf.DUMMYFUNCTION("IF(AND(REGEXMATCH(D139, B139), REGEXMATCH(D139, C139)), 1, 0)
"),1.0)</f>
        <v>1</v>
      </c>
      <c r="T139" s="2">
        <f t="shared" si="4"/>
        <v>1</v>
      </c>
      <c r="U139" s="2">
        <f t="shared" si="5"/>
        <v>1</v>
      </c>
      <c r="V139" s="2">
        <f t="shared" si="6"/>
        <v>1</v>
      </c>
    </row>
    <row r="140" ht="14.25" customHeight="1">
      <c r="A140" s="2" t="s">
        <v>176</v>
      </c>
      <c r="B140" s="2" t="s">
        <v>60</v>
      </c>
      <c r="C140" s="2" t="s">
        <v>36</v>
      </c>
      <c r="D140" s="8" t="s">
        <v>597</v>
      </c>
      <c r="E140" s="6">
        <v>45009.0</v>
      </c>
      <c r="F140" s="6">
        <v>45280.0</v>
      </c>
      <c r="G140" s="7">
        <v>3.746270294E9</v>
      </c>
      <c r="H140" s="2" t="s">
        <v>33</v>
      </c>
      <c r="I140" s="2">
        <f t="shared" ref="I140:P140" si="143">IF(ISBLANK(A140)=TRUE,0,1)</f>
        <v>1</v>
      </c>
      <c r="J140" s="2">
        <f t="shared" si="143"/>
        <v>1</v>
      </c>
      <c r="K140" s="2">
        <f t="shared" si="143"/>
        <v>1</v>
      </c>
      <c r="L140" s="2">
        <f t="shared" si="143"/>
        <v>1</v>
      </c>
      <c r="M140" s="2">
        <f t="shared" si="143"/>
        <v>1</v>
      </c>
      <c r="N140" s="2">
        <f t="shared" si="143"/>
        <v>1</v>
      </c>
      <c r="O140" s="2">
        <f t="shared" si="143"/>
        <v>1</v>
      </c>
      <c r="P140" s="2">
        <f t="shared" si="143"/>
        <v>1</v>
      </c>
      <c r="Q140" s="2">
        <f t="shared" si="3"/>
        <v>1</v>
      </c>
      <c r="R140" s="2">
        <f>IF(ISERROR(VLOOKUP(A140, 'Project Reference'!A:A, 1, FALSE)), 0, 1)</f>
        <v>1</v>
      </c>
      <c r="S140" s="2">
        <f>IFERROR(__xludf.DUMMYFUNCTION("IF(AND(REGEXMATCH(D140, B140), REGEXMATCH(D140, C140)), 1, 0)
"),1.0)</f>
        <v>1</v>
      </c>
      <c r="T140" s="2">
        <f t="shared" si="4"/>
        <v>1</v>
      </c>
      <c r="U140" s="2">
        <f t="shared" si="5"/>
        <v>1</v>
      </c>
      <c r="V140" s="2">
        <f t="shared" si="6"/>
        <v>1</v>
      </c>
    </row>
    <row r="141" ht="14.25" customHeight="1">
      <c r="A141" s="2" t="s">
        <v>177</v>
      </c>
      <c r="B141" s="2" t="s">
        <v>18</v>
      </c>
      <c r="C141" s="2" t="s">
        <v>31</v>
      </c>
      <c r="D141" s="8" t="s">
        <v>636</v>
      </c>
      <c r="E141" s="6">
        <v>45010.0</v>
      </c>
      <c r="F141" s="6">
        <v>45049.0</v>
      </c>
      <c r="G141" s="7">
        <v>3.094147448E9</v>
      </c>
      <c r="H141" s="8" t="s">
        <v>581</v>
      </c>
      <c r="I141" s="2">
        <f t="shared" ref="I141:P141" si="144">IF(ISBLANK(A141)=TRUE,0,1)</f>
        <v>1</v>
      </c>
      <c r="J141" s="2">
        <f t="shared" si="144"/>
        <v>1</v>
      </c>
      <c r="K141" s="2">
        <f t="shared" si="144"/>
        <v>1</v>
      </c>
      <c r="L141" s="2">
        <f t="shared" si="144"/>
        <v>1</v>
      </c>
      <c r="M141" s="2">
        <f t="shared" si="144"/>
        <v>1</v>
      </c>
      <c r="N141" s="2">
        <f t="shared" si="144"/>
        <v>1</v>
      </c>
      <c r="O141" s="2">
        <f t="shared" si="144"/>
        <v>1</v>
      </c>
      <c r="P141" s="2">
        <f t="shared" si="144"/>
        <v>1</v>
      </c>
      <c r="Q141" s="2">
        <f t="shared" si="3"/>
        <v>1</v>
      </c>
      <c r="R141" s="2">
        <f>IF(ISERROR(VLOOKUP(A141, 'Project Reference'!A:A, 1, FALSE)), 0, 1)</f>
        <v>1</v>
      </c>
      <c r="S141" s="2">
        <f>IFERROR(__xludf.DUMMYFUNCTION("IF(AND(REGEXMATCH(D141, B141), REGEXMATCH(D141, C141)), 1, 0)
"),1.0)</f>
        <v>1</v>
      </c>
      <c r="T141" s="2">
        <f t="shared" si="4"/>
        <v>1</v>
      </c>
      <c r="U141" s="2">
        <f t="shared" si="5"/>
        <v>1</v>
      </c>
      <c r="V141" s="2">
        <f t="shared" si="6"/>
        <v>1</v>
      </c>
    </row>
    <row r="142" ht="14.25" customHeight="1">
      <c r="A142" s="2" t="s">
        <v>178</v>
      </c>
      <c r="B142" s="22"/>
      <c r="C142" s="2" t="s">
        <v>36</v>
      </c>
      <c r="D142" s="22"/>
      <c r="E142" s="6">
        <v>45010.0</v>
      </c>
      <c r="F142" s="6">
        <v>45091.0</v>
      </c>
      <c r="G142" s="7">
        <v>2.960912774E9</v>
      </c>
      <c r="H142" s="22"/>
      <c r="I142" s="2">
        <f t="shared" ref="I142:P142" si="145">IF(ISBLANK(A142)=TRUE,0,1)</f>
        <v>1</v>
      </c>
      <c r="J142" s="2">
        <f t="shared" si="145"/>
        <v>0</v>
      </c>
      <c r="K142" s="2">
        <f t="shared" si="145"/>
        <v>1</v>
      </c>
      <c r="L142" s="2">
        <f t="shared" si="145"/>
        <v>0</v>
      </c>
      <c r="M142" s="2">
        <f t="shared" si="145"/>
        <v>1</v>
      </c>
      <c r="N142" s="2">
        <f t="shared" si="145"/>
        <v>1</v>
      </c>
      <c r="O142" s="2">
        <f t="shared" si="145"/>
        <v>1</v>
      </c>
      <c r="P142" s="2">
        <f t="shared" si="145"/>
        <v>0</v>
      </c>
      <c r="Q142" s="2">
        <f t="shared" si="3"/>
        <v>1</v>
      </c>
      <c r="R142" s="2">
        <f>IF(ISERROR(VLOOKUP(A142, 'Project Reference'!A:A, 1, FALSE)), 0, 1)</f>
        <v>1</v>
      </c>
      <c r="S142" s="2">
        <f>IFERROR(__xludf.DUMMYFUNCTION("IF(AND(REGEXMATCH(D142, B142), REGEXMATCH(D142, C142)), 1, 0)
"),0.0)</f>
        <v>0</v>
      </c>
      <c r="T142" s="2">
        <f t="shared" si="4"/>
        <v>1</v>
      </c>
      <c r="U142" s="2">
        <f t="shared" si="5"/>
        <v>1</v>
      </c>
      <c r="V142" s="2">
        <f t="shared" si="6"/>
        <v>1</v>
      </c>
    </row>
    <row r="143" ht="14.25" customHeight="1">
      <c r="A143" s="2" t="s">
        <v>179</v>
      </c>
      <c r="B143" s="2" t="s">
        <v>35</v>
      </c>
      <c r="C143" s="2" t="s">
        <v>19</v>
      </c>
      <c r="D143" s="2" t="s">
        <v>97</v>
      </c>
      <c r="E143" s="6">
        <v>45011.0</v>
      </c>
      <c r="F143" s="6">
        <v>45235.0</v>
      </c>
      <c r="G143" s="7">
        <v>4.2185923E8</v>
      </c>
      <c r="H143" s="22"/>
      <c r="I143" s="2">
        <f t="shared" ref="I143:P143" si="146">IF(ISBLANK(A143)=TRUE,0,1)</f>
        <v>1</v>
      </c>
      <c r="J143" s="2">
        <f t="shared" si="146"/>
        <v>1</v>
      </c>
      <c r="K143" s="2">
        <f t="shared" si="146"/>
        <v>1</v>
      </c>
      <c r="L143" s="2">
        <f t="shared" si="146"/>
        <v>1</v>
      </c>
      <c r="M143" s="2">
        <f t="shared" si="146"/>
        <v>1</v>
      </c>
      <c r="N143" s="2">
        <f t="shared" si="146"/>
        <v>1</v>
      </c>
      <c r="O143" s="2">
        <f t="shared" si="146"/>
        <v>1</v>
      </c>
      <c r="P143" s="2">
        <f t="shared" si="146"/>
        <v>0</v>
      </c>
      <c r="Q143" s="2">
        <f t="shared" si="3"/>
        <v>1</v>
      </c>
      <c r="R143" s="2">
        <f>IF(ISERROR(VLOOKUP(A143, 'Project Reference'!A:A, 1, FALSE)), 0, 1)</f>
        <v>1</v>
      </c>
      <c r="S143" s="2">
        <f>IFERROR(__xludf.DUMMYFUNCTION("IF(AND(REGEXMATCH(D143, B143), REGEXMATCH(D143, C143)), 1, 0)
"),1.0)</f>
        <v>1</v>
      </c>
      <c r="T143" s="2">
        <f t="shared" si="4"/>
        <v>1</v>
      </c>
      <c r="U143" s="2">
        <f t="shared" si="5"/>
        <v>1</v>
      </c>
      <c r="V143" s="2">
        <f t="shared" si="6"/>
        <v>1</v>
      </c>
    </row>
    <row r="144" ht="14.25" customHeight="1">
      <c r="A144" s="2" t="s">
        <v>180</v>
      </c>
      <c r="B144" s="2" t="s">
        <v>12</v>
      </c>
      <c r="C144" s="2" t="s">
        <v>42</v>
      </c>
      <c r="D144" s="8" t="s">
        <v>603</v>
      </c>
      <c r="E144" s="6">
        <v>45013.0</v>
      </c>
      <c r="F144" s="6">
        <v>45161.0</v>
      </c>
      <c r="G144" s="7">
        <v>7.76411814E8</v>
      </c>
      <c r="H144" s="2" t="s">
        <v>44</v>
      </c>
      <c r="I144" s="2">
        <f t="shared" ref="I144:P144" si="147">IF(ISBLANK(A144)=TRUE,0,1)</f>
        <v>1</v>
      </c>
      <c r="J144" s="2">
        <f t="shared" si="147"/>
        <v>1</v>
      </c>
      <c r="K144" s="2">
        <f t="shared" si="147"/>
        <v>1</v>
      </c>
      <c r="L144" s="2">
        <f t="shared" si="147"/>
        <v>1</v>
      </c>
      <c r="M144" s="2">
        <f t="shared" si="147"/>
        <v>1</v>
      </c>
      <c r="N144" s="2">
        <f t="shared" si="147"/>
        <v>1</v>
      </c>
      <c r="O144" s="2">
        <f t="shared" si="147"/>
        <v>1</v>
      </c>
      <c r="P144" s="2">
        <f t="shared" si="147"/>
        <v>1</v>
      </c>
      <c r="Q144" s="2">
        <f t="shared" si="3"/>
        <v>1</v>
      </c>
      <c r="R144" s="2">
        <f>IF(ISERROR(VLOOKUP(A144, 'Project Reference'!A:A, 1, FALSE)), 0, 1)</f>
        <v>1</v>
      </c>
      <c r="S144" s="2">
        <f>IFERROR(__xludf.DUMMYFUNCTION("IF(AND(REGEXMATCH(D144, B144), REGEXMATCH(D144, C144)), 1, 0)
"),1.0)</f>
        <v>1</v>
      </c>
      <c r="T144" s="2">
        <f t="shared" si="4"/>
        <v>1</v>
      </c>
      <c r="U144" s="2">
        <f t="shared" si="5"/>
        <v>1</v>
      </c>
      <c r="V144" s="2">
        <f t="shared" si="6"/>
        <v>1</v>
      </c>
    </row>
    <row r="145" ht="14.25" customHeight="1">
      <c r="A145" s="2" t="s">
        <v>181</v>
      </c>
      <c r="B145" s="2" t="s">
        <v>18</v>
      </c>
      <c r="C145" s="2" t="s">
        <v>36</v>
      </c>
      <c r="D145" s="8" t="s">
        <v>634</v>
      </c>
      <c r="E145" s="6">
        <v>45013.0</v>
      </c>
      <c r="F145" s="6">
        <v>45095.0</v>
      </c>
      <c r="G145" s="7">
        <v>5.326254824E9</v>
      </c>
      <c r="H145" s="8" t="s">
        <v>581</v>
      </c>
      <c r="I145" s="2">
        <f t="shared" ref="I145:P145" si="148">IF(ISBLANK(A145)=TRUE,0,1)</f>
        <v>1</v>
      </c>
      <c r="J145" s="2">
        <f t="shared" si="148"/>
        <v>1</v>
      </c>
      <c r="K145" s="2">
        <f t="shared" si="148"/>
        <v>1</v>
      </c>
      <c r="L145" s="2">
        <f t="shared" si="148"/>
        <v>1</v>
      </c>
      <c r="M145" s="2">
        <f t="shared" si="148"/>
        <v>1</v>
      </c>
      <c r="N145" s="2">
        <f t="shared" si="148"/>
        <v>1</v>
      </c>
      <c r="O145" s="2">
        <f t="shared" si="148"/>
        <v>1</v>
      </c>
      <c r="P145" s="2">
        <f t="shared" si="148"/>
        <v>1</v>
      </c>
      <c r="Q145" s="2">
        <f t="shared" si="3"/>
        <v>1</v>
      </c>
      <c r="R145" s="2">
        <f>IF(ISERROR(VLOOKUP(A145, 'Project Reference'!A:A, 1, FALSE)), 0, 1)</f>
        <v>1</v>
      </c>
      <c r="S145" s="2">
        <f>IFERROR(__xludf.DUMMYFUNCTION("IF(AND(REGEXMATCH(D145, B145), REGEXMATCH(D145, C145)), 1, 0)
"),1.0)</f>
        <v>1</v>
      </c>
      <c r="T145" s="2">
        <f t="shared" si="4"/>
        <v>1</v>
      </c>
      <c r="U145" s="2">
        <f t="shared" si="5"/>
        <v>1</v>
      </c>
      <c r="V145" s="2">
        <f t="shared" si="6"/>
        <v>1</v>
      </c>
    </row>
    <row r="146" ht="14.25" customHeight="1">
      <c r="A146" s="2" t="s">
        <v>183</v>
      </c>
      <c r="B146" s="2" t="s">
        <v>35</v>
      </c>
      <c r="C146" s="2" t="s">
        <v>36</v>
      </c>
      <c r="D146" s="2" t="s">
        <v>37</v>
      </c>
      <c r="E146" s="6">
        <v>45015.0</v>
      </c>
      <c r="F146" s="6">
        <v>45074.0</v>
      </c>
      <c r="G146" s="7">
        <v>7.37874671E8</v>
      </c>
      <c r="H146" s="2" t="s">
        <v>21</v>
      </c>
      <c r="I146" s="2">
        <f t="shared" ref="I146:P146" si="149">IF(ISBLANK(A146)=TRUE,0,1)</f>
        <v>1</v>
      </c>
      <c r="J146" s="2">
        <f t="shared" si="149"/>
        <v>1</v>
      </c>
      <c r="K146" s="2">
        <f t="shared" si="149"/>
        <v>1</v>
      </c>
      <c r="L146" s="2">
        <f t="shared" si="149"/>
        <v>1</v>
      </c>
      <c r="M146" s="2">
        <f t="shared" si="149"/>
        <v>1</v>
      </c>
      <c r="N146" s="2">
        <f t="shared" si="149"/>
        <v>1</v>
      </c>
      <c r="O146" s="2">
        <f t="shared" si="149"/>
        <v>1</v>
      </c>
      <c r="P146" s="2">
        <f t="shared" si="149"/>
        <v>1</v>
      </c>
      <c r="Q146" s="2">
        <f t="shared" si="3"/>
        <v>1</v>
      </c>
      <c r="R146" s="2">
        <f>IF(ISERROR(VLOOKUP(A146, 'Project Reference'!A:A, 1, FALSE)), 0, 1)</f>
        <v>1</v>
      </c>
      <c r="S146" s="2">
        <f>IFERROR(__xludf.DUMMYFUNCTION("IF(AND(REGEXMATCH(D146, B146), REGEXMATCH(D146, C146)), 1, 0)
"),1.0)</f>
        <v>1</v>
      </c>
      <c r="T146" s="2">
        <f t="shared" si="4"/>
        <v>1</v>
      </c>
      <c r="U146" s="2">
        <f t="shared" si="5"/>
        <v>1</v>
      </c>
      <c r="V146" s="2">
        <f t="shared" si="6"/>
        <v>1</v>
      </c>
    </row>
    <row r="147" ht="14.25" customHeight="1">
      <c r="A147" s="2" t="s">
        <v>184</v>
      </c>
      <c r="B147" s="2" t="s">
        <v>18</v>
      </c>
      <c r="C147" s="2" t="s">
        <v>42</v>
      </c>
      <c r="D147" s="8" t="s">
        <v>621</v>
      </c>
      <c r="E147" s="6">
        <v>45016.0</v>
      </c>
      <c r="F147" s="6">
        <v>45248.0</v>
      </c>
      <c r="G147" s="7">
        <v>6.410731228E9</v>
      </c>
      <c r="H147" s="2" t="s">
        <v>67</v>
      </c>
      <c r="I147" s="2">
        <f t="shared" ref="I147:P147" si="150">IF(ISBLANK(A147)=TRUE,0,1)</f>
        <v>1</v>
      </c>
      <c r="J147" s="2">
        <f t="shared" si="150"/>
        <v>1</v>
      </c>
      <c r="K147" s="2">
        <f t="shared" si="150"/>
        <v>1</v>
      </c>
      <c r="L147" s="2">
        <f t="shared" si="150"/>
        <v>1</v>
      </c>
      <c r="M147" s="2">
        <f t="shared" si="150"/>
        <v>1</v>
      </c>
      <c r="N147" s="2">
        <f t="shared" si="150"/>
        <v>1</v>
      </c>
      <c r="O147" s="2">
        <f t="shared" si="150"/>
        <v>1</v>
      </c>
      <c r="P147" s="2">
        <f t="shared" si="150"/>
        <v>1</v>
      </c>
      <c r="Q147" s="2">
        <f t="shared" si="3"/>
        <v>1</v>
      </c>
      <c r="R147" s="2">
        <f>IF(ISERROR(VLOOKUP(A147, 'Project Reference'!A:A, 1, FALSE)), 0, 1)</f>
        <v>1</v>
      </c>
      <c r="S147" s="2">
        <f>IFERROR(__xludf.DUMMYFUNCTION("IF(AND(REGEXMATCH(D147, B147), REGEXMATCH(D147, C147)), 1, 0)
"),1.0)</f>
        <v>1</v>
      </c>
      <c r="T147" s="2">
        <f t="shared" si="4"/>
        <v>1</v>
      </c>
      <c r="U147" s="2">
        <f t="shared" si="5"/>
        <v>1</v>
      </c>
      <c r="V147" s="2">
        <f t="shared" si="6"/>
        <v>1</v>
      </c>
    </row>
    <row r="148" ht="14.25" customHeight="1">
      <c r="A148" s="2" t="s">
        <v>186</v>
      </c>
      <c r="B148" s="2" t="s">
        <v>12</v>
      </c>
      <c r="C148" s="2" t="s">
        <v>24</v>
      </c>
      <c r="D148" s="8" t="s">
        <v>610</v>
      </c>
      <c r="E148" s="6">
        <v>45017.0</v>
      </c>
      <c r="F148" s="6">
        <v>45162.0</v>
      </c>
      <c r="G148" s="7">
        <v>5.84530717E8</v>
      </c>
      <c r="H148" s="8" t="s">
        <v>581</v>
      </c>
      <c r="I148" s="2">
        <f t="shared" ref="I148:P148" si="151">IF(ISBLANK(A148)=TRUE,0,1)</f>
        <v>1</v>
      </c>
      <c r="J148" s="2">
        <f t="shared" si="151"/>
        <v>1</v>
      </c>
      <c r="K148" s="2">
        <f t="shared" si="151"/>
        <v>1</v>
      </c>
      <c r="L148" s="2">
        <f t="shared" si="151"/>
        <v>1</v>
      </c>
      <c r="M148" s="2">
        <f t="shared" si="151"/>
        <v>1</v>
      </c>
      <c r="N148" s="2">
        <f t="shared" si="151"/>
        <v>1</v>
      </c>
      <c r="O148" s="2">
        <f t="shared" si="151"/>
        <v>1</v>
      </c>
      <c r="P148" s="2">
        <f t="shared" si="151"/>
        <v>1</v>
      </c>
      <c r="Q148" s="2">
        <f t="shared" si="3"/>
        <v>1</v>
      </c>
      <c r="R148" s="2">
        <f>IF(ISERROR(VLOOKUP(A148, 'Project Reference'!A:A, 1, FALSE)), 0, 1)</f>
        <v>1</v>
      </c>
      <c r="S148" s="2">
        <f>IFERROR(__xludf.DUMMYFUNCTION("IF(AND(REGEXMATCH(D148, B148), REGEXMATCH(D148, C148)), 1, 0)
"),1.0)</f>
        <v>1</v>
      </c>
      <c r="T148" s="2">
        <f t="shared" si="4"/>
        <v>1</v>
      </c>
      <c r="U148" s="2">
        <f t="shared" si="5"/>
        <v>1</v>
      </c>
      <c r="V148" s="2">
        <f t="shared" si="6"/>
        <v>1</v>
      </c>
    </row>
    <row r="149" ht="14.25" customHeight="1">
      <c r="A149" s="2" t="s">
        <v>187</v>
      </c>
      <c r="B149" s="2" t="s">
        <v>18</v>
      </c>
      <c r="C149" s="2" t="s">
        <v>48</v>
      </c>
      <c r="D149" s="8" t="s">
        <v>629</v>
      </c>
      <c r="E149" s="6">
        <v>45017.0</v>
      </c>
      <c r="F149" s="6">
        <v>45209.0</v>
      </c>
      <c r="G149" s="7">
        <v>5.399904068E9</v>
      </c>
      <c r="H149" s="2" t="s">
        <v>33</v>
      </c>
      <c r="I149" s="2">
        <f t="shared" ref="I149:P149" si="152">IF(ISBLANK(A149)=TRUE,0,1)</f>
        <v>1</v>
      </c>
      <c r="J149" s="2">
        <f t="shared" si="152"/>
        <v>1</v>
      </c>
      <c r="K149" s="2">
        <f t="shared" si="152"/>
        <v>1</v>
      </c>
      <c r="L149" s="2">
        <f t="shared" si="152"/>
        <v>1</v>
      </c>
      <c r="M149" s="2">
        <f t="shared" si="152"/>
        <v>1</v>
      </c>
      <c r="N149" s="2">
        <f t="shared" si="152"/>
        <v>1</v>
      </c>
      <c r="O149" s="2">
        <f t="shared" si="152"/>
        <v>1</v>
      </c>
      <c r="P149" s="2">
        <f t="shared" si="152"/>
        <v>1</v>
      </c>
      <c r="Q149" s="2">
        <f t="shared" si="3"/>
        <v>1</v>
      </c>
      <c r="R149" s="2">
        <f>IF(ISERROR(VLOOKUP(A149, 'Project Reference'!A:A, 1, FALSE)), 0, 1)</f>
        <v>1</v>
      </c>
      <c r="S149" s="2">
        <f>IFERROR(__xludf.DUMMYFUNCTION("IF(AND(REGEXMATCH(D149, B149), REGEXMATCH(D149, C149)), 1, 0)
"),1.0)</f>
        <v>1</v>
      </c>
      <c r="T149" s="2">
        <f t="shared" si="4"/>
        <v>1</v>
      </c>
      <c r="U149" s="2">
        <f t="shared" si="5"/>
        <v>1</v>
      </c>
      <c r="V149" s="2">
        <f t="shared" si="6"/>
        <v>1</v>
      </c>
    </row>
    <row r="150" ht="14.25" customHeight="1">
      <c r="A150" s="2" t="s">
        <v>188</v>
      </c>
      <c r="B150" s="2" t="s">
        <v>35</v>
      </c>
      <c r="C150" s="2" t="s">
        <v>24</v>
      </c>
      <c r="D150" s="2" t="s">
        <v>133</v>
      </c>
      <c r="E150" s="6">
        <v>45017.0</v>
      </c>
      <c r="F150" s="6">
        <v>45267.0</v>
      </c>
      <c r="G150" s="7">
        <v>6.2052543E8</v>
      </c>
      <c r="H150" s="2" t="s">
        <v>50</v>
      </c>
      <c r="I150" s="2">
        <f t="shared" ref="I150:P150" si="153">IF(ISBLANK(A150)=TRUE,0,1)</f>
        <v>1</v>
      </c>
      <c r="J150" s="2">
        <f t="shared" si="153"/>
        <v>1</v>
      </c>
      <c r="K150" s="2">
        <f t="shared" si="153"/>
        <v>1</v>
      </c>
      <c r="L150" s="2">
        <f t="shared" si="153"/>
        <v>1</v>
      </c>
      <c r="M150" s="2">
        <f t="shared" si="153"/>
        <v>1</v>
      </c>
      <c r="N150" s="2">
        <f t="shared" si="153"/>
        <v>1</v>
      </c>
      <c r="O150" s="2">
        <f t="shared" si="153"/>
        <v>1</v>
      </c>
      <c r="P150" s="2">
        <f t="shared" si="153"/>
        <v>1</v>
      </c>
      <c r="Q150" s="2">
        <f t="shared" si="3"/>
        <v>1</v>
      </c>
      <c r="R150" s="2">
        <f>IF(ISERROR(VLOOKUP(A150, 'Project Reference'!A:A, 1, FALSE)), 0, 1)</f>
        <v>1</v>
      </c>
      <c r="S150" s="2">
        <f>IFERROR(__xludf.DUMMYFUNCTION("IF(AND(REGEXMATCH(D150, B150), REGEXMATCH(D150, C150)), 1, 0)
"),1.0)</f>
        <v>1</v>
      </c>
      <c r="T150" s="2">
        <f t="shared" si="4"/>
        <v>1</v>
      </c>
      <c r="U150" s="2">
        <f t="shared" si="5"/>
        <v>1</v>
      </c>
      <c r="V150" s="2">
        <f t="shared" si="6"/>
        <v>1</v>
      </c>
    </row>
    <row r="151" ht="14.25" customHeight="1">
      <c r="A151" s="2" t="s">
        <v>189</v>
      </c>
      <c r="B151" s="2" t="s">
        <v>60</v>
      </c>
      <c r="C151" s="2" t="s">
        <v>39</v>
      </c>
      <c r="D151" s="8" t="s">
        <v>626</v>
      </c>
      <c r="E151" s="6">
        <v>45017.0</v>
      </c>
      <c r="F151" s="6">
        <v>45372.0</v>
      </c>
      <c r="G151" s="7">
        <v>2.278233533E9</v>
      </c>
      <c r="H151" s="8" t="s">
        <v>581</v>
      </c>
      <c r="I151" s="2">
        <f t="shared" ref="I151:P151" si="154">IF(ISBLANK(A151)=TRUE,0,1)</f>
        <v>1</v>
      </c>
      <c r="J151" s="2">
        <f t="shared" si="154"/>
        <v>1</v>
      </c>
      <c r="K151" s="2">
        <f t="shared" si="154"/>
        <v>1</v>
      </c>
      <c r="L151" s="2">
        <f t="shared" si="154"/>
        <v>1</v>
      </c>
      <c r="M151" s="2">
        <f t="shared" si="154"/>
        <v>1</v>
      </c>
      <c r="N151" s="2">
        <f t="shared" si="154"/>
        <v>1</v>
      </c>
      <c r="O151" s="2">
        <f t="shared" si="154"/>
        <v>1</v>
      </c>
      <c r="P151" s="2">
        <f t="shared" si="154"/>
        <v>1</v>
      </c>
      <c r="Q151" s="2">
        <f t="shared" si="3"/>
        <v>1</v>
      </c>
      <c r="R151" s="2">
        <f>IF(ISERROR(VLOOKUP(A151, 'Project Reference'!A:A, 1, FALSE)), 0, 1)</f>
        <v>1</v>
      </c>
      <c r="S151" s="2">
        <f>IFERROR(__xludf.DUMMYFUNCTION("IF(AND(REGEXMATCH(D151, B151), REGEXMATCH(D151, C151)), 1, 0)
"),1.0)</f>
        <v>1</v>
      </c>
      <c r="T151" s="2">
        <f t="shared" si="4"/>
        <v>1</v>
      </c>
      <c r="U151" s="2">
        <f t="shared" si="5"/>
        <v>1</v>
      </c>
      <c r="V151" s="2">
        <f t="shared" si="6"/>
        <v>1</v>
      </c>
    </row>
    <row r="152" ht="14.25" customHeight="1">
      <c r="A152" s="2" t="s">
        <v>190</v>
      </c>
      <c r="B152" s="2" t="s">
        <v>18</v>
      </c>
      <c r="C152" s="2" t="s">
        <v>39</v>
      </c>
      <c r="D152" s="8" t="s">
        <v>577</v>
      </c>
      <c r="E152" s="6">
        <v>45017.0</v>
      </c>
      <c r="F152" s="6">
        <v>45369.0</v>
      </c>
      <c r="G152" s="7">
        <v>2.425304687E9</v>
      </c>
      <c r="H152" s="2" t="s">
        <v>33</v>
      </c>
      <c r="I152" s="2">
        <f t="shared" ref="I152:P152" si="155">IF(ISBLANK(A152)=TRUE,0,1)</f>
        <v>1</v>
      </c>
      <c r="J152" s="2">
        <f t="shared" si="155"/>
        <v>1</v>
      </c>
      <c r="K152" s="2">
        <f t="shared" si="155"/>
        <v>1</v>
      </c>
      <c r="L152" s="2">
        <f t="shared" si="155"/>
        <v>1</v>
      </c>
      <c r="M152" s="2">
        <f t="shared" si="155"/>
        <v>1</v>
      </c>
      <c r="N152" s="2">
        <f t="shared" si="155"/>
        <v>1</v>
      </c>
      <c r="O152" s="2">
        <f t="shared" si="155"/>
        <v>1</v>
      </c>
      <c r="P152" s="2">
        <f t="shared" si="155"/>
        <v>1</v>
      </c>
      <c r="Q152" s="2">
        <f t="shared" si="3"/>
        <v>1</v>
      </c>
      <c r="R152" s="2">
        <f>IF(ISERROR(VLOOKUP(A152, 'Project Reference'!A:A, 1, FALSE)), 0, 1)</f>
        <v>1</v>
      </c>
      <c r="S152" s="2">
        <f>IFERROR(__xludf.DUMMYFUNCTION("IF(AND(REGEXMATCH(D152, B152), REGEXMATCH(D152, C152)), 1, 0)
"),1.0)</f>
        <v>1</v>
      </c>
      <c r="T152" s="2">
        <f t="shared" si="4"/>
        <v>1</v>
      </c>
      <c r="U152" s="2">
        <f t="shared" si="5"/>
        <v>1</v>
      </c>
      <c r="V152" s="2">
        <f t="shared" si="6"/>
        <v>1</v>
      </c>
    </row>
    <row r="153" ht="14.25" customHeight="1">
      <c r="A153" s="2" t="s">
        <v>191</v>
      </c>
      <c r="B153" s="2" t="s">
        <v>18</v>
      </c>
      <c r="C153" s="2" t="s">
        <v>24</v>
      </c>
      <c r="D153" s="8" t="s">
        <v>618</v>
      </c>
      <c r="E153" s="6">
        <v>45017.0</v>
      </c>
      <c r="F153" s="6">
        <v>45053.0</v>
      </c>
      <c r="G153" s="7">
        <v>3.263728734E9</v>
      </c>
      <c r="H153" s="2" t="s">
        <v>44</v>
      </c>
      <c r="I153" s="2">
        <f t="shared" ref="I153:P153" si="156">IF(ISBLANK(A153)=TRUE,0,1)</f>
        <v>1</v>
      </c>
      <c r="J153" s="2">
        <f t="shared" si="156"/>
        <v>1</v>
      </c>
      <c r="K153" s="2">
        <f t="shared" si="156"/>
        <v>1</v>
      </c>
      <c r="L153" s="2">
        <f t="shared" si="156"/>
        <v>1</v>
      </c>
      <c r="M153" s="2">
        <f t="shared" si="156"/>
        <v>1</v>
      </c>
      <c r="N153" s="2">
        <f t="shared" si="156"/>
        <v>1</v>
      </c>
      <c r="O153" s="2">
        <f t="shared" si="156"/>
        <v>1</v>
      </c>
      <c r="P153" s="2">
        <f t="shared" si="156"/>
        <v>1</v>
      </c>
      <c r="Q153" s="2">
        <f t="shared" si="3"/>
        <v>1</v>
      </c>
      <c r="R153" s="2">
        <f>IF(ISERROR(VLOOKUP(A153, 'Project Reference'!A:A, 1, FALSE)), 0, 1)</f>
        <v>1</v>
      </c>
      <c r="S153" s="2">
        <f>IFERROR(__xludf.DUMMYFUNCTION("IF(AND(REGEXMATCH(D153, B153), REGEXMATCH(D153, C153)), 1, 0)
"),1.0)</f>
        <v>1</v>
      </c>
      <c r="T153" s="2">
        <f t="shared" si="4"/>
        <v>1</v>
      </c>
      <c r="U153" s="2">
        <f t="shared" si="5"/>
        <v>1</v>
      </c>
      <c r="V153" s="2">
        <f t="shared" si="6"/>
        <v>1</v>
      </c>
    </row>
    <row r="154" ht="14.25" customHeight="1">
      <c r="A154" s="2" t="s">
        <v>192</v>
      </c>
      <c r="B154" s="2" t="s">
        <v>18</v>
      </c>
      <c r="C154" s="2" t="s">
        <v>19</v>
      </c>
      <c r="D154" s="8" t="s">
        <v>633</v>
      </c>
      <c r="E154" s="6">
        <v>45018.0</v>
      </c>
      <c r="F154" s="6">
        <v>45255.0</v>
      </c>
      <c r="G154" s="7">
        <v>7.299558365E9</v>
      </c>
      <c r="H154" s="8" t="s">
        <v>581</v>
      </c>
      <c r="I154" s="2">
        <f t="shared" ref="I154:P154" si="157">IF(ISBLANK(A154)=TRUE,0,1)</f>
        <v>1</v>
      </c>
      <c r="J154" s="2">
        <f t="shared" si="157"/>
        <v>1</v>
      </c>
      <c r="K154" s="2">
        <f t="shared" si="157"/>
        <v>1</v>
      </c>
      <c r="L154" s="2">
        <f t="shared" si="157"/>
        <v>1</v>
      </c>
      <c r="M154" s="2">
        <f t="shared" si="157"/>
        <v>1</v>
      </c>
      <c r="N154" s="2">
        <f t="shared" si="157"/>
        <v>1</v>
      </c>
      <c r="O154" s="2">
        <f t="shared" si="157"/>
        <v>1</v>
      </c>
      <c r="P154" s="2">
        <f t="shared" si="157"/>
        <v>1</v>
      </c>
      <c r="Q154" s="2">
        <f t="shared" si="3"/>
        <v>1</v>
      </c>
      <c r="R154" s="2">
        <f>IF(ISERROR(VLOOKUP(A154, 'Project Reference'!A:A, 1, FALSE)), 0, 1)</f>
        <v>1</v>
      </c>
      <c r="S154" s="2">
        <f>IFERROR(__xludf.DUMMYFUNCTION("IF(AND(REGEXMATCH(D154, B154), REGEXMATCH(D154, C154)), 1, 0)
"),1.0)</f>
        <v>1</v>
      </c>
      <c r="T154" s="2">
        <f t="shared" si="4"/>
        <v>1</v>
      </c>
      <c r="U154" s="2">
        <f t="shared" si="5"/>
        <v>1</v>
      </c>
      <c r="V154" s="2">
        <f t="shared" si="6"/>
        <v>1</v>
      </c>
    </row>
    <row r="155" ht="14.25" customHeight="1">
      <c r="A155" s="2" t="s">
        <v>193</v>
      </c>
      <c r="B155" s="2" t="s">
        <v>12</v>
      </c>
      <c r="C155" s="2" t="s">
        <v>42</v>
      </c>
      <c r="D155" s="8" t="s">
        <v>603</v>
      </c>
      <c r="E155" s="6">
        <v>45018.0</v>
      </c>
      <c r="F155" s="6">
        <v>45084.0</v>
      </c>
      <c r="G155" s="7">
        <v>3.04540977E8</v>
      </c>
      <c r="H155" s="2" t="s">
        <v>44</v>
      </c>
      <c r="I155" s="2">
        <f t="shared" ref="I155:P155" si="158">IF(ISBLANK(A155)=TRUE,0,1)</f>
        <v>1</v>
      </c>
      <c r="J155" s="2">
        <f t="shared" si="158"/>
        <v>1</v>
      </c>
      <c r="K155" s="2">
        <f t="shared" si="158"/>
        <v>1</v>
      </c>
      <c r="L155" s="2">
        <f t="shared" si="158"/>
        <v>1</v>
      </c>
      <c r="M155" s="2">
        <f t="shared" si="158"/>
        <v>1</v>
      </c>
      <c r="N155" s="2">
        <f t="shared" si="158"/>
        <v>1</v>
      </c>
      <c r="O155" s="2">
        <f t="shared" si="158"/>
        <v>1</v>
      </c>
      <c r="P155" s="2">
        <f t="shared" si="158"/>
        <v>1</v>
      </c>
      <c r="Q155" s="2">
        <f t="shared" si="3"/>
        <v>1</v>
      </c>
      <c r="R155" s="2">
        <f>IF(ISERROR(VLOOKUP(A155, 'Project Reference'!A:A, 1, FALSE)), 0, 1)</f>
        <v>1</v>
      </c>
      <c r="S155" s="2">
        <f>IFERROR(__xludf.DUMMYFUNCTION("IF(AND(REGEXMATCH(D155, B155), REGEXMATCH(D155, C155)), 1, 0)
"),1.0)</f>
        <v>1</v>
      </c>
      <c r="T155" s="2">
        <f t="shared" si="4"/>
        <v>1</v>
      </c>
      <c r="U155" s="2">
        <f t="shared" si="5"/>
        <v>1</v>
      </c>
      <c r="V155" s="2">
        <f t="shared" si="6"/>
        <v>1</v>
      </c>
    </row>
    <row r="156" ht="14.25" customHeight="1">
      <c r="A156" s="2" t="s">
        <v>194</v>
      </c>
      <c r="B156" s="2" t="s">
        <v>30</v>
      </c>
      <c r="C156" s="2" t="s">
        <v>24</v>
      </c>
      <c r="D156" s="8" t="s">
        <v>637</v>
      </c>
      <c r="E156" s="6">
        <v>45018.0</v>
      </c>
      <c r="F156" s="6">
        <v>45371.0</v>
      </c>
      <c r="G156" s="7">
        <v>5.043663492E9</v>
      </c>
      <c r="H156" s="8" t="s">
        <v>581</v>
      </c>
      <c r="I156" s="2">
        <f t="shared" ref="I156:P156" si="159">IF(ISBLANK(A156)=TRUE,0,1)</f>
        <v>1</v>
      </c>
      <c r="J156" s="2">
        <f t="shared" si="159"/>
        <v>1</v>
      </c>
      <c r="K156" s="2">
        <f t="shared" si="159"/>
        <v>1</v>
      </c>
      <c r="L156" s="2">
        <f t="shared" si="159"/>
        <v>1</v>
      </c>
      <c r="M156" s="2">
        <f t="shared" si="159"/>
        <v>1</v>
      </c>
      <c r="N156" s="2">
        <f t="shared" si="159"/>
        <v>1</v>
      </c>
      <c r="O156" s="2">
        <f t="shared" si="159"/>
        <v>1</v>
      </c>
      <c r="P156" s="2">
        <f t="shared" si="159"/>
        <v>1</v>
      </c>
      <c r="Q156" s="2">
        <f t="shared" si="3"/>
        <v>1</v>
      </c>
      <c r="R156" s="2">
        <f>IF(ISERROR(VLOOKUP(A156, 'Project Reference'!A:A, 1, FALSE)), 0, 1)</f>
        <v>1</v>
      </c>
      <c r="S156" s="2">
        <f>IFERROR(__xludf.DUMMYFUNCTION("IF(AND(REGEXMATCH(D156, B156), REGEXMATCH(D156, C156)), 1, 0)
"),1.0)</f>
        <v>1</v>
      </c>
      <c r="T156" s="2">
        <f t="shared" si="4"/>
        <v>1</v>
      </c>
      <c r="U156" s="2">
        <f t="shared" si="5"/>
        <v>1</v>
      </c>
      <c r="V156" s="2">
        <f t="shared" si="6"/>
        <v>1</v>
      </c>
    </row>
    <row r="157" ht="14.25" customHeight="1">
      <c r="A157" s="2" t="s">
        <v>195</v>
      </c>
      <c r="B157" s="2" t="s">
        <v>60</v>
      </c>
      <c r="C157" s="2" t="s">
        <v>19</v>
      </c>
      <c r="D157" s="8" t="s">
        <v>635</v>
      </c>
      <c r="E157" s="6">
        <v>45020.0</v>
      </c>
      <c r="F157" s="6">
        <v>45200.0</v>
      </c>
      <c r="G157" s="7">
        <v>3.438414318E9</v>
      </c>
      <c r="H157" s="8" t="s">
        <v>573</v>
      </c>
      <c r="I157" s="2">
        <f t="shared" ref="I157:P157" si="160">IF(ISBLANK(A157)=TRUE,0,1)</f>
        <v>1</v>
      </c>
      <c r="J157" s="2">
        <f t="shared" si="160"/>
        <v>1</v>
      </c>
      <c r="K157" s="2">
        <f t="shared" si="160"/>
        <v>1</v>
      </c>
      <c r="L157" s="2">
        <f t="shared" si="160"/>
        <v>1</v>
      </c>
      <c r="M157" s="2">
        <f t="shared" si="160"/>
        <v>1</v>
      </c>
      <c r="N157" s="2">
        <f t="shared" si="160"/>
        <v>1</v>
      </c>
      <c r="O157" s="2">
        <f t="shared" si="160"/>
        <v>1</v>
      </c>
      <c r="P157" s="2">
        <f t="shared" si="160"/>
        <v>1</v>
      </c>
      <c r="Q157" s="2">
        <f t="shared" si="3"/>
        <v>1</v>
      </c>
      <c r="R157" s="2">
        <f>IF(ISERROR(VLOOKUP(A157, 'Project Reference'!A:A, 1, FALSE)), 0, 1)</f>
        <v>1</v>
      </c>
      <c r="S157" s="2">
        <f>IFERROR(__xludf.DUMMYFUNCTION("IF(AND(REGEXMATCH(D157, B157), REGEXMATCH(D157, C157)), 1, 0)
"),1.0)</f>
        <v>1</v>
      </c>
      <c r="T157" s="2">
        <f t="shared" si="4"/>
        <v>1</v>
      </c>
      <c r="U157" s="2">
        <f t="shared" si="5"/>
        <v>1</v>
      </c>
      <c r="V157" s="2">
        <f t="shared" si="6"/>
        <v>1</v>
      </c>
    </row>
    <row r="158" ht="14.25" customHeight="1">
      <c r="A158" s="2" t="s">
        <v>196</v>
      </c>
      <c r="B158" s="2" t="s">
        <v>12</v>
      </c>
      <c r="C158" s="2" t="s">
        <v>19</v>
      </c>
      <c r="D158" s="8" t="s">
        <v>631</v>
      </c>
      <c r="E158" s="6">
        <v>45020.0</v>
      </c>
      <c r="F158" s="6">
        <v>45381.0</v>
      </c>
      <c r="G158" s="7">
        <v>5.38173778E8</v>
      </c>
      <c r="H158" s="8" t="s">
        <v>581</v>
      </c>
      <c r="I158" s="2">
        <f t="shared" ref="I158:P158" si="161">IF(ISBLANK(A158)=TRUE,0,1)</f>
        <v>1</v>
      </c>
      <c r="J158" s="2">
        <f t="shared" si="161"/>
        <v>1</v>
      </c>
      <c r="K158" s="2">
        <f t="shared" si="161"/>
        <v>1</v>
      </c>
      <c r="L158" s="2">
        <f t="shared" si="161"/>
        <v>1</v>
      </c>
      <c r="M158" s="2">
        <f t="shared" si="161"/>
        <v>1</v>
      </c>
      <c r="N158" s="2">
        <f t="shared" si="161"/>
        <v>1</v>
      </c>
      <c r="O158" s="2">
        <f t="shared" si="161"/>
        <v>1</v>
      </c>
      <c r="P158" s="2">
        <f t="shared" si="161"/>
        <v>1</v>
      </c>
      <c r="Q158" s="2">
        <f t="shared" si="3"/>
        <v>1</v>
      </c>
      <c r="R158" s="2">
        <f>IF(ISERROR(VLOOKUP(A158, 'Project Reference'!A:A, 1, FALSE)), 0, 1)</f>
        <v>1</v>
      </c>
      <c r="S158" s="2">
        <f>IFERROR(__xludf.DUMMYFUNCTION("IF(AND(REGEXMATCH(D158, B158), REGEXMATCH(D158, C158)), 1, 0)
"),1.0)</f>
        <v>1</v>
      </c>
      <c r="T158" s="2">
        <f t="shared" si="4"/>
        <v>1</v>
      </c>
      <c r="U158" s="2">
        <f t="shared" si="5"/>
        <v>1</v>
      </c>
      <c r="V158" s="2">
        <f t="shared" si="6"/>
        <v>1</v>
      </c>
    </row>
    <row r="159" ht="14.25" customHeight="1">
      <c r="A159" s="2" t="s">
        <v>197</v>
      </c>
      <c r="B159" s="2" t="s">
        <v>18</v>
      </c>
      <c r="C159" s="2" t="s">
        <v>39</v>
      </c>
      <c r="D159" s="8" t="s">
        <v>577</v>
      </c>
      <c r="E159" s="6">
        <v>45022.0</v>
      </c>
      <c r="F159" s="6">
        <v>45248.0</v>
      </c>
      <c r="G159" s="7">
        <v>4.142478037E9</v>
      </c>
      <c r="H159" s="2" t="s">
        <v>67</v>
      </c>
      <c r="I159" s="2">
        <f t="shared" ref="I159:P159" si="162">IF(ISBLANK(A159)=TRUE,0,1)</f>
        <v>1</v>
      </c>
      <c r="J159" s="2">
        <f t="shared" si="162"/>
        <v>1</v>
      </c>
      <c r="K159" s="2">
        <f t="shared" si="162"/>
        <v>1</v>
      </c>
      <c r="L159" s="2">
        <f t="shared" si="162"/>
        <v>1</v>
      </c>
      <c r="M159" s="2">
        <f t="shared" si="162"/>
        <v>1</v>
      </c>
      <c r="N159" s="2">
        <f t="shared" si="162"/>
        <v>1</v>
      </c>
      <c r="O159" s="2">
        <f t="shared" si="162"/>
        <v>1</v>
      </c>
      <c r="P159" s="2">
        <f t="shared" si="162"/>
        <v>1</v>
      </c>
      <c r="Q159" s="2">
        <f t="shared" si="3"/>
        <v>1</v>
      </c>
      <c r="R159" s="2">
        <f>IF(ISERROR(VLOOKUP(A159, 'Project Reference'!A:A, 1, FALSE)), 0, 1)</f>
        <v>1</v>
      </c>
      <c r="S159" s="2">
        <f>IFERROR(__xludf.DUMMYFUNCTION("IF(AND(REGEXMATCH(D159, B159), REGEXMATCH(D159, C159)), 1, 0)
"),1.0)</f>
        <v>1</v>
      </c>
      <c r="T159" s="2">
        <f t="shared" si="4"/>
        <v>1</v>
      </c>
      <c r="U159" s="2">
        <f t="shared" si="5"/>
        <v>1</v>
      </c>
      <c r="V159" s="2">
        <f t="shared" si="6"/>
        <v>1</v>
      </c>
    </row>
    <row r="160" ht="14.25" customHeight="1">
      <c r="A160" s="2" t="s">
        <v>198</v>
      </c>
      <c r="B160" s="2" t="s">
        <v>30</v>
      </c>
      <c r="C160" s="2" t="s">
        <v>48</v>
      </c>
      <c r="D160" s="8" t="s">
        <v>615</v>
      </c>
      <c r="E160" s="6">
        <v>45023.0</v>
      </c>
      <c r="F160" s="6">
        <v>45075.0</v>
      </c>
      <c r="G160" s="7">
        <v>4.552866676E9</v>
      </c>
      <c r="H160" s="2" t="s">
        <v>21</v>
      </c>
      <c r="I160" s="2">
        <f t="shared" ref="I160:P160" si="163">IF(ISBLANK(A160)=TRUE,0,1)</f>
        <v>1</v>
      </c>
      <c r="J160" s="2">
        <f t="shared" si="163"/>
        <v>1</v>
      </c>
      <c r="K160" s="2">
        <f t="shared" si="163"/>
        <v>1</v>
      </c>
      <c r="L160" s="2">
        <f t="shared" si="163"/>
        <v>1</v>
      </c>
      <c r="M160" s="2">
        <f t="shared" si="163"/>
        <v>1</v>
      </c>
      <c r="N160" s="2">
        <f t="shared" si="163"/>
        <v>1</v>
      </c>
      <c r="O160" s="2">
        <f t="shared" si="163"/>
        <v>1</v>
      </c>
      <c r="P160" s="2">
        <f t="shared" si="163"/>
        <v>1</v>
      </c>
      <c r="Q160" s="2">
        <f t="shared" si="3"/>
        <v>1</v>
      </c>
      <c r="R160" s="2">
        <f>IF(ISERROR(VLOOKUP(A160, 'Project Reference'!A:A, 1, FALSE)), 0, 1)</f>
        <v>1</v>
      </c>
      <c r="S160" s="2">
        <f>IFERROR(__xludf.DUMMYFUNCTION("IF(AND(REGEXMATCH(D160, B160), REGEXMATCH(D160, C160)), 1, 0)
"),1.0)</f>
        <v>1</v>
      </c>
      <c r="T160" s="2">
        <f t="shared" si="4"/>
        <v>1</v>
      </c>
      <c r="U160" s="2">
        <f t="shared" si="5"/>
        <v>1</v>
      </c>
      <c r="V160" s="2">
        <f t="shared" si="6"/>
        <v>1</v>
      </c>
    </row>
    <row r="161" ht="14.25" customHeight="1">
      <c r="A161" s="2" t="s">
        <v>199</v>
      </c>
      <c r="B161" s="2" t="s">
        <v>12</v>
      </c>
      <c r="C161" s="2" t="s">
        <v>13</v>
      </c>
      <c r="D161" s="8" t="s">
        <v>605</v>
      </c>
      <c r="E161" s="6">
        <v>45024.0</v>
      </c>
      <c r="F161" s="6">
        <v>45121.0</v>
      </c>
      <c r="G161" s="7">
        <v>9.02216985E8</v>
      </c>
      <c r="H161" s="2" t="s">
        <v>50</v>
      </c>
      <c r="I161" s="2">
        <f t="shared" ref="I161:P161" si="164">IF(ISBLANK(A161)=TRUE,0,1)</f>
        <v>1</v>
      </c>
      <c r="J161" s="2">
        <f t="shared" si="164"/>
        <v>1</v>
      </c>
      <c r="K161" s="2">
        <f t="shared" si="164"/>
        <v>1</v>
      </c>
      <c r="L161" s="2">
        <f t="shared" si="164"/>
        <v>1</v>
      </c>
      <c r="M161" s="2">
        <f t="shared" si="164"/>
        <v>1</v>
      </c>
      <c r="N161" s="2">
        <f t="shared" si="164"/>
        <v>1</v>
      </c>
      <c r="O161" s="2">
        <f t="shared" si="164"/>
        <v>1</v>
      </c>
      <c r="P161" s="2">
        <f t="shared" si="164"/>
        <v>1</v>
      </c>
      <c r="Q161" s="2">
        <f t="shared" si="3"/>
        <v>1</v>
      </c>
      <c r="R161" s="2">
        <f>IF(ISERROR(VLOOKUP(A161, 'Project Reference'!A:A, 1, FALSE)), 0, 1)</f>
        <v>1</v>
      </c>
      <c r="S161" s="2">
        <f>IFERROR(__xludf.DUMMYFUNCTION("IF(AND(REGEXMATCH(D161, B161), REGEXMATCH(D161, C161)), 1, 0)
"),1.0)</f>
        <v>1</v>
      </c>
      <c r="T161" s="2">
        <f t="shared" si="4"/>
        <v>1</v>
      </c>
      <c r="U161" s="2">
        <f t="shared" si="5"/>
        <v>1</v>
      </c>
      <c r="V161" s="2">
        <f t="shared" si="6"/>
        <v>1</v>
      </c>
    </row>
    <row r="162" ht="14.25" customHeight="1">
      <c r="A162" s="2" t="s">
        <v>200</v>
      </c>
      <c r="B162" s="2" t="s">
        <v>30</v>
      </c>
      <c r="C162" s="2" t="s">
        <v>36</v>
      </c>
      <c r="D162" s="8" t="s">
        <v>614</v>
      </c>
      <c r="E162" s="6">
        <v>45024.0</v>
      </c>
      <c r="F162" s="6">
        <v>45253.0</v>
      </c>
      <c r="G162" s="7">
        <v>6.582376288E9</v>
      </c>
      <c r="H162" s="2" t="s">
        <v>33</v>
      </c>
      <c r="I162" s="2">
        <f t="shared" ref="I162:P162" si="165">IF(ISBLANK(A162)=TRUE,0,1)</f>
        <v>1</v>
      </c>
      <c r="J162" s="2">
        <f t="shared" si="165"/>
        <v>1</v>
      </c>
      <c r="K162" s="2">
        <f t="shared" si="165"/>
        <v>1</v>
      </c>
      <c r="L162" s="2">
        <f t="shared" si="165"/>
        <v>1</v>
      </c>
      <c r="M162" s="2">
        <f t="shared" si="165"/>
        <v>1</v>
      </c>
      <c r="N162" s="2">
        <f t="shared" si="165"/>
        <v>1</v>
      </c>
      <c r="O162" s="2">
        <f t="shared" si="165"/>
        <v>1</v>
      </c>
      <c r="P162" s="2">
        <f t="shared" si="165"/>
        <v>1</v>
      </c>
      <c r="Q162" s="2">
        <f t="shared" si="3"/>
        <v>1</v>
      </c>
      <c r="R162" s="2">
        <f>IF(ISERROR(VLOOKUP(A162, 'Project Reference'!A:A, 1, FALSE)), 0, 1)</f>
        <v>1</v>
      </c>
      <c r="S162" s="2">
        <f>IFERROR(__xludf.DUMMYFUNCTION("IF(AND(REGEXMATCH(D162, B162), REGEXMATCH(D162, C162)), 1, 0)
"),1.0)</f>
        <v>1</v>
      </c>
      <c r="T162" s="2">
        <f t="shared" si="4"/>
        <v>1</v>
      </c>
      <c r="U162" s="2">
        <f t="shared" si="5"/>
        <v>1</v>
      </c>
      <c r="V162" s="2">
        <f t="shared" si="6"/>
        <v>1</v>
      </c>
    </row>
    <row r="163" ht="14.25" customHeight="1">
      <c r="A163" s="2" t="s">
        <v>201</v>
      </c>
      <c r="B163" s="2" t="s">
        <v>35</v>
      </c>
      <c r="C163" s="2" t="s">
        <v>48</v>
      </c>
      <c r="D163" s="2" t="s">
        <v>49</v>
      </c>
      <c r="E163" s="6">
        <v>45026.0</v>
      </c>
      <c r="F163" s="6">
        <v>45305.0</v>
      </c>
      <c r="G163" s="7">
        <v>2.04769884E8</v>
      </c>
      <c r="H163" s="8" t="s">
        <v>573</v>
      </c>
      <c r="I163" s="2">
        <f t="shared" ref="I163:P163" si="166">IF(ISBLANK(A163)=TRUE,0,1)</f>
        <v>1</v>
      </c>
      <c r="J163" s="2">
        <f t="shared" si="166"/>
        <v>1</v>
      </c>
      <c r="K163" s="2">
        <f t="shared" si="166"/>
        <v>1</v>
      </c>
      <c r="L163" s="2">
        <f t="shared" si="166"/>
        <v>1</v>
      </c>
      <c r="M163" s="2">
        <f t="shared" si="166"/>
        <v>1</v>
      </c>
      <c r="N163" s="2">
        <f t="shared" si="166"/>
        <v>1</v>
      </c>
      <c r="O163" s="2">
        <f t="shared" si="166"/>
        <v>1</v>
      </c>
      <c r="P163" s="2">
        <f t="shared" si="166"/>
        <v>1</v>
      </c>
      <c r="Q163" s="2">
        <f t="shared" si="3"/>
        <v>1</v>
      </c>
      <c r="R163" s="2">
        <f>IF(ISERROR(VLOOKUP(A163, 'Project Reference'!A:A, 1, FALSE)), 0, 1)</f>
        <v>1</v>
      </c>
      <c r="S163" s="2">
        <f>IFERROR(__xludf.DUMMYFUNCTION("IF(AND(REGEXMATCH(D163, B163), REGEXMATCH(D163, C163)), 1, 0)
"),1.0)</f>
        <v>1</v>
      </c>
      <c r="T163" s="2">
        <f t="shared" si="4"/>
        <v>1</v>
      </c>
      <c r="U163" s="2">
        <f t="shared" si="5"/>
        <v>1</v>
      </c>
      <c r="V163" s="2">
        <f t="shared" si="6"/>
        <v>1</v>
      </c>
    </row>
    <row r="164" ht="14.25" customHeight="1">
      <c r="A164" s="2" t="s">
        <v>202</v>
      </c>
      <c r="B164" s="2" t="s">
        <v>12</v>
      </c>
      <c r="C164" s="2" t="s">
        <v>36</v>
      </c>
      <c r="D164" s="8" t="s">
        <v>578</v>
      </c>
      <c r="E164" s="6">
        <v>45026.0</v>
      </c>
      <c r="F164" s="6">
        <v>45320.0</v>
      </c>
      <c r="G164" s="7">
        <v>1.00103542E8</v>
      </c>
      <c r="H164" s="2" t="s">
        <v>67</v>
      </c>
      <c r="I164" s="2">
        <f t="shared" ref="I164:P164" si="167">IF(ISBLANK(A164)=TRUE,0,1)</f>
        <v>1</v>
      </c>
      <c r="J164" s="2">
        <f t="shared" si="167"/>
        <v>1</v>
      </c>
      <c r="K164" s="2">
        <f t="shared" si="167"/>
        <v>1</v>
      </c>
      <c r="L164" s="2">
        <f t="shared" si="167"/>
        <v>1</v>
      </c>
      <c r="M164" s="2">
        <f t="shared" si="167"/>
        <v>1</v>
      </c>
      <c r="N164" s="2">
        <f t="shared" si="167"/>
        <v>1</v>
      </c>
      <c r="O164" s="2">
        <f t="shared" si="167"/>
        <v>1</v>
      </c>
      <c r="P164" s="2">
        <f t="shared" si="167"/>
        <v>1</v>
      </c>
      <c r="Q164" s="2">
        <f t="shared" si="3"/>
        <v>1</v>
      </c>
      <c r="R164" s="2">
        <f>IF(ISERROR(VLOOKUP(A164, 'Project Reference'!A:A, 1, FALSE)), 0, 1)</f>
        <v>1</v>
      </c>
      <c r="S164" s="2">
        <f>IFERROR(__xludf.DUMMYFUNCTION("IF(AND(REGEXMATCH(D164, B164), REGEXMATCH(D164, C164)), 1, 0)
"),1.0)</f>
        <v>1</v>
      </c>
      <c r="T164" s="2">
        <f t="shared" si="4"/>
        <v>1</v>
      </c>
      <c r="U164" s="2">
        <f t="shared" si="5"/>
        <v>1</v>
      </c>
      <c r="V164" s="2">
        <f t="shared" si="6"/>
        <v>1</v>
      </c>
    </row>
    <row r="165" ht="14.25" customHeight="1">
      <c r="A165" s="2" t="s">
        <v>203</v>
      </c>
      <c r="B165" s="2" t="s">
        <v>30</v>
      </c>
      <c r="C165" s="2" t="s">
        <v>39</v>
      </c>
      <c r="D165" s="8" t="s">
        <v>590</v>
      </c>
      <c r="E165" s="6">
        <v>45028.0</v>
      </c>
      <c r="F165" s="6">
        <v>45097.0</v>
      </c>
      <c r="G165" s="7">
        <v>5.67827038E8</v>
      </c>
      <c r="H165" s="8" t="s">
        <v>581</v>
      </c>
      <c r="I165" s="2">
        <f t="shared" ref="I165:P165" si="168">IF(ISBLANK(A165)=TRUE,0,1)</f>
        <v>1</v>
      </c>
      <c r="J165" s="2">
        <f t="shared" si="168"/>
        <v>1</v>
      </c>
      <c r="K165" s="2">
        <f t="shared" si="168"/>
        <v>1</v>
      </c>
      <c r="L165" s="2">
        <f t="shared" si="168"/>
        <v>1</v>
      </c>
      <c r="M165" s="2">
        <f t="shared" si="168"/>
        <v>1</v>
      </c>
      <c r="N165" s="2">
        <f t="shared" si="168"/>
        <v>1</v>
      </c>
      <c r="O165" s="2">
        <f t="shared" si="168"/>
        <v>1</v>
      </c>
      <c r="P165" s="2">
        <f t="shared" si="168"/>
        <v>1</v>
      </c>
      <c r="Q165" s="2">
        <f t="shared" si="3"/>
        <v>1</v>
      </c>
      <c r="R165" s="2">
        <f>IF(ISERROR(VLOOKUP(A165, 'Project Reference'!A:A, 1, FALSE)), 0, 1)</f>
        <v>1</v>
      </c>
      <c r="S165" s="2">
        <f>IFERROR(__xludf.DUMMYFUNCTION("IF(AND(REGEXMATCH(D165, B165), REGEXMATCH(D165, C165)), 1, 0)
"),1.0)</f>
        <v>1</v>
      </c>
      <c r="T165" s="2">
        <f t="shared" si="4"/>
        <v>1</v>
      </c>
      <c r="U165" s="2">
        <f t="shared" si="5"/>
        <v>1</v>
      </c>
      <c r="V165" s="2">
        <f t="shared" si="6"/>
        <v>1</v>
      </c>
    </row>
    <row r="166" ht="14.25" customHeight="1">
      <c r="A166" s="2" t="s">
        <v>204</v>
      </c>
      <c r="B166" s="2" t="s">
        <v>18</v>
      </c>
      <c r="C166" s="2" t="s">
        <v>48</v>
      </c>
      <c r="D166" s="8" t="s">
        <v>629</v>
      </c>
      <c r="E166" s="6">
        <v>45031.0</v>
      </c>
      <c r="F166" s="6">
        <v>45211.0</v>
      </c>
      <c r="G166" s="7">
        <v>7.38261394E9</v>
      </c>
      <c r="H166" s="2" t="s">
        <v>21</v>
      </c>
      <c r="I166" s="2">
        <f t="shared" ref="I166:P166" si="169">IF(ISBLANK(A166)=TRUE,0,1)</f>
        <v>1</v>
      </c>
      <c r="J166" s="2">
        <f t="shared" si="169"/>
        <v>1</v>
      </c>
      <c r="K166" s="2">
        <f t="shared" si="169"/>
        <v>1</v>
      </c>
      <c r="L166" s="2">
        <f t="shared" si="169"/>
        <v>1</v>
      </c>
      <c r="M166" s="2">
        <f t="shared" si="169"/>
        <v>1</v>
      </c>
      <c r="N166" s="2">
        <f t="shared" si="169"/>
        <v>1</v>
      </c>
      <c r="O166" s="2">
        <f t="shared" si="169"/>
        <v>1</v>
      </c>
      <c r="P166" s="2">
        <f t="shared" si="169"/>
        <v>1</v>
      </c>
      <c r="Q166" s="2">
        <f t="shared" si="3"/>
        <v>1</v>
      </c>
      <c r="R166" s="2">
        <f>IF(ISERROR(VLOOKUP(A166, 'Project Reference'!A:A, 1, FALSE)), 0, 1)</f>
        <v>1</v>
      </c>
      <c r="S166" s="2">
        <f>IFERROR(__xludf.DUMMYFUNCTION("IF(AND(REGEXMATCH(D166, B166), REGEXMATCH(D166, C166)), 1, 0)
"),1.0)</f>
        <v>1</v>
      </c>
      <c r="T166" s="2">
        <f t="shared" si="4"/>
        <v>1</v>
      </c>
      <c r="U166" s="2">
        <f t="shared" si="5"/>
        <v>1</v>
      </c>
      <c r="V166" s="2">
        <f t="shared" si="6"/>
        <v>1</v>
      </c>
    </row>
    <row r="167" ht="14.25" customHeight="1">
      <c r="A167" s="2" t="s">
        <v>205</v>
      </c>
      <c r="B167" s="2" t="s">
        <v>18</v>
      </c>
      <c r="C167" s="2" t="s">
        <v>39</v>
      </c>
      <c r="D167" s="8" t="s">
        <v>577</v>
      </c>
      <c r="E167" s="6">
        <v>45031.0</v>
      </c>
      <c r="F167" s="6">
        <v>45123.0</v>
      </c>
      <c r="G167" s="7">
        <v>3.840273247E9</v>
      </c>
      <c r="H167" s="2" t="s">
        <v>33</v>
      </c>
      <c r="I167" s="2">
        <f t="shared" ref="I167:P167" si="170">IF(ISBLANK(A167)=TRUE,0,1)</f>
        <v>1</v>
      </c>
      <c r="J167" s="2">
        <f t="shared" si="170"/>
        <v>1</v>
      </c>
      <c r="K167" s="2">
        <f t="shared" si="170"/>
        <v>1</v>
      </c>
      <c r="L167" s="2">
        <f t="shared" si="170"/>
        <v>1</v>
      </c>
      <c r="M167" s="2">
        <f t="shared" si="170"/>
        <v>1</v>
      </c>
      <c r="N167" s="2">
        <f t="shared" si="170"/>
        <v>1</v>
      </c>
      <c r="O167" s="2">
        <f t="shared" si="170"/>
        <v>1</v>
      </c>
      <c r="P167" s="2">
        <f t="shared" si="170"/>
        <v>1</v>
      </c>
      <c r="Q167" s="2">
        <f t="shared" si="3"/>
        <v>1</v>
      </c>
      <c r="R167" s="2">
        <f>IF(ISERROR(VLOOKUP(A167, 'Project Reference'!A:A, 1, FALSE)), 0, 1)</f>
        <v>1</v>
      </c>
      <c r="S167" s="2">
        <f>IFERROR(__xludf.DUMMYFUNCTION("IF(AND(REGEXMATCH(D167, B167), REGEXMATCH(D167, C167)), 1, 0)
"),1.0)</f>
        <v>1</v>
      </c>
      <c r="T167" s="2">
        <f t="shared" si="4"/>
        <v>1</v>
      </c>
      <c r="U167" s="2">
        <f t="shared" si="5"/>
        <v>1</v>
      </c>
      <c r="V167" s="2">
        <f t="shared" si="6"/>
        <v>1</v>
      </c>
    </row>
    <row r="168" ht="14.25" customHeight="1">
      <c r="A168" s="2" t="s">
        <v>206</v>
      </c>
      <c r="B168" s="2" t="s">
        <v>12</v>
      </c>
      <c r="C168" s="2" t="s">
        <v>31</v>
      </c>
      <c r="D168" s="8" t="s">
        <v>593</v>
      </c>
      <c r="E168" s="6">
        <v>45033.0</v>
      </c>
      <c r="F168" s="6">
        <v>45370.0</v>
      </c>
      <c r="G168" s="7">
        <v>5.10276507E8</v>
      </c>
      <c r="H168" s="2" t="s">
        <v>44</v>
      </c>
      <c r="I168" s="2">
        <f t="shared" ref="I168:P168" si="171">IF(ISBLANK(A168)=TRUE,0,1)</f>
        <v>1</v>
      </c>
      <c r="J168" s="2">
        <f t="shared" si="171"/>
        <v>1</v>
      </c>
      <c r="K168" s="2">
        <f t="shared" si="171"/>
        <v>1</v>
      </c>
      <c r="L168" s="2">
        <f t="shared" si="171"/>
        <v>1</v>
      </c>
      <c r="M168" s="2">
        <f t="shared" si="171"/>
        <v>1</v>
      </c>
      <c r="N168" s="2">
        <f t="shared" si="171"/>
        <v>1</v>
      </c>
      <c r="O168" s="2">
        <f t="shared" si="171"/>
        <v>1</v>
      </c>
      <c r="P168" s="2">
        <f t="shared" si="171"/>
        <v>1</v>
      </c>
      <c r="Q168" s="2">
        <f t="shared" si="3"/>
        <v>1</v>
      </c>
      <c r="R168" s="2">
        <f>IF(ISERROR(VLOOKUP(A168, 'Project Reference'!A:A, 1, FALSE)), 0, 1)</f>
        <v>1</v>
      </c>
      <c r="S168" s="2">
        <f>IFERROR(__xludf.DUMMYFUNCTION("IF(AND(REGEXMATCH(D168, B168), REGEXMATCH(D168, C168)), 1, 0)
"),1.0)</f>
        <v>1</v>
      </c>
      <c r="T168" s="2">
        <f t="shared" si="4"/>
        <v>1</v>
      </c>
      <c r="U168" s="2">
        <f t="shared" si="5"/>
        <v>1</v>
      </c>
      <c r="V168" s="2">
        <f t="shared" si="6"/>
        <v>1</v>
      </c>
    </row>
    <row r="169" ht="14.25" customHeight="1">
      <c r="A169" s="2" t="s">
        <v>207</v>
      </c>
      <c r="B169" s="2" t="s">
        <v>12</v>
      </c>
      <c r="C169" s="2" t="s">
        <v>36</v>
      </c>
      <c r="D169" s="8" t="s">
        <v>578</v>
      </c>
      <c r="E169" s="6">
        <v>45033.0</v>
      </c>
      <c r="F169" s="6">
        <v>45291.0</v>
      </c>
      <c r="G169" s="7">
        <v>8.06848236E8</v>
      </c>
      <c r="H169" s="2" t="s">
        <v>67</v>
      </c>
      <c r="I169" s="2">
        <f t="shared" ref="I169:P169" si="172">IF(ISBLANK(A169)=TRUE,0,1)</f>
        <v>1</v>
      </c>
      <c r="J169" s="2">
        <f t="shared" si="172"/>
        <v>1</v>
      </c>
      <c r="K169" s="2">
        <f t="shared" si="172"/>
        <v>1</v>
      </c>
      <c r="L169" s="2">
        <f t="shared" si="172"/>
        <v>1</v>
      </c>
      <c r="M169" s="2">
        <f t="shared" si="172"/>
        <v>1</v>
      </c>
      <c r="N169" s="2">
        <f t="shared" si="172"/>
        <v>1</v>
      </c>
      <c r="O169" s="2">
        <f t="shared" si="172"/>
        <v>1</v>
      </c>
      <c r="P169" s="2">
        <f t="shared" si="172"/>
        <v>1</v>
      </c>
      <c r="Q169" s="2">
        <f t="shared" si="3"/>
        <v>1</v>
      </c>
      <c r="R169" s="2">
        <f>IF(ISERROR(VLOOKUP(A169, 'Project Reference'!A:A, 1, FALSE)), 0, 1)</f>
        <v>1</v>
      </c>
      <c r="S169" s="2">
        <f>IFERROR(__xludf.DUMMYFUNCTION("IF(AND(REGEXMATCH(D169, B169), REGEXMATCH(D169, C169)), 1, 0)
"),1.0)</f>
        <v>1</v>
      </c>
      <c r="T169" s="2">
        <f t="shared" si="4"/>
        <v>1</v>
      </c>
      <c r="U169" s="2">
        <f t="shared" si="5"/>
        <v>1</v>
      </c>
      <c r="V169" s="2">
        <f t="shared" si="6"/>
        <v>1</v>
      </c>
    </row>
    <row r="170" ht="14.25" customHeight="1">
      <c r="A170" s="2" t="s">
        <v>208</v>
      </c>
      <c r="B170" s="2" t="s">
        <v>60</v>
      </c>
      <c r="C170" s="2" t="s">
        <v>48</v>
      </c>
      <c r="D170" s="8" t="s">
        <v>622</v>
      </c>
      <c r="E170" s="6">
        <v>45034.0</v>
      </c>
      <c r="F170" s="6">
        <v>45257.0</v>
      </c>
      <c r="G170" s="7">
        <v>3.687967195E9</v>
      </c>
      <c r="H170" s="2" t="s">
        <v>33</v>
      </c>
      <c r="I170" s="2">
        <f t="shared" ref="I170:P170" si="173">IF(ISBLANK(A170)=TRUE,0,1)</f>
        <v>1</v>
      </c>
      <c r="J170" s="2">
        <f t="shared" si="173"/>
        <v>1</v>
      </c>
      <c r="K170" s="2">
        <f t="shared" si="173"/>
        <v>1</v>
      </c>
      <c r="L170" s="2">
        <f t="shared" si="173"/>
        <v>1</v>
      </c>
      <c r="M170" s="2">
        <f t="shared" si="173"/>
        <v>1</v>
      </c>
      <c r="N170" s="2">
        <f t="shared" si="173"/>
        <v>1</v>
      </c>
      <c r="O170" s="2">
        <f t="shared" si="173"/>
        <v>1</v>
      </c>
      <c r="P170" s="2">
        <f t="shared" si="173"/>
        <v>1</v>
      </c>
      <c r="Q170" s="2">
        <f t="shared" si="3"/>
        <v>1</v>
      </c>
      <c r="R170" s="2">
        <f>IF(ISERROR(VLOOKUP(A170, 'Project Reference'!A:A, 1, FALSE)), 0, 1)</f>
        <v>1</v>
      </c>
      <c r="S170" s="2">
        <f>IFERROR(__xludf.DUMMYFUNCTION("IF(AND(REGEXMATCH(D170, B170), REGEXMATCH(D170, C170)), 1, 0)
"),1.0)</f>
        <v>1</v>
      </c>
      <c r="T170" s="2">
        <f t="shared" si="4"/>
        <v>1</v>
      </c>
      <c r="U170" s="2">
        <f t="shared" si="5"/>
        <v>1</v>
      </c>
      <c r="V170" s="2">
        <f t="shared" si="6"/>
        <v>1</v>
      </c>
    </row>
    <row r="171" ht="14.25" customHeight="1">
      <c r="A171" s="2" t="s">
        <v>209</v>
      </c>
      <c r="B171" s="2" t="s">
        <v>30</v>
      </c>
      <c r="C171" s="2" t="s">
        <v>39</v>
      </c>
      <c r="D171" s="8" t="s">
        <v>638</v>
      </c>
      <c r="E171" s="6">
        <v>45035.0</v>
      </c>
      <c r="F171" s="6">
        <v>45339.0</v>
      </c>
      <c r="G171" s="7">
        <v>4.409857336E9</v>
      </c>
      <c r="H171" s="22"/>
      <c r="I171" s="2">
        <f t="shared" ref="I171:P171" si="174">IF(ISBLANK(A171)=TRUE,0,1)</f>
        <v>1</v>
      </c>
      <c r="J171" s="2">
        <f t="shared" si="174"/>
        <v>1</v>
      </c>
      <c r="K171" s="2">
        <f t="shared" si="174"/>
        <v>1</v>
      </c>
      <c r="L171" s="2">
        <f t="shared" si="174"/>
        <v>1</v>
      </c>
      <c r="M171" s="2">
        <f t="shared" si="174"/>
        <v>1</v>
      </c>
      <c r="N171" s="2">
        <f t="shared" si="174"/>
        <v>1</v>
      </c>
      <c r="O171" s="2">
        <f t="shared" si="174"/>
        <v>1</v>
      </c>
      <c r="P171" s="2">
        <f t="shared" si="174"/>
        <v>0</v>
      </c>
      <c r="Q171" s="2">
        <f t="shared" si="3"/>
        <v>1</v>
      </c>
      <c r="R171" s="2">
        <f>IF(ISERROR(VLOOKUP(A171, 'Project Reference'!A:A, 1, FALSE)), 0, 1)</f>
        <v>1</v>
      </c>
      <c r="S171" s="2">
        <f>IFERROR(__xludf.DUMMYFUNCTION("IF(AND(REGEXMATCH(D171, B171), REGEXMATCH(D171, C171)), 1, 0)
"),1.0)</f>
        <v>1</v>
      </c>
      <c r="T171" s="2">
        <f t="shared" si="4"/>
        <v>1</v>
      </c>
      <c r="U171" s="2">
        <f t="shared" si="5"/>
        <v>1</v>
      </c>
      <c r="V171" s="2">
        <f t="shared" si="6"/>
        <v>1</v>
      </c>
    </row>
    <row r="172" ht="14.25" customHeight="1">
      <c r="A172" s="2" t="s">
        <v>210</v>
      </c>
      <c r="B172" s="2" t="s">
        <v>35</v>
      </c>
      <c r="C172" s="2" t="s">
        <v>13</v>
      </c>
      <c r="D172" s="2" t="s">
        <v>78</v>
      </c>
      <c r="E172" s="6">
        <v>45035.0</v>
      </c>
      <c r="F172" s="6">
        <v>45297.0</v>
      </c>
      <c r="G172" s="7">
        <v>6.03531905E8</v>
      </c>
      <c r="H172" s="8" t="s">
        <v>573</v>
      </c>
      <c r="I172" s="2">
        <f t="shared" ref="I172:P172" si="175">IF(ISBLANK(A172)=TRUE,0,1)</f>
        <v>1</v>
      </c>
      <c r="J172" s="2">
        <f t="shared" si="175"/>
        <v>1</v>
      </c>
      <c r="K172" s="2">
        <f t="shared" si="175"/>
        <v>1</v>
      </c>
      <c r="L172" s="2">
        <f t="shared" si="175"/>
        <v>1</v>
      </c>
      <c r="M172" s="2">
        <f t="shared" si="175"/>
        <v>1</v>
      </c>
      <c r="N172" s="2">
        <f t="shared" si="175"/>
        <v>1</v>
      </c>
      <c r="O172" s="2">
        <f t="shared" si="175"/>
        <v>1</v>
      </c>
      <c r="P172" s="2">
        <f t="shared" si="175"/>
        <v>1</v>
      </c>
      <c r="Q172" s="2">
        <f t="shared" si="3"/>
        <v>1</v>
      </c>
      <c r="R172" s="2">
        <f>IF(ISERROR(VLOOKUP(A172, 'Project Reference'!A:A, 1, FALSE)), 0, 1)</f>
        <v>1</v>
      </c>
      <c r="S172" s="2">
        <f>IFERROR(__xludf.DUMMYFUNCTION("IF(AND(REGEXMATCH(D172, B172), REGEXMATCH(D172, C172)), 1, 0)
"),1.0)</f>
        <v>1</v>
      </c>
      <c r="T172" s="2">
        <f t="shared" si="4"/>
        <v>1</v>
      </c>
      <c r="U172" s="2">
        <f t="shared" si="5"/>
        <v>1</v>
      </c>
      <c r="V172" s="2">
        <f t="shared" si="6"/>
        <v>1</v>
      </c>
    </row>
    <row r="173" ht="14.25" customHeight="1">
      <c r="A173" s="2" t="s">
        <v>211</v>
      </c>
      <c r="B173" s="2" t="s">
        <v>35</v>
      </c>
      <c r="C173" s="2" t="s">
        <v>48</v>
      </c>
      <c r="D173" s="2" t="s">
        <v>49</v>
      </c>
      <c r="E173" s="6">
        <v>45035.0</v>
      </c>
      <c r="F173" s="6">
        <v>45269.0</v>
      </c>
      <c r="G173" s="7">
        <v>6.4873219E8</v>
      </c>
      <c r="H173" s="8" t="s">
        <v>581</v>
      </c>
      <c r="I173" s="2">
        <f t="shared" ref="I173:P173" si="176">IF(ISBLANK(A173)=TRUE,0,1)</f>
        <v>1</v>
      </c>
      <c r="J173" s="2">
        <f t="shared" si="176"/>
        <v>1</v>
      </c>
      <c r="K173" s="2">
        <f t="shared" si="176"/>
        <v>1</v>
      </c>
      <c r="L173" s="2">
        <f t="shared" si="176"/>
        <v>1</v>
      </c>
      <c r="M173" s="2">
        <f t="shared" si="176"/>
        <v>1</v>
      </c>
      <c r="N173" s="2">
        <f t="shared" si="176"/>
        <v>1</v>
      </c>
      <c r="O173" s="2">
        <f t="shared" si="176"/>
        <v>1</v>
      </c>
      <c r="P173" s="2">
        <f t="shared" si="176"/>
        <v>1</v>
      </c>
      <c r="Q173" s="2">
        <f t="shared" si="3"/>
        <v>1</v>
      </c>
      <c r="R173" s="2">
        <f>IF(ISERROR(VLOOKUP(A173, 'Project Reference'!A:A, 1, FALSE)), 0, 1)</f>
        <v>1</v>
      </c>
      <c r="S173" s="2">
        <f>IFERROR(__xludf.DUMMYFUNCTION("IF(AND(REGEXMATCH(D173, B173), REGEXMATCH(D173, C173)), 1, 0)
"),1.0)</f>
        <v>1</v>
      </c>
      <c r="T173" s="2">
        <f t="shared" si="4"/>
        <v>1</v>
      </c>
      <c r="U173" s="2">
        <f t="shared" si="5"/>
        <v>1</v>
      </c>
      <c r="V173" s="2">
        <f t="shared" si="6"/>
        <v>1</v>
      </c>
    </row>
    <row r="174" ht="14.25" customHeight="1">
      <c r="A174" s="2" t="s">
        <v>212</v>
      </c>
      <c r="B174" s="2" t="s">
        <v>12</v>
      </c>
      <c r="C174" s="2" t="s">
        <v>48</v>
      </c>
      <c r="D174" s="8" t="s">
        <v>602</v>
      </c>
      <c r="E174" s="6">
        <v>45035.0</v>
      </c>
      <c r="F174" s="6">
        <v>45179.0</v>
      </c>
      <c r="G174" s="7">
        <v>8.72561312E8</v>
      </c>
      <c r="H174" s="2" t="s">
        <v>33</v>
      </c>
      <c r="I174" s="2">
        <f t="shared" ref="I174:P174" si="177">IF(ISBLANK(A174)=TRUE,0,1)</f>
        <v>1</v>
      </c>
      <c r="J174" s="2">
        <f t="shared" si="177"/>
        <v>1</v>
      </c>
      <c r="K174" s="2">
        <f t="shared" si="177"/>
        <v>1</v>
      </c>
      <c r="L174" s="2">
        <f t="shared" si="177"/>
        <v>1</v>
      </c>
      <c r="M174" s="2">
        <f t="shared" si="177"/>
        <v>1</v>
      </c>
      <c r="N174" s="2">
        <f t="shared" si="177"/>
        <v>1</v>
      </c>
      <c r="O174" s="2">
        <f t="shared" si="177"/>
        <v>1</v>
      </c>
      <c r="P174" s="2">
        <f t="shared" si="177"/>
        <v>1</v>
      </c>
      <c r="Q174" s="2">
        <f t="shared" si="3"/>
        <v>1</v>
      </c>
      <c r="R174" s="2">
        <f>IF(ISERROR(VLOOKUP(A174, 'Project Reference'!A:A, 1, FALSE)), 0, 1)</f>
        <v>1</v>
      </c>
      <c r="S174" s="2">
        <f>IFERROR(__xludf.DUMMYFUNCTION("IF(AND(REGEXMATCH(D174, B174), REGEXMATCH(D174, C174)), 1, 0)
"),1.0)</f>
        <v>1</v>
      </c>
      <c r="T174" s="2">
        <f t="shared" si="4"/>
        <v>1</v>
      </c>
      <c r="U174" s="2">
        <f t="shared" si="5"/>
        <v>1</v>
      </c>
      <c r="V174" s="2">
        <f t="shared" si="6"/>
        <v>1</v>
      </c>
    </row>
    <row r="175" ht="14.25" customHeight="1">
      <c r="A175" s="2" t="s">
        <v>213</v>
      </c>
      <c r="B175" s="2" t="s">
        <v>35</v>
      </c>
      <c r="C175" s="2" t="s">
        <v>48</v>
      </c>
      <c r="D175" s="2" t="s">
        <v>49</v>
      </c>
      <c r="E175" s="6">
        <v>45036.0</v>
      </c>
      <c r="F175" s="6">
        <v>45119.0</v>
      </c>
      <c r="G175" s="7">
        <v>4.61667131E8</v>
      </c>
      <c r="H175" s="2" t="s">
        <v>50</v>
      </c>
      <c r="I175" s="2">
        <f t="shared" ref="I175:P175" si="178">IF(ISBLANK(A175)=TRUE,0,1)</f>
        <v>1</v>
      </c>
      <c r="J175" s="2">
        <f t="shared" si="178"/>
        <v>1</v>
      </c>
      <c r="K175" s="2">
        <f t="shared" si="178"/>
        <v>1</v>
      </c>
      <c r="L175" s="2">
        <f t="shared" si="178"/>
        <v>1</v>
      </c>
      <c r="M175" s="2">
        <f t="shared" si="178"/>
        <v>1</v>
      </c>
      <c r="N175" s="2">
        <f t="shared" si="178"/>
        <v>1</v>
      </c>
      <c r="O175" s="2">
        <f t="shared" si="178"/>
        <v>1</v>
      </c>
      <c r="P175" s="2">
        <f t="shared" si="178"/>
        <v>1</v>
      </c>
      <c r="Q175" s="2">
        <f t="shared" si="3"/>
        <v>1</v>
      </c>
      <c r="R175" s="2">
        <f>IF(ISERROR(VLOOKUP(A175, 'Project Reference'!A:A, 1, FALSE)), 0, 1)</f>
        <v>1</v>
      </c>
      <c r="S175" s="2">
        <f>IFERROR(__xludf.DUMMYFUNCTION("IF(AND(REGEXMATCH(D175, B175), REGEXMATCH(D175, C175)), 1, 0)
"),1.0)</f>
        <v>1</v>
      </c>
      <c r="T175" s="2">
        <f t="shared" si="4"/>
        <v>1</v>
      </c>
      <c r="U175" s="2">
        <f t="shared" si="5"/>
        <v>1</v>
      </c>
      <c r="V175" s="2">
        <f t="shared" si="6"/>
        <v>1</v>
      </c>
    </row>
    <row r="176" ht="14.25" customHeight="1">
      <c r="A176" s="2" t="s">
        <v>214</v>
      </c>
      <c r="B176" s="2" t="s">
        <v>35</v>
      </c>
      <c r="C176" s="2" t="s">
        <v>36</v>
      </c>
      <c r="D176" s="2" t="s">
        <v>37</v>
      </c>
      <c r="E176" s="6">
        <v>45036.0</v>
      </c>
      <c r="F176" s="6">
        <v>45313.0</v>
      </c>
      <c r="G176" s="7">
        <v>2.65879074E8</v>
      </c>
      <c r="H176" s="22"/>
      <c r="I176" s="2">
        <f t="shared" ref="I176:P176" si="179">IF(ISBLANK(A176)=TRUE,0,1)</f>
        <v>1</v>
      </c>
      <c r="J176" s="2">
        <f t="shared" si="179"/>
        <v>1</v>
      </c>
      <c r="K176" s="2">
        <f t="shared" si="179"/>
        <v>1</v>
      </c>
      <c r="L176" s="2">
        <f t="shared" si="179"/>
        <v>1</v>
      </c>
      <c r="M176" s="2">
        <f t="shared" si="179"/>
        <v>1</v>
      </c>
      <c r="N176" s="2">
        <f t="shared" si="179"/>
        <v>1</v>
      </c>
      <c r="O176" s="2">
        <f t="shared" si="179"/>
        <v>1</v>
      </c>
      <c r="P176" s="2">
        <f t="shared" si="179"/>
        <v>0</v>
      </c>
      <c r="Q176" s="2">
        <f t="shared" si="3"/>
        <v>1</v>
      </c>
      <c r="R176" s="2">
        <f>IF(ISERROR(VLOOKUP(A176, 'Project Reference'!A:A, 1, FALSE)), 0, 1)</f>
        <v>1</v>
      </c>
      <c r="S176" s="2">
        <f>IFERROR(__xludf.DUMMYFUNCTION("IF(AND(REGEXMATCH(D176, B176), REGEXMATCH(D176, C176)), 1, 0)
"),1.0)</f>
        <v>1</v>
      </c>
      <c r="T176" s="2">
        <f t="shared" si="4"/>
        <v>1</v>
      </c>
      <c r="U176" s="2">
        <f t="shared" si="5"/>
        <v>1</v>
      </c>
      <c r="V176" s="2">
        <f t="shared" si="6"/>
        <v>1</v>
      </c>
    </row>
    <row r="177" ht="14.25" customHeight="1">
      <c r="A177" s="2" t="s">
        <v>215</v>
      </c>
      <c r="B177" s="2" t="s">
        <v>12</v>
      </c>
      <c r="C177" s="2" t="s">
        <v>39</v>
      </c>
      <c r="D177" s="8" t="s">
        <v>591</v>
      </c>
      <c r="E177" s="6">
        <v>45037.0</v>
      </c>
      <c r="F177" s="6">
        <v>45384.0</v>
      </c>
      <c r="G177" s="7">
        <v>3.39042702E8</v>
      </c>
      <c r="H177" s="2" t="s">
        <v>67</v>
      </c>
      <c r="I177" s="2">
        <f t="shared" ref="I177:P177" si="180">IF(ISBLANK(A177)=TRUE,0,1)</f>
        <v>1</v>
      </c>
      <c r="J177" s="2">
        <f t="shared" si="180"/>
        <v>1</v>
      </c>
      <c r="K177" s="2">
        <f t="shared" si="180"/>
        <v>1</v>
      </c>
      <c r="L177" s="2">
        <f t="shared" si="180"/>
        <v>1</v>
      </c>
      <c r="M177" s="2">
        <f t="shared" si="180"/>
        <v>1</v>
      </c>
      <c r="N177" s="2">
        <f t="shared" si="180"/>
        <v>1</v>
      </c>
      <c r="O177" s="2">
        <f t="shared" si="180"/>
        <v>1</v>
      </c>
      <c r="P177" s="2">
        <f t="shared" si="180"/>
        <v>1</v>
      </c>
      <c r="Q177" s="2">
        <f t="shared" si="3"/>
        <v>1</v>
      </c>
      <c r="R177" s="2">
        <f>IF(ISERROR(VLOOKUP(A177, 'Project Reference'!A:A, 1, FALSE)), 0, 1)</f>
        <v>1</v>
      </c>
      <c r="S177" s="2">
        <f>IFERROR(__xludf.DUMMYFUNCTION("IF(AND(REGEXMATCH(D177, B177), REGEXMATCH(D177, C177)), 1, 0)
"),1.0)</f>
        <v>1</v>
      </c>
      <c r="T177" s="2">
        <f t="shared" si="4"/>
        <v>1</v>
      </c>
      <c r="U177" s="2">
        <f t="shared" si="5"/>
        <v>1</v>
      </c>
      <c r="V177" s="2">
        <f t="shared" si="6"/>
        <v>1</v>
      </c>
    </row>
    <row r="178" ht="14.25" customHeight="1">
      <c r="A178" s="2" t="s">
        <v>216</v>
      </c>
      <c r="B178" s="2" t="s">
        <v>18</v>
      </c>
      <c r="C178" s="2" t="s">
        <v>42</v>
      </c>
      <c r="D178" s="8" t="s">
        <v>621</v>
      </c>
      <c r="E178" s="6">
        <v>45038.0</v>
      </c>
      <c r="F178" s="6">
        <v>45308.0</v>
      </c>
      <c r="G178" s="7">
        <v>9.295259236E9</v>
      </c>
      <c r="H178" s="2" t="s">
        <v>21</v>
      </c>
      <c r="I178" s="2">
        <f t="shared" ref="I178:P178" si="181">IF(ISBLANK(A178)=TRUE,0,1)</f>
        <v>1</v>
      </c>
      <c r="J178" s="2">
        <f t="shared" si="181"/>
        <v>1</v>
      </c>
      <c r="K178" s="2">
        <f t="shared" si="181"/>
        <v>1</v>
      </c>
      <c r="L178" s="2">
        <f t="shared" si="181"/>
        <v>1</v>
      </c>
      <c r="M178" s="2">
        <f t="shared" si="181"/>
        <v>1</v>
      </c>
      <c r="N178" s="2">
        <f t="shared" si="181"/>
        <v>1</v>
      </c>
      <c r="O178" s="2">
        <f t="shared" si="181"/>
        <v>1</v>
      </c>
      <c r="P178" s="2">
        <f t="shared" si="181"/>
        <v>1</v>
      </c>
      <c r="Q178" s="2">
        <f t="shared" si="3"/>
        <v>1</v>
      </c>
      <c r="R178" s="2">
        <f>IF(ISERROR(VLOOKUP(A178, 'Project Reference'!A:A, 1, FALSE)), 0, 1)</f>
        <v>1</v>
      </c>
      <c r="S178" s="2">
        <f>IFERROR(__xludf.DUMMYFUNCTION("IF(AND(REGEXMATCH(D178, B178), REGEXMATCH(D178, C178)), 1, 0)
"),1.0)</f>
        <v>1</v>
      </c>
      <c r="T178" s="2">
        <f t="shared" si="4"/>
        <v>1</v>
      </c>
      <c r="U178" s="2">
        <f t="shared" si="5"/>
        <v>1</v>
      </c>
      <c r="V178" s="2">
        <f t="shared" si="6"/>
        <v>1</v>
      </c>
    </row>
    <row r="179" ht="14.25" customHeight="1">
      <c r="A179" s="2" t="s">
        <v>217</v>
      </c>
      <c r="B179" s="2" t="s">
        <v>18</v>
      </c>
      <c r="C179" s="2" t="s">
        <v>31</v>
      </c>
      <c r="D179" s="8" t="s">
        <v>636</v>
      </c>
      <c r="E179" s="6">
        <v>45038.0</v>
      </c>
      <c r="F179" s="6">
        <v>45333.0</v>
      </c>
      <c r="G179" s="7">
        <v>7.601913991E9</v>
      </c>
      <c r="H179" s="2" t="s">
        <v>44</v>
      </c>
      <c r="I179" s="2">
        <f t="shared" ref="I179:P179" si="182">IF(ISBLANK(A179)=TRUE,0,1)</f>
        <v>1</v>
      </c>
      <c r="J179" s="2">
        <f t="shared" si="182"/>
        <v>1</v>
      </c>
      <c r="K179" s="2">
        <f t="shared" si="182"/>
        <v>1</v>
      </c>
      <c r="L179" s="2">
        <f t="shared" si="182"/>
        <v>1</v>
      </c>
      <c r="M179" s="2">
        <f t="shared" si="182"/>
        <v>1</v>
      </c>
      <c r="N179" s="2">
        <f t="shared" si="182"/>
        <v>1</v>
      </c>
      <c r="O179" s="2">
        <f t="shared" si="182"/>
        <v>1</v>
      </c>
      <c r="P179" s="2">
        <f t="shared" si="182"/>
        <v>1</v>
      </c>
      <c r="Q179" s="2">
        <f t="shared" si="3"/>
        <v>1</v>
      </c>
      <c r="R179" s="2">
        <f>IF(ISERROR(VLOOKUP(A179, 'Project Reference'!A:A, 1, FALSE)), 0, 1)</f>
        <v>1</v>
      </c>
      <c r="S179" s="2">
        <f>IFERROR(__xludf.DUMMYFUNCTION("IF(AND(REGEXMATCH(D179, B179), REGEXMATCH(D179, C179)), 1, 0)
"),1.0)</f>
        <v>1</v>
      </c>
      <c r="T179" s="2">
        <f t="shared" si="4"/>
        <v>1</v>
      </c>
      <c r="U179" s="2">
        <f t="shared" si="5"/>
        <v>1</v>
      </c>
      <c r="V179" s="2">
        <f t="shared" si="6"/>
        <v>1</v>
      </c>
    </row>
    <row r="180" ht="14.25" customHeight="1">
      <c r="A180" s="2" t="s">
        <v>218</v>
      </c>
      <c r="B180" s="2" t="s">
        <v>12</v>
      </c>
      <c r="C180" s="2" t="s">
        <v>31</v>
      </c>
      <c r="D180" s="8" t="s">
        <v>593</v>
      </c>
      <c r="E180" s="6">
        <v>45039.0</v>
      </c>
      <c r="F180" s="6">
        <v>45306.0</v>
      </c>
      <c r="G180" s="7">
        <v>3.07072675E8</v>
      </c>
      <c r="H180" s="2" t="s">
        <v>44</v>
      </c>
      <c r="I180" s="2">
        <f t="shared" ref="I180:P180" si="183">IF(ISBLANK(A180)=TRUE,0,1)</f>
        <v>1</v>
      </c>
      <c r="J180" s="2">
        <f t="shared" si="183"/>
        <v>1</v>
      </c>
      <c r="K180" s="2">
        <f t="shared" si="183"/>
        <v>1</v>
      </c>
      <c r="L180" s="2">
        <f t="shared" si="183"/>
        <v>1</v>
      </c>
      <c r="M180" s="2">
        <f t="shared" si="183"/>
        <v>1</v>
      </c>
      <c r="N180" s="2">
        <f t="shared" si="183"/>
        <v>1</v>
      </c>
      <c r="O180" s="2">
        <f t="shared" si="183"/>
        <v>1</v>
      </c>
      <c r="P180" s="2">
        <f t="shared" si="183"/>
        <v>1</v>
      </c>
      <c r="Q180" s="2">
        <f t="shared" si="3"/>
        <v>1</v>
      </c>
      <c r="R180" s="2">
        <f>IF(ISERROR(VLOOKUP(A180, 'Project Reference'!A:A, 1, FALSE)), 0, 1)</f>
        <v>1</v>
      </c>
      <c r="S180" s="2">
        <f>IFERROR(__xludf.DUMMYFUNCTION("IF(AND(REGEXMATCH(D180, B180), REGEXMATCH(D180, C180)), 1, 0)
"),1.0)</f>
        <v>1</v>
      </c>
      <c r="T180" s="2">
        <f t="shared" si="4"/>
        <v>1</v>
      </c>
      <c r="U180" s="2">
        <f t="shared" si="5"/>
        <v>1</v>
      </c>
      <c r="V180" s="2">
        <f t="shared" si="6"/>
        <v>1</v>
      </c>
    </row>
    <row r="181" ht="14.25" customHeight="1">
      <c r="A181" s="2" t="s">
        <v>219</v>
      </c>
      <c r="B181" s="2" t="s">
        <v>30</v>
      </c>
      <c r="C181" s="2" t="s">
        <v>36</v>
      </c>
      <c r="D181" s="8" t="s">
        <v>639</v>
      </c>
      <c r="E181" s="6">
        <v>45039.0</v>
      </c>
      <c r="F181" s="6">
        <v>45274.0</v>
      </c>
      <c r="G181" s="7">
        <v>3.190510162E9</v>
      </c>
      <c r="H181" s="2" t="s">
        <v>67</v>
      </c>
      <c r="I181" s="2">
        <f t="shared" ref="I181:P181" si="184">IF(ISBLANK(A181)=TRUE,0,1)</f>
        <v>1</v>
      </c>
      <c r="J181" s="2">
        <f t="shared" si="184"/>
        <v>1</v>
      </c>
      <c r="K181" s="2">
        <f t="shared" si="184"/>
        <v>1</v>
      </c>
      <c r="L181" s="2">
        <f t="shared" si="184"/>
        <v>1</v>
      </c>
      <c r="M181" s="2">
        <f t="shared" si="184"/>
        <v>1</v>
      </c>
      <c r="N181" s="2">
        <f t="shared" si="184"/>
        <v>1</v>
      </c>
      <c r="O181" s="2">
        <f t="shared" si="184"/>
        <v>1</v>
      </c>
      <c r="P181" s="2">
        <f t="shared" si="184"/>
        <v>1</v>
      </c>
      <c r="Q181" s="2">
        <f t="shared" si="3"/>
        <v>1</v>
      </c>
      <c r="R181" s="2">
        <f>IF(ISERROR(VLOOKUP(A181, 'Project Reference'!A:A, 1, FALSE)), 0, 1)</f>
        <v>1</v>
      </c>
      <c r="S181" s="2">
        <f>IFERROR(__xludf.DUMMYFUNCTION("IF(AND(REGEXMATCH(D181, B181), REGEXMATCH(D181, C181)), 1, 0)
"),1.0)</f>
        <v>1</v>
      </c>
      <c r="T181" s="2">
        <f t="shared" si="4"/>
        <v>1</v>
      </c>
      <c r="U181" s="2">
        <f t="shared" si="5"/>
        <v>1</v>
      </c>
      <c r="V181" s="2">
        <f t="shared" si="6"/>
        <v>1</v>
      </c>
    </row>
    <row r="182" ht="14.25" customHeight="1">
      <c r="A182" s="2" t="s">
        <v>220</v>
      </c>
      <c r="B182" s="2" t="s">
        <v>35</v>
      </c>
      <c r="C182" s="2" t="s">
        <v>42</v>
      </c>
      <c r="D182" s="2" t="s">
        <v>69</v>
      </c>
      <c r="E182" s="6">
        <v>45041.0</v>
      </c>
      <c r="F182" s="6">
        <v>45102.0</v>
      </c>
      <c r="G182" s="7">
        <v>7.24043833E8</v>
      </c>
      <c r="H182" s="2" t="s">
        <v>67</v>
      </c>
      <c r="I182" s="2">
        <f t="shared" ref="I182:P182" si="185">IF(ISBLANK(A182)=TRUE,0,1)</f>
        <v>1</v>
      </c>
      <c r="J182" s="2">
        <f t="shared" si="185"/>
        <v>1</v>
      </c>
      <c r="K182" s="2">
        <f t="shared" si="185"/>
        <v>1</v>
      </c>
      <c r="L182" s="2">
        <f t="shared" si="185"/>
        <v>1</v>
      </c>
      <c r="M182" s="2">
        <f t="shared" si="185"/>
        <v>1</v>
      </c>
      <c r="N182" s="2">
        <f t="shared" si="185"/>
        <v>1</v>
      </c>
      <c r="O182" s="2">
        <f t="shared" si="185"/>
        <v>1</v>
      </c>
      <c r="P182" s="2">
        <f t="shared" si="185"/>
        <v>1</v>
      </c>
      <c r="Q182" s="2">
        <f t="shared" si="3"/>
        <v>1</v>
      </c>
      <c r="R182" s="2">
        <f>IF(ISERROR(VLOOKUP(A182, 'Project Reference'!A:A, 1, FALSE)), 0, 1)</f>
        <v>1</v>
      </c>
      <c r="S182" s="2">
        <f>IFERROR(__xludf.DUMMYFUNCTION("IF(AND(REGEXMATCH(D182, B182), REGEXMATCH(D182, C182)), 1, 0)
"),1.0)</f>
        <v>1</v>
      </c>
      <c r="T182" s="2">
        <f t="shared" si="4"/>
        <v>1</v>
      </c>
      <c r="U182" s="2">
        <f t="shared" si="5"/>
        <v>1</v>
      </c>
      <c r="V182" s="2">
        <f t="shared" si="6"/>
        <v>1</v>
      </c>
    </row>
    <row r="183" ht="14.25" customHeight="1">
      <c r="A183" s="2" t="s">
        <v>221</v>
      </c>
      <c r="B183" s="2" t="s">
        <v>60</v>
      </c>
      <c r="C183" s="2" t="s">
        <v>24</v>
      </c>
      <c r="D183" s="8" t="s">
        <v>640</v>
      </c>
      <c r="E183" s="6">
        <v>45041.0</v>
      </c>
      <c r="F183" s="6">
        <v>45359.0</v>
      </c>
      <c r="G183" s="7">
        <v>3.094852115E9</v>
      </c>
      <c r="H183" s="2" t="s">
        <v>50</v>
      </c>
      <c r="I183" s="2">
        <f t="shared" ref="I183:P183" si="186">IF(ISBLANK(A183)=TRUE,0,1)</f>
        <v>1</v>
      </c>
      <c r="J183" s="2">
        <f t="shared" si="186"/>
        <v>1</v>
      </c>
      <c r="K183" s="2">
        <f t="shared" si="186"/>
        <v>1</v>
      </c>
      <c r="L183" s="2">
        <f t="shared" si="186"/>
        <v>1</v>
      </c>
      <c r="M183" s="2">
        <f t="shared" si="186"/>
        <v>1</v>
      </c>
      <c r="N183" s="2">
        <f t="shared" si="186"/>
        <v>1</v>
      </c>
      <c r="O183" s="2">
        <f t="shared" si="186"/>
        <v>1</v>
      </c>
      <c r="P183" s="2">
        <f t="shared" si="186"/>
        <v>1</v>
      </c>
      <c r="Q183" s="2">
        <f t="shared" si="3"/>
        <v>1</v>
      </c>
      <c r="R183" s="2">
        <f>IF(ISERROR(VLOOKUP(A183, 'Project Reference'!A:A, 1, FALSE)), 0, 1)</f>
        <v>1</v>
      </c>
      <c r="S183" s="2">
        <f>IFERROR(__xludf.DUMMYFUNCTION("IF(AND(REGEXMATCH(D183, B183), REGEXMATCH(D183, C183)), 1, 0)
"),1.0)</f>
        <v>1</v>
      </c>
      <c r="T183" s="2">
        <f t="shared" si="4"/>
        <v>1</v>
      </c>
      <c r="U183" s="2">
        <f t="shared" si="5"/>
        <v>1</v>
      </c>
      <c r="V183" s="2">
        <f t="shared" si="6"/>
        <v>1</v>
      </c>
    </row>
    <row r="184" ht="14.25" customHeight="1">
      <c r="A184" s="2" t="s">
        <v>222</v>
      </c>
      <c r="B184" s="2" t="s">
        <v>35</v>
      </c>
      <c r="C184" s="2" t="s">
        <v>13</v>
      </c>
      <c r="D184" s="2" t="s">
        <v>78</v>
      </c>
      <c r="E184" s="6">
        <v>45042.0</v>
      </c>
      <c r="F184" s="6">
        <v>45364.0</v>
      </c>
      <c r="G184" s="7">
        <v>4.33880373E8</v>
      </c>
      <c r="H184" s="22"/>
      <c r="I184" s="2">
        <f t="shared" ref="I184:P184" si="187">IF(ISBLANK(A184)=TRUE,0,1)</f>
        <v>1</v>
      </c>
      <c r="J184" s="2">
        <f t="shared" si="187"/>
        <v>1</v>
      </c>
      <c r="K184" s="2">
        <f t="shared" si="187"/>
        <v>1</v>
      </c>
      <c r="L184" s="2">
        <f t="shared" si="187"/>
        <v>1</v>
      </c>
      <c r="M184" s="2">
        <f t="shared" si="187"/>
        <v>1</v>
      </c>
      <c r="N184" s="2">
        <f t="shared" si="187"/>
        <v>1</v>
      </c>
      <c r="O184" s="2">
        <f t="shared" si="187"/>
        <v>1</v>
      </c>
      <c r="P184" s="2">
        <f t="shared" si="187"/>
        <v>0</v>
      </c>
      <c r="Q184" s="2">
        <f t="shared" si="3"/>
        <v>1</v>
      </c>
      <c r="R184" s="2">
        <f>IF(ISERROR(VLOOKUP(A184, 'Project Reference'!A:A, 1, FALSE)), 0, 1)</f>
        <v>1</v>
      </c>
      <c r="S184" s="2">
        <f>IFERROR(__xludf.DUMMYFUNCTION("IF(AND(REGEXMATCH(D184, B184), REGEXMATCH(D184, C184)), 1, 0)
"),1.0)</f>
        <v>1</v>
      </c>
      <c r="T184" s="2">
        <f t="shared" si="4"/>
        <v>1</v>
      </c>
      <c r="U184" s="2">
        <f t="shared" si="5"/>
        <v>1</v>
      </c>
      <c r="V184" s="2">
        <f t="shared" si="6"/>
        <v>1</v>
      </c>
    </row>
    <row r="185" ht="14.25" customHeight="1">
      <c r="A185" s="2" t="s">
        <v>223</v>
      </c>
      <c r="B185" s="2" t="s">
        <v>30</v>
      </c>
      <c r="C185" s="2" t="s">
        <v>48</v>
      </c>
      <c r="D185" s="8" t="s">
        <v>615</v>
      </c>
      <c r="E185" s="6">
        <v>45045.0</v>
      </c>
      <c r="F185" s="6">
        <v>45394.0</v>
      </c>
      <c r="G185" s="7">
        <v>5.094791554E9</v>
      </c>
      <c r="H185" s="2" t="s">
        <v>44</v>
      </c>
      <c r="I185" s="2">
        <f t="shared" ref="I185:P185" si="188">IF(ISBLANK(A185)=TRUE,0,1)</f>
        <v>1</v>
      </c>
      <c r="J185" s="2">
        <f t="shared" si="188"/>
        <v>1</v>
      </c>
      <c r="K185" s="2">
        <f t="shared" si="188"/>
        <v>1</v>
      </c>
      <c r="L185" s="2">
        <f t="shared" si="188"/>
        <v>1</v>
      </c>
      <c r="M185" s="2">
        <f t="shared" si="188"/>
        <v>1</v>
      </c>
      <c r="N185" s="2">
        <f t="shared" si="188"/>
        <v>1</v>
      </c>
      <c r="O185" s="2">
        <f t="shared" si="188"/>
        <v>1</v>
      </c>
      <c r="P185" s="2">
        <f t="shared" si="188"/>
        <v>1</v>
      </c>
      <c r="Q185" s="2">
        <f t="shared" si="3"/>
        <v>1</v>
      </c>
      <c r="R185" s="2">
        <f>IF(ISERROR(VLOOKUP(A185, 'Project Reference'!A:A, 1, FALSE)), 0, 1)</f>
        <v>1</v>
      </c>
      <c r="S185" s="2">
        <f>IFERROR(__xludf.DUMMYFUNCTION("IF(AND(REGEXMATCH(D185, B185), REGEXMATCH(D185, C185)), 1, 0)
"),1.0)</f>
        <v>1</v>
      </c>
      <c r="T185" s="2">
        <f t="shared" si="4"/>
        <v>1</v>
      </c>
      <c r="U185" s="2">
        <f t="shared" si="5"/>
        <v>1</v>
      </c>
      <c r="V185" s="2">
        <f t="shared" si="6"/>
        <v>1</v>
      </c>
    </row>
    <row r="186" ht="14.25" customHeight="1">
      <c r="A186" s="2" t="s">
        <v>224</v>
      </c>
      <c r="B186" s="2" t="s">
        <v>12</v>
      </c>
      <c r="C186" s="2" t="s">
        <v>48</v>
      </c>
      <c r="D186" s="8" t="s">
        <v>602</v>
      </c>
      <c r="E186" s="6">
        <v>45045.0</v>
      </c>
      <c r="F186" s="6">
        <v>45324.0</v>
      </c>
      <c r="G186" s="7">
        <v>4.07950829E8</v>
      </c>
      <c r="H186" s="22"/>
      <c r="I186" s="2">
        <f t="shared" ref="I186:P186" si="189">IF(ISBLANK(A186)=TRUE,0,1)</f>
        <v>1</v>
      </c>
      <c r="J186" s="2">
        <f t="shared" si="189"/>
        <v>1</v>
      </c>
      <c r="K186" s="2">
        <f t="shared" si="189"/>
        <v>1</v>
      </c>
      <c r="L186" s="2">
        <f t="shared" si="189"/>
        <v>1</v>
      </c>
      <c r="M186" s="2">
        <f t="shared" si="189"/>
        <v>1</v>
      </c>
      <c r="N186" s="2">
        <f t="shared" si="189"/>
        <v>1</v>
      </c>
      <c r="O186" s="2">
        <f t="shared" si="189"/>
        <v>1</v>
      </c>
      <c r="P186" s="2">
        <f t="shared" si="189"/>
        <v>0</v>
      </c>
      <c r="Q186" s="2">
        <f t="shared" si="3"/>
        <v>1</v>
      </c>
      <c r="R186" s="2">
        <f>IF(ISERROR(VLOOKUP(A186, 'Project Reference'!A:A, 1, FALSE)), 0, 1)</f>
        <v>1</v>
      </c>
      <c r="S186" s="2">
        <f>IFERROR(__xludf.DUMMYFUNCTION("IF(AND(REGEXMATCH(D186, B186), REGEXMATCH(D186, C186)), 1, 0)
"),1.0)</f>
        <v>1</v>
      </c>
      <c r="T186" s="2">
        <f t="shared" si="4"/>
        <v>1</v>
      </c>
      <c r="U186" s="2">
        <f t="shared" si="5"/>
        <v>1</v>
      </c>
      <c r="V186" s="2">
        <f t="shared" si="6"/>
        <v>1</v>
      </c>
    </row>
    <row r="187" ht="14.25" customHeight="1">
      <c r="A187" s="2" t="s">
        <v>225</v>
      </c>
      <c r="B187" s="2" t="s">
        <v>18</v>
      </c>
      <c r="C187" s="2" t="s">
        <v>13</v>
      </c>
      <c r="D187" s="8" t="s">
        <v>580</v>
      </c>
      <c r="E187" s="6">
        <v>45045.0</v>
      </c>
      <c r="F187" s="6">
        <v>45376.0</v>
      </c>
      <c r="G187" s="7">
        <v>1.692019622E9</v>
      </c>
      <c r="H187" s="2" t="s">
        <v>21</v>
      </c>
      <c r="I187" s="2">
        <f t="shared" ref="I187:P187" si="190">IF(ISBLANK(A187)=TRUE,0,1)</f>
        <v>1</v>
      </c>
      <c r="J187" s="2">
        <f t="shared" si="190"/>
        <v>1</v>
      </c>
      <c r="K187" s="2">
        <f t="shared" si="190"/>
        <v>1</v>
      </c>
      <c r="L187" s="2">
        <f t="shared" si="190"/>
        <v>1</v>
      </c>
      <c r="M187" s="2">
        <f t="shared" si="190"/>
        <v>1</v>
      </c>
      <c r="N187" s="2">
        <f t="shared" si="190"/>
        <v>1</v>
      </c>
      <c r="O187" s="2">
        <f t="shared" si="190"/>
        <v>1</v>
      </c>
      <c r="P187" s="2">
        <f t="shared" si="190"/>
        <v>1</v>
      </c>
      <c r="Q187" s="2">
        <f t="shared" si="3"/>
        <v>1</v>
      </c>
      <c r="R187" s="2">
        <f>IF(ISERROR(VLOOKUP(A187, 'Project Reference'!A:A, 1, FALSE)), 0, 1)</f>
        <v>1</v>
      </c>
      <c r="S187" s="2">
        <f>IFERROR(__xludf.DUMMYFUNCTION("IF(AND(REGEXMATCH(D187, B187), REGEXMATCH(D187, C187)), 1, 0)
"),1.0)</f>
        <v>1</v>
      </c>
      <c r="T187" s="2">
        <f t="shared" si="4"/>
        <v>1</v>
      </c>
      <c r="U187" s="2">
        <f t="shared" si="5"/>
        <v>1</v>
      </c>
      <c r="V187" s="2">
        <f t="shared" si="6"/>
        <v>1</v>
      </c>
    </row>
    <row r="188" ht="14.25" customHeight="1">
      <c r="A188" s="2" t="s">
        <v>226</v>
      </c>
      <c r="B188" s="2" t="s">
        <v>60</v>
      </c>
      <c r="C188" s="2" t="s">
        <v>24</v>
      </c>
      <c r="D188" s="8" t="s">
        <v>640</v>
      </c>
      <c r="E188" s="6">
        <v>45045.0</v>
      </c>
      <c r="F188" s="6">
        <v>45404.0</v>
      </c>
      <c r="G188" s="7">
        <v>4.909765412E9</v>
      </c>
      <c r="H188" s="8" t="s">
        <v>581</v>
      </c>
      <c r="I188" s="2">
        <f t="shared" ref="I188:P188" si="191">IF(ISBLANK(A188)=TRUE,0,1)</f>
        <v>1</v>
      </c>
      <c r="J188" s="2">
        <f t="shared" si="191"/>
        <v>1</v>
      </c>
      <c r="K188" s="2">
        <f t="shared" si="191"/>
        <v>1</v>
      </c>
      <c r="L188" s="2">
        <f t="shared" si="191"/>
        <v>1</v>
      </c>
      <c r="M188" s="2">
        <f t="shared" si="191"/>
        <v>1</v>
      </c>
      <c r="N188" s="2">
        <f t="shared" si="191"/>
        <v>1</v>
      </c>
      <c r="O188" s="2">
        <f t="shared" si="191"/>
        <v>1</v>
      </c>
      <c r="P188" s="2">
        <f t="shared" si="191"/>
        <v>1</v>
      </c>
      <c r="Q188" s="2">
        <f t="shared" si="3"/>
        <v>1</v>
      </c>
      <c r="R188" s="2">
        <f>IF(ISERROR(VLOOKUP(A188, 'Project Reference'!A:A, 1, FALSE)), 0, 1)</f>
        <v>1</v>
      </c>
      <c r="S188" s="2">
        <f>IFERROR(__xludf.DUMMYFUNCTION("IF(AND(REGEXMATCH(D188, B188), REGEXMATCH(D188, C188)), 1, 0)
"),1.0)</f>
        <v>1</v>
      </c>
      <c r="T188" s="2">
        <f t="shared" si="4"/>
        <v>1</v>
      </c>
      <c r="U188" s="2">
        <f t="shared" si="5"/>
        <v>1</v>
      </c>
      <c r="V188" s="2">
        <f t="shared" si="6"/>
        <v>1</v>
      </c>
    </row>
    <row r="189" ht="14.25" customHeight="1">
      <c r="A189" s="2" t="s">
        <v>227</v>
      </c>
      <c r="B189" s="2" t="s">
        <v>60</v>
      </c>
      <c r="C189" s="2" t="s">
        <v>24</v>
      </c>
      <c r="D189" s="8" t="s">
        <v>640</v>
      </c>
      <c r="E189" s="6">
        <v>45045.0</v>
      </c>
      <c r="F189" s="6">
        <v>45150.0</v>
      </c>
      <c r="G189" s="7">
        <v>3.396315626E9</v>
      </c>
      <c r="H189" s="2" t="s">
        <v>33</v>
      </c>
      <c r="I189" s="2">
        <f t="shared" ref="I189:P189" si="192">IF(ISBLANK(A189)=TRUE,0,1)</f>
        <v>1</v>
      </c>
      <c r="J189" s="2">
        <f t="shared" si="192"/>
        <v>1</v>
      </c>
      <c r="K189" s="2">
        <f t="shared" si="192"/>
        <v>1</v>
      </c>
      <c r="L189" s="2">
        <f t="shared" si="192"/>
        <v>1</v>
      </c>
      <c r="M189" s="2">
        <f t="shared" si="192"/>
        <v>1</v>
      </c>
      <c r="N189" s="2">
        <f t="shared" si="192"/>
        <v>1</v>
      </c>
      <c r="O189" s="2">
        <f t="shared" si="192"/>
        <v>1</v>
      </c>
      <c r="P189" s="2">
        <f t="shared" si="192"/>
        <v>1</v>
      </c>
      <c r="Q189" s="2">
        <f t="shared" si="3"/>
        <v>1</v>
      </c>
      <c r="R189" s="2">
        <f>IF(ISERROR(VLOOKUP(A189, 'Project Reference'!A:A, 1, FALSE)), 0, 1)</f>
        <v>1</v>
      </c>
      <c r="S189" s="2">
        <f>IFERROR(__xludf.DUMMYFUNCTION("IF(AND(REGEXMATCH(D189, B189), REGEXMATCH(D189, C189)), 1, 0)
"),1.0)</f>
        <v>1</v>
      </c>
      <c r="T189" s="2">
        <f t="shared" si="4"/>
        <v>1</v>
      </c>
      <c r="U189" s="2">
        <f t="shared" si="5"/>
        <v>1</v>
      </c>
      <c r="V189" s="2">
        <f t="shared" si="6"/>
        <v>1</v>
      </c>
    </row>
    <row r="190" ht="14.25" customHeight="1">
      <c r="A190" s="2" t="s">
        <v>228</v>
      </c>
      <c r="B190" s="2" t="s">
        <v>60</v>
      </c>
      <c r="C190" s="2" t="s">
        <v>31</v>
      </c>
      <c r="D190" s="8" t="s">
        <v>599</v>
      </c>
      <c r="E190" s="6">
        <v>45048.0</v>
      </c>
      <c r="F190" s="6">
        <v>45358.0</v>
      </c>
      <c r="G190" s="7">
        <v>2.665194797E9</v>
      </c>
      <c r="H190" s="22"/>
      <c r="I190" s="2">
        <f t="shared" ref="I190:P190" si="193">IF(ISBLANK(A190)=TRUE,0,1)</f>
        <v>1</v>
      </c>
      <c r="J190" s="2">
        <f t="shared" si="193"/>
        <v>1</v>
      </c>
      <c r="K190" s="2">
        <f t="shared" si="193"/>
        <v>1</v>
      </c>
      <c r="L190" s="2">
        <f t="shared" si="193"/>
        <v>1</v>
      </c>
      <c r="M190" s="2">
        <f t="shared" si="193"/>
        <v>1</v>
      </c>
      <c r="N190" s="2">
        <f t="shared" si="193"/>
        <v>1</v>
      </c>
      <c r="O190" s="2">
        <f t="shared" si="193"/>
        <v>1</v>
      </c>
      <c r="P190" s="2">
        <f t="shared" si="193"/>
        <v>0</v>
      </c>
      <c r="Q190" s="2">
        <f t="shared" si="3"/>
        <v>1</v>
      </c>
      <c r="R190" s="2">
        <f>IF(ISERROR(VLOOKUP(A190, 'Project Reference'!A:A, 1, FALSE)), 0, 1)</f>
        <v>1</v>
      </c>
      <c r="S190" s="2">
        <f>IFERROR(__xludf.DUMMYFUNCTION("IF(AND(REGEXMATCH(D190, B190), REGEXMATCH(D190, C190)), 1, 0)
"),1.0)</f>
        <v>1</v>
      </c>
      <c r="T190" s="2">
        <f t="shared" si="4"/>
        <v>1</v>
      </c>
      <c r="U190" s="2">
        <f t="shared" si="5"/>
        <v>1</v>
      </c>
      <c r="V190" s="2">
        <f t="shared" si="6"/>
        <v>1</v>
      </c>
    </row>
    <row r="191" ht="14.25" customHeight="1">
      <c r="A191" s="2" t="s">
        <v>229</v>
      </c>
      <c r="B191" s="2" t="s">
        <v>30</v>
      </c>
      <c r="C191" s="2" t="s">
        <v>31</v>
      </c>
      <c r="D191" s="8" t="s">
        <v>585</v>
      </c>
      <c r="E191" s="6">
        <v>45049.0</v>
      </c>
      <c r="F191" s="6">
        <v>45401.0</v>
      </c>
      <c r="G191" s="7">
        <v>2.586947699E9</v>
      </c>
      <c r="H191" s="22"/>
      <c r="I191" s="2">
        <f t="shared" ref="I191:P191" si="194">IF(ISBLANK(A191)=TRUE,0,1)</f>
        <v>1</v>
      </c>
      <c r="J191" s="2">
        <f t="shared" si="194"/>
        <v>1</v>
      </c>
      <c r="K191" s="2">
        <f t="shared" si="194"/>
        <v>1</v>
      </c>
      <c r="L191" s="2">
        <f t="shared" si="194"/>
        <v>1</v>
      </c>
      <c r="M191" s="2">
        <f t="shared" si="194"/>
        <v>1</v>
      </c>
      <c r="N191" s="2">
        <f t="shared" si="194"/>
        <v>1</v>
      </c>
      <c r="O191" s="2">
        <f t="shared" si="194"/>
        <v>1</v>
      </c>
      <c r="P191" s="2">
        <f t="shared" si="194"/>
        <v>0</v>
      </c>
      <c r="Q191" s="2">
        <f t="shared" si="3"/>
        <v>1</v>
      </c>
      <c r="R191" s="2">
        <f>IF(ISERROR(VLOOKUP(A191, 'Project Reference'!A:A, 1, FALSE)), 0, 1)</f>
        <v>1</v>
      </c>
      <c r="S191" s="2">
        <f>IFERROR(__xludf.DUMMYFUNCTION("IF(AND(REGEXMATCH(D191, B191), REGEXMATCH(D191, C191)), 1, 0)
"),1.0)</f>
        <v>1</v>
      </c>
      <c r="T191" s="2">
        <f t="shared" si="4"/>
        <v>1</v>
      </c>
      <c r="U191" s="2">
        <f t="shared" si="5"/>
        <v>1</v>
      </c>
      <c r="V191" s="2">
        <f t="shared" si="6"/>
        <v>1</v>
      </c>
    </row>
    <row r="192" ht="14.25" customHeight="1">
      <c r="A192" s="2" t="s">
        <v>230</v>
      </c>
      <c r="B192" s="2" t="s">
        <v>12</v>
      </c>
      <c r="C192" s="2" t="s">
        <v>36</v>
      </c>
      <c r="D192" s="8" t="s">
        <v>578</v>
      </c>
      <c r="E192" s="6">
        <v>45052.0</v>
      </c>
      <c r="F192" s="6">
        <v>45087.0</v>
      </c>
      <c r="G192" s="7">
        <v>1.89032296E8</v>
      </c>
      <c r="H192" s="22"/>
      <c r="I192" s="2">
        <f t="shared" ref="I192:P192" si="195">IF(ISBLANK(A192)=TRUE,0,1)</f>
        <v>1</v>
      </c>
      <c r="J192" s="2">
        <f t="shared" si="195"/>
        <v>1</v>
      </c>
      <c r="K192" s="2">
        <f t="shared" si="195"/>
        <v>1</v>
      </c>
      <c r="L192" s="2">
        <f t="shared" si="195"/>
        <v>1</v>
      </c>
      <c r="M192" s="2">
        <f t="shared" si="195"/>
        <v>1</v>
      </c>
      <c r="N192" s="2">
        <f t="shared" si="195"/>
        <v>1</v>
      </c>
      <c r="O192" s="2">
        <f t="shared" si="195"/>
        <v>1</v>
      </c>
      <c r="P192" s="2">
        <f t="shared" si="195"/>
        <v>0</v>
      </c>
      <c r="Q192" s="2">
        <f t="shared" si="3"/>
        <v>1</v>
      </c>
      <c r="R192" s="2">
        <f>IF(ISERROR(VLOOKUP(A192, 'Project Reference'!A:A, 1, FALSE)), 0, 1)</f>
        <v>1</v>
      </c>
      <c r="S192" s="2">
        <f>IFERROR(__xludf.DUMMYFUNCTION("IF(AND(REGEXMATCH(D192, B192), REGEXMATCH(D192, C192)), 1, 0)
"),1.0)</f>
        <v>1</v>
      </c>
      <c r="T192" s="2">
        <f t="shared" si="4"/>
        <v>1</v>
      </c>
      <c r="U192" s="2">
        <f t="shared" si="5"/>
        <v>1</v>
      </c>
      <c r="V192" s="2">
        <f t="shared" si="6"/>
        <v>1</v>
      </c>
    </row>
    <row r="193" ht="14.25" customHeight="1">
      <c r="A193" s="2" t="s">
        <v>231</v>
      </c>
      <c r="B193" s="2" t="s">
        <v>12</v>
      </c>
      <c r="C193" s="2" t="s">
        <v>39</v>
      </c>
      <c r="D193" s="8" t="s">
        <v>591</v>
      </c>
      <c r="E193" s="6">
        <v>45052.0</v>
      </c>
      <c r="F193" s="6">
        <v>45253.0</v>
      </c>
      <c r="G193" s="7">
        <v>4.84231869E8</v>
      </c>
      <c r="H193" s="2" t="s">
        <v>44</v>
      </c>
      <c r="I193" s="2">
        <f t="shared" ref="I193:P193" si="196">IF(ISBLANK(A193)=TRUE,0,1)</f>
        <v>1</v>
      </c>
      <c r="J193" s="2">
        <f t="shared" si="196"/>
        <v>1</v>
      </c>
      <c r="K193" s="2">
        <f t="shared" si="196"/>
        <v>1</v>
      </c>
      <c r="L193" s="2">
        <f t="shared" si="196"/>
        <v>1</v>
      </c>
      <c r="M193" s="2">
        <f t="shared" si="196"/>
        <v>1</v>
      </c>
      <c r="N193" s="2">
        <f t="shared" si="196"/>
        <v>1</v>
      </c>
      <c r="O193" s="2">
        <f t="shared" si="196"/>
        <v>1</v>
      </c>
      <c r="P193" s="2">
        <f t="shared" si="196"/>
        <v>1</v>
      </c>
      <c r="Q193" s="2">
        <f t="shared" si="3"/>
        <v>1</v>
      </c>
      <c r="R193" s="2">
        <f>IF(ISERROR(VLOOKUP(A193, 'Project Reference'!A:A, 1, FALSE)), 0, 1)</f>
        <v>1</v>
      </c>
      <c r="S193" s="2">
        <f>IFERROR(__xludf.DUMMYFUNCTION("IF(AND(REGEXMATCH(D193, B193), REGEXMATCH(D193, C193)), 1, 0)
"),1.0)</f>
        <v>1</v>
      </c>
      <c r="T193" s="2">
        <f t="shared" si="4"/>
        <v>1</v>
      </c>
      <c r="U193" s="2">
        <f t="shared" si="5"/>
        <v>1</v>
      </c>
      <c r="V193" s="2">
        <f t="shared" si="6"/>
        <v>1</v>
      </c>
    </row>
    <row r="194" ht="14.25" customHeight="1">
      <c r="A194" s="2" t="s">
        <v>232</v>
      </c>
      <c r="B194" s="2" t="s">
        <v>60</v>
      </c>
      <c r="C194" s="2" t="s">
        <v>36</v>
      </c>
      <c r="D194" s="8" t="s">
        <v>597</v>
      </c>
      <c r="E194" s="6">
        <v>45053.0</v>
      </c>
      <c r="F194" s="6">
        <v>45321.0</v>
      </c>
      <c r="G194" s="7">
        <v>1.552182554E9</v>
      </c>
      <c r="H194" s="2" t="s">
        <v>67</v>
      </c>
      <c r="I194" s="2">
        <f t="shared" ref="I194:P194" si="197">IF(ISBLANK(A194)=TRUE,0,1)</f>
        <v>1</v>
      </c>
      <c r="J194" s="2">
        <f t="shared" si="197"/>
        <v>1</v>
      </c>
      <c r="K194" s="2">
        <f t="shared" si="197"/>
        <v>1</v>
      </c>
      <c r="L194" s="2">
        <f t="shared" si="197"/>
        <v>1</v>
      </c>
      <c r="M194" s="2">
        <f t="shared" si="197"/>
        <v>1</v>
      </c>
      <c r="N194" s="2">
        <f t="shared" si="197"/>
        <v>1</v>
      </c>
      <c r="O194" s="2">
        <f t="shared" si="197"/>
        <v>1</v>
      </c>
      <c r="P194" s="2">
        <f t="shared" si="197"/>
        <v>1</v>
      </c>
      <c r="Q194" s="2">
        <f t="shared" si="3"/>
        <v>1</v>
      </c>
      <c r="R194" s="2">
        <f>IF(ISERROR(VLOOKUP(A194, 'Project Reference'!A:A, 1, FALSE)), 0, 1)</f>
        <v>1</v>
      </c>
      <c r="S194" s="2">
        <f>IFERROR(__xludf.DUMMYFUNCTION("IF(AND(REGEXMATCH(D194, B194), REGEXMATCH(D194, C194)), 1, 0)
"),1.0)</f>
        <v>1</v>
      </c>
      <c r="T194" s="2">
        <f t="shared" si="4"/>
        <v>1</v>
      </c>
      <c r="U194" s="2">
        <f t="shared" si="5"/>
        <v>1</v>
      </c>
      <c r="V194" s="2">
        <f t="shared" si="6"/>
        <v>1</v>
      </c>
    </row>
    <row r="195" ht="14.25" customHeight="1">
      <c r="A195" s="2" t="s">
        <v>233</v>
      </c>
      <c r="B195" s="2" t="s">
        <v>35</v>
      </c>
      <c r="C195" s="2" t="s">
        <v>31</v>
      </c>
      <c r="D195" s="2" t="s">
        <v>91</v>
      </c>
      <c r="E195" s="6">
        <v>45053.0</v>
      </c>
      <c r="F195" s="6">
        <v>45410.0</v>
      </c>
      <c r="G195" s="7">
        <v>2.12901636E8</v>
      </c>
      <c r="H195" s="2" t="s">
        <v>33</v>
      </c>
      <c r="I195" s="2">
        <f t="shared" ref="I195:P195" si="198">IF(ISBLANK(A195)=TRUE,0,1)</f>
        <v>1</v>
      </c>
      <c r="J195" s="2">
        <f t="shared" si="198"/>
        <v>1</v>
      </c>
      <c r="K195" s="2">
        <f t="shared" si="198"/>
        <v>1</v>
      </c>
      <c r="L195" s="2">
        <f t="shared" si="198"/>
        <v>1</v>
      </c>
      <c r="M195" s="2">
        <f t="shared" si="198"/>
        <v>1</v>
      </c>
      <c r="N195" s="2">
        <f t="shared" si="198"/>
        <v>1</v>
      </c>
      <c r="O195" s="2">
        <f t="shared" si="198"/>
        <v>1</v>
      </c>
      <c r="P195" s="2">
        <f t="shared" si="198"/>
        <v>1</v>
      </c>
      <c r="Q195" s="2">
        <f t="shared" si="3"/>
        <v>1</v>
      </c>
      <c r="R195" s="2">
        <f>IF(ISERROR(VLOOKUP(A195, 'Project Reference'!A:A, 1, FALSE)), 0, 1)</f>
        <v>1</v>
      </c>
      <c r="S195" s="2">
        <f>IFERROR(__xludf.DUMMYFUNCTION("IF(AND(REGEXMATCH(D195, B195), REGEXMATCH(D195, C195)), 1, 0)
"),1.0)</f>
        <v>1</v>
      </c>
      <c r="T195" s="2">
        <f t="shared" si="4"/>
        <v>1</v>
      </c>
      <c r="U195" s="2">
        <f t="shared" si="5"/>
        <v>1</v>
      </c>
      <c r="V195" s="2">
        <f t="shared" si="6"/>
        <v>1</v>
      </c>
    </row>
    <row r="196" ht="14.25" customHeight="1">
      <c r="A196" s="2" t="s">
        <v>235</v>
      </c>
      <c r="B196" s="2" t="s">
        <v>35</v>
      </c>
      <c r="C196" s="2" t="s">
        <v>36</v>
      </c>
      <c r="D196" s="2" t="s">
        <v>37</v>
      </c>
      <c r="E196" s="6">
        <v>45055.0</v>
      </c>
      <c r="F196" s="6">
        <v>45273.0</v>
      </c>
      <c r="G196" s="7">
        <v>6.36437813E8</v>
      </c>
      <c r="H196" s="8" t="s">
        <v>581</v>
      </c>
      <c r="I196" s="2">
        <f t="shared" ref="I196:P196" si="199">IF(ISBLANK(A196)=TRUE,0,1)</f>
        <v>1</v>
      </c>
      <c r="J196" s="2">
        <f t="shared" si="199"/>
        <v>1</v>
      </c>
      <c r="K196" s="2">
        <f t="shared" si="199"/>
        <v>1</v>
      </c>
      <c r="L196" s="2">
        <f t="shared" si="199"/>
        <v>1</v>
      </c>
      <c r="M196" s="2">
        <f t="shared" si="199"/>
        <v>1</v>
      </c>
      <c r="N196" s="2">
        <f t="shared" si="199"/>
        <v>1</v>
      </c>
      <c r="O196" s="2">
        <f t="shared" si="199"/>
        <v>1</v>
      </c>
      <c r="P196" s="2">
        <f t="shared" si="199"/>
        <v>1</v>
      </c>
      <c r="Q196" s="2">
        <f t="shared" si="3"/>
        <v>1</v>
      </c>
      <c r="R196" s="2">
        <f>IF(ISERROR(VLOOKUP(A196, 'Project Reference'!A:A, 1, FALSE)), 0, 1)</f>
        <v>1</v>
      </c>
      <c r="S196" s="2">
        <f>IFERROR(__xludf.DUMMYFUNCTION("IF(AND(REGEXMATCH(D196, B196), REGEXMATCH(D196, C196)), 1, 0)
"),1.0)</f>
        <v>1</v>
      </c>
      <c r="T196" s="2">
        <f t="shared" si="4"/>
        <v>1</v>
      </c>
      <c r="U196" s="2">
        <f t="shared" si="5"/>
        <v>1</v>
      </c>
      <c r="V196" s="2">
        <f t="shared" si="6"/>
        <v>1</v>
      </c>
    </row>
    <row r="197" ht="14.25" customHeight="1">
      <c r="A197" s="2" t="s">
        <v>236</v>
      </c>
      <c r="B197" s="2" t="s">
        <v>18</v>
      </c>
      <c r="C197" s="2" t="s">
        <v>19</v>
      </c>
      <c r="D197" s="8" t="s">
        <v>633</v>
      </c>
      <c r="E197" s="6">
        <v>45056.0</v>
      </c>
      <c r="F197" s="6">
        <v>45210.0</v>
      </c>
      <c r="G197" s="24">
        <f>AVERAGE(G199:G696)</f>
        <v>2635446591</v>
      </c>
      <c r="H197" s="2" t="s">
        <v>21</v>
      </c>
      <c r="I197" s="2">
        <f t="shared" ref="I197:P197" si="200">IF(ISBLANK(A197)=TRUE,0,1)</f>
        <v>1</v>
      </c>
      <c r="J197" s="2">
        <f t="shared" si="200"/>
        <v>1</v>
      </c>
      <c r="K197" s="2">
        <f t="shared" si="200"/>
        <v>1</v>
      </c>
      <c r="L197" s="2">
        <f t="shared" si="200"/>
        <v>1</v>
      </c>
      <c r="M197" s="2">
        <f t="shared" si="200"/>
        <v>1</v>
      </c>
      <c r="N197" s="2">
        <f t="shared" si="200"/>
        <v>1</v>
      </c>
      <c r="O197" s="2">
        <f t="shared" si="200"/>
        <v>1</v>
      </c>
      <c r="P197" s="2">
        <f t="shared" si="200"/>
        <v>1</v>
      </c>
      <c r="Q197" s="2">
        <f t="shared" si="3"/>
        <v>1</v>
      </c>
      <c r="R197" s="2">
        <f>IF(ISERROR(VLOOKUP(A197, 'Project Reference'!A:A, 1, FALSE)), 0, 1)</f>
        <v>1</v>
      </c>
      <c r="S197" s="2">
        <f>IFERROR(__xludf.DUMMYFUNCTION("IF(AND(REGEXMATCH(D197, B197), REGEXMATCH(D197, C197)), 1, 0)
"),1.0)</f>
        <v>1</v>
      </c>
      <c r="T197" s="2">
        <f t="shared" si="4"/>
        <v>1</v>
      </c>
      <c r="U197" s="2">
        <f t="shared" si="5"/>
        <v>1</v>
      </c>
      <c r="V197" s="2">
        <f t="shared" si="6"/>
        <v>1</v>
      </c>
    </row>
    <row r="198" ht="14.25" customHeight="1">
      <c r="A198" s="2" t="s">
        <v>237</v>
      </c>
      <c r="B198" s="2" t="s">
        <v>30</v>
      </c>
      <c r="C198" s="2" t="s">
        <v>31</v>
      </c>
      <c r="D198" s="8" t="s">
        <v>595</v>
      </c>
      <c r="E198" s="6">
        <v>45056.0</v>
      </c>
      <c r="F198" s="6">
        <v>45364.0</v>
      </c>
      <c r="G198" s="7">
        <v>5.097478222E9</v>
      </c>
      <c r="H198" s="2" t="s">
        <v>44</v>
      </c>
      <c r="I198" s="2">
        <f t="shared" ref="I198:P198" si="201">IF(ISBLANK(A198)=TRUE,0,1)</f>
        <v>1</v>
      </c>
      <c r="J198" s="2">
        <f t="shared" si="201"/>
        <v>1</v>
      </c>
      <c r="K198" s="2">
        <f t="shared" si="201"/>
        <v>1</v>
      </c>
      <c r="L198" s="2">
        <f t="shared" si="201"/>
        <v>1</v>
      </c>
      <c r="M198" s="2">
        <f t="shared" si="201"/>
        <v>1</v>
      </c>
      <c r="N198" s="2">
        <f t="shared" si="201"/>
        <v>1</v>
      </c>
      <c r="O198" s="2">
        <f t="shared" si="201"/>
        <v>1</v>
      </c>
      <c r="P198" s="2">
        <f t="shared" si="201"/>
        <v>1</v>
      </c>
      <c r="Q198" s="2">
        <f t="shared" si="3"/>
        <v>1</v>
      </c>
      <c r="R198" s="2">
        <f>IF(ISERROR(VLOOKUP(A198, 'Project Reference'!A:A, 1, FALSE)), 0, 1)</f>
        <v>1</v>
      </c>
      <c r="S198" s="2">
        <f>IFERROR(__xludf.DUMMYFUNCTION("IF(AND(REGEXMATCH(D198, B198), REGEXMATCH(D198, C198)), 1, 0)
"),1.0)</f>
        <v>1</v>
      </c>
      <c r="T198" s="2">
        <f t="shared" si="4"/>
        <v>1</v>
      </c>
      <c r="U198" s="2">
        <f t="shared" si="5"/>
        <v>1</v>
      </c>
      <c r="V198" s="2">
        <f t="shared" si="6"/>
        <v>1</v>
      </c>
    </row>
    <row r="199" ht="14.25" customHeight="1">
      <c r="A199" s="2" t="s">
        <v>238</v>
      </c>
      <c r="B199" s="2" t="s">
        <v>30</v>
      </c>
      <c r="C199" s="2" t="s">
        <v>24</v>
      </c>
      <c r="D199" s="8" t="s">
        <v>612</v>
      </c>
      <c r="E199" s="6">
        <v>45056.0</v>
      </c>
      <c r="F199" s="6">
        <v>45387.0</v>
      </c>
      <c r="G199" s="7">
        <v>6.825404228E9</v>
      </c>
      <c r="H199" s="8" t="s">
        <v>581</v>
      </c>
      <c r="I199" s="2">
        <f t="shared" ref="I199:P199" si="202">IF(ISBLANK(A199)=TRUE,0,1)</f>
        <v>1</v>
      </c>
      <c r="J199" s="2">
        <f t="shared" si="202"/>
        <v>1</v>
      </c>
      <c r="K199" s="2">
        <f t="shared" si="202"/>
        <v>1</v>
      </c>
      <c r="L199" s="2">
        <f t="shared" si="202"/>
        <v>1</v>
      </c>
      <c r="M199" s="2">
        <f t="shared" si="202"/>
        <v>1</v>
      </c>
      <c r="N199" s="2">
        <f t="shared" si="202"/>
        <v>1</v>
      </c>
      <c r="O199" s="2">
        <f t="shared" si="202"/>
        <v>1</v>
      </c>
      <c r="P199" s="2">
        <f t="shared" si="202"/>
        <v>1</v>
      </c>
      <c r="Q199" s="2">
        <f t="shared" si="3"/>
        <v>1</v>
      </c>
      <c r="R199" s="2">
        <f>IF(ISERROR(VLOOKUP(A199, 'Project Reference'!A:A, 1, FALSE)), 0, 1)</f>
        <v>1</v>
      </c>
      <c r="S199" s="2">
        <f>IFERROR(__xludf.DUMMYFUNCTION("IF(AND(REGEXMATCH(D199, B199), REGEXMATCH(D199, C199)), 1, 0)
"),1.0)</f>
        <v>1</v>
      </c>
      <c r="T199" s="2">
        <f t="shared" si="4"/>
        <v>1</v>
      </c>
      <c r="U199" s="2">
        <f t="shared" si="5"/>
        <v>1</v>
      </c>
      <c r="V199" s="2">
        <f t="shared" si="6"/>
        <v>1</v>
      </c>
    </row>
    <row r="200" ht="14.25" customHeight="1">
      <c r="A200" s="2" t="s">
        <v>239</v>
      </c>
      <c r="B200" s="2" t="s">
        <v>35</v>
      </c>
      <c r="C200" s="2" t="s">
        <v>24</v>
      </c>
      <c r="D200" s="2" t="s">
        <v>133</v>
      </c>
      <c r="E200" s="6">
        <v>45057.0</v>
      </c>
      <c r="F200" s="6">
        <v>45337.0</v>
      </c>
      <c r="G200" s="7">
        <v>7.11908536E8</v>
      </c>
      <c r="H200" s="8" t="s">
        <v>573</v>
      </c>
      <c r="I200" s="2">
        <f t="shared" ref="I200:P200" si="203">IF(ISBLANK(A200)=TRUE,0,1)</f>
        <v>1</v>
      </c>
      <c r="J200" s="2">
        <f t="shared" si="203"/>
        <v>1</v>
      </c>
      <c r="K200" s="2">
        <f t="shared" si="203"/>
        <v>1</v>
      </c>
      <c r="L200" s="2">
        <f t="shared" si="203"/>
        <v>1</v>
      </c>
      <c r="M200" s="2">
        <f t="shared" si="203"/>
        <v>1</v>
      </c>
      <c r="N200" s="2">
        <f t="shared" si="203"/>
        <v>1</v>
      </c>
      <c r="O200" s="2">
        <f t="shared" si="203"/>
        <v>1</v>
      </c>
      <c r="P200" s="2">
        <f t="shared" si="203"/>
        <v>1</v>
      </c>
      <c r="Q200" s="2">
        <f t="shared" si="3"/>
        <v>1</v>
      </c>
      <c r="R200" s="2">
        <f>IF(ISERROR(VLOOKUP(A200, 'Project Reference'!A:A, 1, FALSE)), 0, 1)</f>
        <v>1</v>
      </c>
      <c r="S200" s="2">
        <f>IFERROR(__xludf.DUMMYFUNCTION("IF(AND(REGEXMATCH(D200, B200), REGEXMATCH(D200, C200)), 1, 0)
"),1.0)</f>
        <v>1</v>
      </c>
      <c r="T200" s="2">
        <f t="shared" si="4"/>
        <v>1</v>
      </c>
      <c r="U200" s="2">
        <f t="shared" si="5"/>
        <v>1</v>
      </c>
      <c r="V200" s="2">
        <f t="shared" si="6"/>
        <v>1</v>
      </c>
    </row>
    <row r="201" ht="14.25" customHeight="1">
      <c r="A201" s="2" t="s">
        <v>240</v>
      </c>
      <c r="B201" s="2" t="s">
        <v>60</v>
      </c>
      <c r="C201" s="2" t="s">
        <v>36</v>
      </c>
      <c r="D201" s="8" t="s">
        <v>597</v>
      </c>
      <c r="E201" s="6">
        <v>45057.0</v>
      </c>
      <c r="F201" s="6">
        <v>45261.0</v>
      </c>
      <c r="G201" s="7">
        <v>4.488626883E9</v>
      </c>
      <c r="H201" s="2" t="s">
        <v>21</v>
      </c>
      <c r="I201" s="2">
        <f t="shared" ref="I201:P201" si="204">IF(ISBLANK(A201)=TRUE,0,1)</f>
        <v>1</v>
      </c>
      <c r="J201" s="2">
        <f t="shared" si="204"/>
        <v>1</v>
      </c>
      <c r="K201" s="2">
        <f t="shared" si="204"/>
        <v>1</v>
      </c>
      <c r="L201" s="2">
        <f t="shared" si="204"/>
        <v>1</v>
      </c>
      <c r="M201" s="2">
        <f t="shared" si="204"/>
        <v>1</v>
      </c>
      <c r="N201" s="2">
        <f t="shared" si="204"/>
        <v>1</v>
      </c>
      <c r="O201" s="2">
        <f t="shared" si="204"/>
        <v>1</v>
      </c>
      <c r="P201" s="2">
        <f t="shared" si="204"/>
        <v>1</v>
      </c>
      <c r="Q201" s="2">
        <f t="shared" si="3"/>
        <v>1</v>
      </c>
      <c r="R201" s="2">
        <f>IF(ISERROR(VLOOKUP(A201, 'Project Reference'!A:A, 1, FALSE)), 0, 1)</f>
        <v>1</v>
      </c>
      <c r="S201" s="2">
        <f>IFERROR(__xludf.DUMMYFUNCTION("IF(AND(REGEXMATCH(D201, B201), REGEXMATCH(D201, C201)), 1, 0)
"),1.0)</f>
        <v>1</v>
      </c>
      <c r="T201" s="2">
        <f t="shared" si="4"/>
        <v>1</v>
      </c>
      <c r="U201" s="2">
        <f t="shared" si="5"/>
        <v>1</v>
      </c>
      <c r="V201" s="2">
        <f t="shared" si="6"/>
        <v>1</v>
      </c>
    </row>
    <row r="202" ht="14.25" customHeight="1">
      <c r="A202" s="2" t="s">
        <v>241</v>
      </c>
      <c r="B202" s="2" t="s">
        <v>12</v>
      </c>
      <c r="C202" s="2" t="s">
        <v>31</v>
      </c>
      <c r="D202" s="8" t="s">
        <v>593</v>
      </c>
      <c r="E202" s="6">
        <v>45058.0</v>
      </c>
      <c r="F202" s="6">
        <v>45145.0</v>
      </c>
      <c r="G202" s="7">
        <v>8.33760455E8</v>
      </c>
      <c r="H202" s="2" t="s">
        <v>50</v>
      </c>
      <c r="I202" s="2">
        <f t="shared" ref="I202:P202" si="205">IF(ISBLANK(A202)=TRUE,0,1)</f>
        <v>1</v>
      </c>
      <c r="J202" s="2">
        <f t="shared" si="205"/>
        <v>1</v>
      </c>
      <c r="K202" s="2">
        <f t="shared" si="205"/>
        <v>1</v>
      </c>
      <c r="L202" s="2">
        <f t="shared" si="205"/>
        <v>1</v>
      </c>
      <c r="M202" s="2">
        <f t="shared" si="205"/>
        <v>1</v>
      </c>
      <c r="N202" s="2">
        <f t="shared" si="205"/>
        <v>1</v>
      </c>
      <c r="O202" s="2">
        <f t="shared" si="205"/>
        <v>1</v>
      </c>
      <c r="P202" s="2">
        <f t="shared" si="205"/>
        <v>1</v>
      </c>
      <c r="Q202" s="2">
        <f t="shared" si="3"/>
        <v>1</v>
      </c>
      <c r="R202" s="2">
        <f>IF(ISERROR(VLOOKUP(A202, 'Project Reference'!A:A, 1, FALSE)), 0, 1)</f>
        <v>1</v>
      </c>
      <c r="S202" s="2">
        <f>IFERROR(__xludf.DUMMYFUNCTION("IF(AND(REGEXMATCH(D202, B202), REGEXMATCH(D202, C202)), 1, 0)
"),1.0)</f>
        <v>1</v>
      </c>
      <c r="T202" s="2">
        <f t="shared" si="4"/>
        <v>1</v>
      </c>
      <c r="U202" s="2">
        <f t="shared" si="5"/>
        <v>1</v>
      </c>
      <c r="V202" s="2">
        <f t="shared" si="6"/>
        <v>1</v>
      </c>
    </row>
    <row r="203" ht="14.25" customHeight="1">
      <c r="A203" s="2" t="s">
        <v>242</v>
      </c>
      <c r="B203" s="2" t="s">
        <v>12</v>
      </c>
      <c r="C203" s="2" t="s">
        <v>19</v>
      </c>
      <c r="D203" s="8" t="s">
        <v>631</v>
      </c>
      <c r="E203" s="6">
        <v>45059.0</v>
      </c>
      <c r="F203" s="6">
        <v>45390.0</v>
      </c>
      <c r="G203" s="7">
        <v>7.96873116E8</v>
      </c>
      <c r="H203" s="2" t="s">
        <v>33</v>
      </c>
      <c r="I203" s="2">
        <f t="shared" ref="I203:P203" si="206">IF(ISBLANK(A203)=TRUE,0,1)</f>
        <v>1</v>
      </c>
      <c r="J203" s="2">
        <f t="shared" si="206"/>
        <v>1</v>
      </c>
      <c r="K203" s="2">
        <f t="shared" si="206"/>
        <v>1</v>
      </c>
      <c r="L203" s="2">
        <f t="shared" si="206"/>
        <v>1</v>
      </c>
      <c r="M203" s="2">
        <f t="shared" si="206"/>
        <v>1</v>
      </c>
      <c r="N203" s="2">
        <f t="shared" si="206"/>
        <v>1</v>
      </c>
      <c r="O203" s="2">
        <f t="shared" si="206"/>
        <v>1</v>
      </c>
      <c r="P203" s="2">
        <f t="shared" si="206"/>
        <v>1</v>
      </c>
      <c r="Q203" s="2">
        <f t="shared" si="3"/>
        <v>1</v>
      </c>
      <c r="R203" s="2">
        <f>IF(ISERROR(VLOOKUP(A203, 'Project Reference'!A:A, 1, FALSE)), 0, 1)</f>
        <v>1</v>
      </c>
      <c r="S203" s="2">
        <f>IFERROR(__xludf.DUMMYFUNCTION("IF(AND(REGEXMATCH(D203, B203), REGEXMATCH(D203, C203)), 1, 0)
"),1.0)</f>
        <v>1</v>
      </c>
      <c r="T203" s="2">
        <f t="shared" si="4"/>
        <v>1</v>
      </c>
      <c r="U203" s="2">
        <f t="shared" si="5"/>
        <v>1</v>
      </c>
      <c r="V203" s="2">
        <f t="shared" si="6"/>
        <v>1</v>
      </c>
    </row>
    <row r="204" ht="14.25" customHeight="1">
      <c r="A204" s="2" t="s">
        <v>243</v>
      </c>
      <c r="B204" s="2" t="s">
        <v>12</v>
      </c>
      <c r="C204" s="2" t="s">
        <v>48</v>
      </c>
      <c r="D204" s="8" t="s">
        <v>602</v>
      </c>
      <c r="E204" s="6">
        <v>45060.0</v>
      </c>
      <c r="F204" s="6">
        <v>45231.0</v>
      </c>
      <c r="G204" s="7">
        <v>2.65841157E8</v>
      </c>
      <c r="H204" s="2" t="s">
        <v>67</v>
      </c>
      <c r="I204" s="2">
        <f t="shared" ref="I204:P204" si="207">IF(ISBLANK(A204)=TRUE,0,1)</f>
        <v>1</v>
      </c>
      <c r="J204" s="2">
        <f t="shared" si="207"/>
        <v>1</v>
      </c>
      <c r="K204" s="2">
        <f t="shared" si="207"/>
        <v>1</v>
      </c>
      <c r="L204" s="2">
        <f t="shared" si="207"/>
        <v>1</v>
      </c>
      <c r="M204" s="2">
        <f t="shared" si="207"/>
        <v>1</v>
      </c>
      <c r="N204" s="2">
        <f t="shared" si="207"/>
        <v>1</v>
      </c>
      <c r="O204" s="2">
        <f t="shared" si="207"/>
        <v>1</v>
      </c>
      <c r="P204" s="2">
        <f t="shared" si="207"/>
        <v>1</v>
      </c>
      <c r="Q204" s="2">
        <f t="shared" si="3"/>
        <v>1</v>
      </c>
      <c r="R204" s="2">
        <f>IF(ISERROR(VLOOKUP(A204, 'Project Reference'!A:A, 1, FALSE)), 0, 1)</f>
        <v>1</v>
      </c>
      <c r="S204" s="2">
        <f>IFERROR(__xludf.DUMMYFUNCTION("IF(AND(REGEXMATCH(D204, B204), REGEXMATCH(D204, C204)), 1, 0)
"),1.0)</f>
        <v>1</v>
      </c>
      <c r="T204" s="2">
        <f t="shared" si="4"/>
        <v>1</v>
      </c>
      <c r="U204" s="2">
        <f t="shared" si="5"/>
        <v>1</v>
      </c>
      <c r="V204" s="2">
        <f t="shared" si="6"/>
        <v>1</v>
      </c>
    </row>
    <row r="205" ht="14.25" customHeight="1">
      <c r="A205" s="2" t="s">
        <v>244</v>
      </c>
      <c r="B205" s="2" t="s">
        <v>30</v>
      </c>
      <c r="C205" s="2" t="s">
        <v>42</v>
      </c>
      <c r="D205" s="8" t="s">
        <v>632</v>
      </c>
      <c r="E205" s="6">
        <v>45061.0</v>
      </c>
      <c r="F205" s="6">
        <v>45294.0</v>
      </c>
      <c r="G205" s="7">
        <v>2.403144972E9</v>
      </c>
      <c r="H205" s="2" t="s">
        <v>67</v>
      </c>
      <c r="I205" s="2">
        <f t="shared" ref="I205:P205" si="208">IF(ISBLANK(A205)=TRUE,0,1)</f>
        <v>1</v>
      </c>
      <c r="J205" s="2">
        <f t="shared" si="208"/>
        <v>1</v>
      </c>
      <c r="K205" s="2">
        <f t="shared" si="208"/>
        <v>1</v>
      </c>
      <c r="L205" s="2">
        <f t="shared" si="208"/>
        <v>1</v>
      </c>
      <c r="M205" s="2">
        <f t="shared" si="208"/>
        <v>1</v>
      </c>
      <c r="N205" s="2">
        <f t="shared" si="208"/>
        <v>1</v>
      </c>
      <c r="O205" s="2">
        <f t="shared" si="208"/>
        <v>1</v>
      </c>
      <c r="P205" s="2">
        <f t="shared" si="208"/>
        <v>1</v>
      </c>
      <c r="Q205" s="2">
        <f t="shared" si="3"/>
        <v>1</v>
      </c>
      <c r="R205" s="2">
        <f>IF(ISERROR(VLOOKUP(A205, 'Project Reference'!A:A, 1, FALSE)), 0, 1)</f>
        <v>1</v>
      </c>
      <c r="S205" s="2">
        <f>IFERROR(__xludf.DUMMYFUNCTION("IF(AND(REGEXMATCH(D205, B205), REGEXMATCH(D205, C205)), 1, 0)
"),1.0)</f>
        <v>1</v>
      </c>
      <c r="T205" s="2">
        <f t="shared" si="4"/>
        <v>1</v>
      </c>
      <c r="U205" s="2">
        <f t="shared" si="5"/>
        <v>1</v>
      </c>
      <c r="V205" s="2">
        <f t="shared" si="6"/>
        <v>1</v>
      </c>
    </row>
    <row r="206" ht="14.25" customHeight="1">
      <c r="A206" s="2" t="s">
        <v>245</v>
      </c>
      <c r="B206" s="2" t="s">
        <v>30</v>
      </c>
      <c r="C206" s="2" t="s">
        <v>42</v>
      </c>
      <c r="D206" s="8" t="s">
        <v>632</v>
      </c>
      <c r="E206" s="6">
        <v>45062.0</v>
      </c>
      <c r="F206" s="6">
        <v>45418.0</v>
      </c>
      <c r="G206" s="7">
        <v>2.353183969E9</v>
      </c>
      <c r="H206" s="2" t="s">
        <v>33</v>
      </c>
      <c r="I206" s="2">
        <f t="shared" ref="I206:P206" si="209">IF(ISBLANK(A206)=TRUE,0,1)</f>
        <v>1</v>
      </c>
      <c r="J206" s="2">
        <f t="shared" si="209"/>
        <v>1</v>
      </c>
      <c r="K206" s="2">
        <f t="shared" si="209"/>
        <v>1</v>
      </c>
      <c r="L206" s="2">
        <f t="shared" si="209"/>
        <v>1</v>
      </c>
      <c r="M206" s="2">
        <f t="shared" si="209"/>
        <v>1</v>
      </c>
      <c r="N206" s="2">
        <f t="shared" si="209"/>
        <v>1</v>
      </c>
      <c r="O206" s="2">
        <f t="shared" si="209"/>
        <v>1</v>
      </c>
      <c r="P206" s="2">
        <f t="shared" si="209"/>
        <v>1</v>
      </c>
      <c r="Q206" s="2">
        <f t="shared" si="3"/>
        <v>1</v>
      </c>
      <c r="R206" s="2">
        <f>IF(ISERROR(VLOOKUP(A206, 'Project Reference'!A:A, 1, FALSE)), 0, 1)</f>
        <v>1</v>
      </c>
      <c r="S206" s="2">
        <f>IFERROR(__xludf.DUMMYFUNCTION("IF(AND(REGEXMATCH(D206, B206), REGEXMATCH(D206, C206)), 1, 0)
"),1.0)</f>
        <v>1</v>
      </c>
      <c r="T206" s="2">
        <f t="shared" si="4"/>
        <v>1</v>
      </c>
      <c r="U206" s="2">
        <f t="shared" si="5"/>
        <v>1</v>
      </c>
      <c r="V206" s="2">
        <f t="shared" si="6"/>
        <v>1</v>
      </c>
    </row>
    <row r="207" ht="14.25" customHeight="1">
      <c r="A207" s="2" t="s">
        <v>246</v>
      </c>
      <c r="B207" s="2" t="s">
        <v>30</v>
      </c>
      <c r="C207" s="2" t="s">
        <v>31</v>
      </c>
      <c r="D207" s="8" t="s">
        <v>585</v>
      </c>
      <c r="E207" s="6">
        <v>45063.0</v>
      </c>
      <c r="F207" s="6">
        <v>45233.0</v>
      </c>
      <c r="G207" s="7">
        <v>3.010188959E9</v>
      </c>
      <c r="H207" s="2" t="s">
        <v>33</v>
      </c>
      <c r="I207" s="2">
        <f t="shared" ref="I207:P207" si="210">IF(ISBLANK(A207)=TRUE,0,1)</f>
        <v>1</v>
      </c>
      <c r="J207" s="2">
        <f t="shared" si="210"/>
        <v>1</v>
      </c>
      <c r="K207" s="2">
        <f t="shared" si="210"/>
        <v>1</v>
      </c>
      <c r="L207" s="2">
        <f t="shared" si="210"/>
        <v>1</v>
      </c>
      <c r="M207" s="2">
        <f t="shared" si="210"/>
        <v>1</v>
      </c>
      <c r="N207" s="2">
        <f t="shared" si="210"/>
        <v>1</v>
      </c>
      <c r="O207" s="2">
        <f t="shared" si="210"/>
        <v>1</v>
      </c>
      <c r="P207" s="2">
        <f t="shared" si="210"/>
        <v>1</v>
      </c>
      <c r="Q207" s="2">
        <f t="shared" si="3"/>
        <v>1</v>
      </c>
      <c r="R207" s="2">
        <f>IF(ISERROR(VLOOKUP(A207, 'Project Reference'!A:A, 1, FALSE)), 0, 1)</f>
        <v>1</v>
      </c>
      <c r="S207" s="2">
        <f>IFERROR(__xludf.DUMMYFUNCTION("IF(AND(REGEXMATCH(D207, B207), REGEXMATCH(D207, C207)), 1, 0)
"),1.0)</f>
        <v>1</v>
      </c>
      <c r="T207" s="2">
        <f t="shared" si="4"/>
        <v>1</v>
      </c>
      <c r="U207" s="2">
        <f t="shared" si="5"/>
        <v>1</v>
      </c>
      <c r="V207" s="2">
        <f t="shared" si="6"/>
        <v>1</v>
      </c>
    </row>
    <row r="208" ht="14.25" customHeight="1">
      <c r="A208" s="2" t="s">
        <v>247</v>
      </c>
      <c r="B208" s="2" t="s">
        <v>30</v>
      </c>
      <c r="C208" s="2" t="s">
        <v>31</v>
      </c>
      <c r="D208" s="8" t="s">
        <v>585</v>
      </c>
      <c r="E208" s="6">
        <v>45063.0</v>
      </c>
      <c r="F208" s="6">
        <v>45274.0</v>
      </c>
      <c r="G208" s="7">
        <v>3.270056272E9</v>
      </c>
      <c r="H208" s="8" t="s">
        <v>581</v>
      </c>
      <c r="I208" s="2">
        <f t="shared" ref="I208:P208" si="211">IF(ISBLANK(A208)=TRUE,0,1)</f>
        <v>1</v>
      </c>
      <c r="J208" s="2">
        <f t="shared" si="211"/>
        <v>1</v>
      </c>
      <c r="K208" s="2">
        <f t="shared" si="211"/>
        <v>1</v>
      </c>
      <c r="L208" s="2">
        <f t="shared" si="211"/>
        <v>1</v>
      </c>
      <c r="M208" s="2">
        <f t="shared" si="211"/>
        <v>1</v>
      </c>
      <c r="N208" s="2">
        <f t="shared" si="211"/>
        <v>1</v>
      </c>
      <c r="O208" s="2">
        <f t="shared" si="211"/>
        <v>1</v>
      </c>
      <c r="P208" s="2">
        <f t="shared" si="211"/>
        <v>1</v>
      </c>
      <c r="Q208" s="2">
        <f t="shared" si="3"/>
        <v>1</v>
      </c>
      <c r="R208" s="2">
        <f>IF(ISERROR(VLOOKUP(A208, 'Project Reference'!A:A, 1, FALSE)), 0, 1)</f>
        <v>1</v>
      </c>
      <c r="S208" s="2">
        <f>IFERROR(__xludf.DUMMYFUNCTION("IF(AND(REGEXMATCH(D208, B208), REGEXMATCH(D208, C208)), 1, 0)
"),1.0)</f>
        <v>1</v>
      </c>
      <c r="T208" s="2">
        <f t="shared" si="4"/>
        <v>1</v>
      </c>
      <c r="U208" s="2">
        <f t="shared" si="5"/>
        <v>1</v>
      </c>
      <c r="V208" s="2">
        <f t="shared" si="6"/>
        <v>1</v>
      </c>
    </row>
    <row r="209" ht="14.25" customHeight="1">
      <c r="A209" s="2" t="s">
        <v>248</v>
      </c>
      <c r="B209" s="2" t="s">
        <v>60</v>
      </c>
      <c r="C209" s="2" t="s">
        <v>48</v>
      </c>
      <c r="D209" s="8" t="s">
        <v>625</v>
      </c>
      <c r="E209" s="6">
        <v>45063.0</v>
      </c>
      <c r="F209" s="6">
        <v>45376.0</v>
      </c>
      <c r="G209" s="7">
        <v>2.737545275E9</v>
      </c>
      <c r="H209" s="2" t="s">
        <v>21</v>
      </c>
      <c r="I209" s="2">
        <f t="shared" ref="I209:P209" si="212">IF(ISBLANK(A209)=TRUE,0,1)</f>
        <v>1</v>
      </c>
      <c r="J209" s="2">
        <f t="shared" si="212"/>
        <v>1</v>
      </c>
      <c r="K209" s="2">
        <f t="shared" si="212"/>
        <v>1</v>
      </c>
      <c r="L209" s="2">
        <f t="shared" si="212"/>
        <v>1</v>
      </c>
      <c r="M209" s="2">
        <f t="shared" si="212"/>
        <v>1</v>
      </c>
      <c r="N209" s="2">
        <f t="shared" si="212"/>
        <v>1</v>
      </c>
      <c r="O209" s="2">
        <f t="shared" si="212"/>
        <v>1</v>
      </c>
      <c r="P209" s="2">
        <f t="shared" si="212"/>
        <v>1</v>
      </c>
      <c r="Q209" s="2">
        <f t="shared" si="3"/>
        <v>1</v>
      </c>
      <c r="R209" s="2">
        <f>IF(ISERROR(VLOOKUP(A209, 'Project Reference'!A:A, 1, FALSE)), 0, 1)</f>
        <v>1</v>
      </c>
      <c r="S209" s="2">
        <f>IFERROR(__xludf.DUMMYFUNCTION("IF(AND(REGEXMATCH(D209, B209), REGEXMATCH(D209, C209)), 1, 0)
"),1.0)</f>
        <v>1</v>
      </c>
      <c r="T209" s="2">
        <f t="shared" si="4"/>
        <v>1</v>
      </c>
      <c r="U209" s="2">
        <f t="shared" si="5"/>
        <v>1</v>
      </c>
      <c r="V209" s="2">
        <f t="shared" si="6"/>
        <v>1</v>
      </c>
    </row>
    <row r="210" ht="14.25" customHeight="1">
      <c r="A210" s="2" t="s">
        <v>249</v>
      </c>
      <c r="B210" s="2" t="s">
        <v>35</v>
      </c>
      <c r="C210" s="2" t="s">
        <v>39</v>
      </c>
      <c r="D210" s="2" t="s">
        <v>145</v>
      </c>
      <c r="E210" s="6">
        <v>45063.0</v>
      </c>
      <c r="F210" s="6">
        <v>45215.0</v>
      </c>
      <c r="G210" s="7">
        <v>4.35396392E8</v>
      </c>
      <c r="H210" s="2" t="s">
        <v>21</v>
      </c>
      <c r="I210" s="2">
        <f t="shared" ref="I210:P210" si="213">IF(ISBLANK(A210)=TRUE,0,1)</f>
        <v>1</v>
      </c>
      <c r="J210" s="2">
        <f t="shared" si="213"/>
        <v>1</v>
      </c>
      <c r="K210" s="2">
        <f t="shared" si="213"/>
        <v>1</v>
      </c>
      <c r="L210" s="2">
        <f t="shared" si="213"/>
        <v>1</v>
      </c>
      <c r="M210" s="2">
        <f t="shared" si="213"/>
        <v>1</v>
      </c>
      <c r="N210" s="2">
        <f t="shared" si="213"/>
        <v>1</v>
      </c>
      <c r="O210" s="2">
        <f t="shared" si="213"/>
        <v>1</v>
      </c>
      <c r="P210" s="2">
        <f t="shared" si="213"/>
        <v>1</v>
      </c>
      <c r="Q210" s="2">
        <f t="shared" si="3"/>
        <v>1</v>
      </c>
      <c r="R210" s="2">
        <f>IF(ISERROR(VLOOKUP(A210, 'Project Reference'!A:A, 1, FALSE)), 0, 1)</f>
        <v>1</v>
      </c>
      <c r="S210" s="2">
        <f>IFERROR(__xludf.DUMMYFUNCTION("IF(AND(REGEXMATCH(D210, B210), REGEXMATCH(D210, C210)), 1, 0)
"),1.0)</f>
        <v>1</v>
      </c>
      <c r="T210" s="2">
        <f t="shared" si="4"/>
        <v>1</v>
      </c>
      <c r="U210" s="2">
        <f t="shared" si="5"/>
        <v>1</v>
      </c>
      <c r="V210" s="2">
        <f t="shared" si="6"/>
        <v>1</v>
      </c>
    </row>
    <row r="211" ht="14.25" customHeight="1">
      <c r="A211" s="2" t="s">
        <v>250</v>
      </c>
      <c r="B211" s="2" t="s">
        <v>12</v>
      </c>
      <c r="C211" s="2" t="s">
        <v>13</v>
      </c>
      <c r="D211" s="8" t="s">
        <v>605</v>
      </c>
      <c r="E211" s="6">
        <v>45064.0</v>
      </c>
      <c r="F211" s="6">
        <v>45199.0</v>
      </c>
      <c r="G211" s="7">
        <v>8.62972191E8</v>
      </c>
      <c r="H211" s="8" t="s">
        <v>573</v>
      </c>
      <c r="I211" s="2">
        <f t="shared" ref="I211:P211" si="214">IF(ISBLANK(A211)=TRUE,0,1)</f>
        <v>1</v>
      </c>
      <c r="J211" s="2">
        <f t="shared" si="214"/>
        <v>1</v>
      </c>
      <c r="K211" s="2">
        <f t="shared" si="214"/>
        <v>1</v>
      </c>
      <c r="L211" s="2">
        <f t="shared" si="214"/>
        <v>1</v>
      </c>
      <c r="M211" s="2">
        <f t="shared" si="214"/>
        <v>1</v>
      </c>
      <c r="N211" s="2">
        <f t="shared" si="214"/>
        <v>1</v>
      </c>
      <c r="O211" s="2">
        <f t="shared" si="214"/>
        <v>1</v>
      </c>
      <c r="P211" s="2">
        <f t="shared" si="214"/>
        <v>1</v>
      </c>
      <c r="Q211" s="2">
        <f t="shared" si="3"/>
        <v>1</v>
      </c>
      <c r="R211" s="2">
        <f>IF(ISERROR(VLOOKUP(A211, 'Project Reference'!A:A, 1, FALSE)), 0, 1)</f>
        <v>1</v>
      </c>
      <c r="S211" s="2">
        <f>IFERROR(__xludf.DUMMYFUNCTION("IF(AND(REGEXMATCH(D211, B211), REGEXMATCH(D211, C211)), 1, 0)
"),1.0)</f>
        <v>1</v>
      </c>
      <c r="T211" s="2">
        <f t="shared" si="4"/>
        <v>1</v>
      </c>
      <c r="U211" s="2">
        <f t="shared" si="5"/>
        <v>1</v>
      </c>
      <c r="V211" s="2">
        <f t="shared" si="6"/>
        <v>1</v>
      </c>
    </row>
    <row r="212" ht="14.25" customHeight="1">
      <c r="A212" s="2" t="s">
        <v>251</v>
      </c>
      <c r="B212" s="2" t="s">
        <v>35</v>
      </c>
      <c r="C212" s="2" t="s">
        <v>39</v>
      </c>
      <c r="D212" s="2" t="s">
        <v>145</v>
      </c>
      <c r="E212" s="6">
        <v>45066.0</v>
      </c>
      <c r="F212" s="6">
        <v>45101.0</v>
      </c>
      <c r="G212" s="7">
        <v>5.40011263E8</v>
      </c>
      <c r="H212" s="2" t="s">
        <v>21</v>
      </c>
      <c r="I212" s="2">
        <f t="shared" ref="I212:P212" si="215">IF(ISBLANK(A212)=TRUE,0,1)</f>
        <v>1</v>
      </c>
      <c r="J212" s="2">
        <f t="shared" si="215"/>
        <v>1</v>
      </c>
      <c r="K212" s="2">
        <f t="shared" si="215"/>
        <v>1</v>
      </c>
      <c r="L212" s="2">
        <f t="shared" si="215"/>
        <v>1</v>
      </c>
      <c r="M212" s="2">
        <f t="shared" si="215"/>
        <v>1</v>
      </c>
      <c r="N212" s="2">
        <f t="shared" si="215"/>
        <v>1</v>
      </c>
      <c r="O212" s="2">
        <f t="shared" si="215"/>
        <v>1</v>
      </c>
      <c r="P212" s="2">
        <f t="shared" si="215"/>
        <v>1</v>
      </c>
      <c r="Q212" s="2">
        <f t="shared" si="3"/>
        <v>1</v>
      </c>
      <c r="R212" s="2">
        <f>IF(ISERROR(VLOOKUP(A212, 'Project Reference'!A:A, 1, FALSE)), 0, 1)</f>
        <v>1</v>
      </c>
      <c r="S212" s="2">
        <f>IFERROR(__xludf.DUMMYFUNCTION("IF(AND(REGEXMATCH(D212, B212), REGEXMATCH(D212, C212)), 1, 0)
"),1.0)</f>
        <v>1</v>
      </c>
      <c r="T212" s="2">
        <f t="shared" si="4"/>
        <v>1</v>
      </c>
      <c r="U212" s="2">
        <f t="shared" si="5"/>
        <v>1</v>
      </c>
      <c r="V212" s="2">
        <f t="shared" si="6"/>
        <v>1</v>
      </c>
    </row>
    <row r="213" ht="14.25" customHeight="1">
      <c r="A213" s="2" t="s">
        <v>252</v>
      </c>
      <c r="B213" s="2" t="s">
        <v>30</v>
      </c>
      <c r="C213" s="2" t="s">
        <v>42</v>
      </c>
      <c r="D213" s="8" t="s">
        <v>632</v>
      </c>
      <c r="E213" s="6">
        <v>45068.0</v>
      </c>
      <c r="F213" s="6">
        <v>45110.0</v>
      </c>
      <c r="G213" s="7">
        <v>1.029500364E9</v>
      </c>
      <c r="H213" s="2" t="s">
        <v>50</v>
      </c>
      <c r="I213" s="2">
        <f t="shared" ref="I213:P213" si="216">IF(ISBLANK(A213)=TRUE,0,1)</f>
        <v>1</v>
      </c>
      <c r="J213" s="2">
        <f t="shared" si="216"/>
        <v>1</v>
      </c>
      <c r="K213" s="2">
        <f t="shared" si="216"/>
        <v>1</v>
      </c>
      <c r="L213" s="2">
        <f t="shared" si="216"/>
        <v>1</v>
      </c>
      <c r="M213" s="2">
        <f t="shared" si="216"/>
        <v>1</v>
      </c>
      <c r="N213" s="2">
        <f t="shared" si="216"/>
        <v>1</v>
      </c>
      <c r="O213" s="2">
        <f t="shared" si="216"/>
        <v>1</v>
      </c>
      <c r="P213" s="2">
        <f t="shared" si="216"/>
        <v>1</v>
      </c>
      <c r="Q213" s="2">
        <f t="shared" si="3"/>
        <v>1</v>
      </c>
      <c r="R213" s="2">
        <f>IF(ISERROR(VLOOKUP(A213, 'Project Reference'!A:A, 1, FALSE)), 0, 1)</f>
        <v>1</v>
      </c>
      <c r="S213" s="2">
        <f>IFERROR(__xludf.DUMMYFUNCTION("IF(AND(REGEXMATCH(D213, B213), REGEXMATCH(D213, C213)), 1, 0)
"),1.0)</f>
        <v>1</v>
      </c>
      <c r="T213" s="2">
        <f t="shared" si="4"/>
        <v>1</v>
      </c>
      <c r="U213" s="2">
        <f t="shared" si="5"/>
        <v>1</v>
      </c>
      <c r="V213" s="2">
        <f t="shared" si="6"/>
        <v>1</v>
      </c>
    </row>
    <row r="214" ht="14.25" customHeight="1">
      <c r="A214" s="2" t="s">
        <v>253</v>
      </c>
      <c r="B214" s="2" t="s">
        <v>12</v>
      </c>
      <c r="C214" s="2" t="s">
        <v>19</v>
      </c>
      <c r="D214" s="8" t="s">
        <v>631</v>
      </c>
      <c r="E214" s="6">
        <v>45069.0</v>
      </c>
      <c r="F214" s="6">
        <v>45337.0</v>
      </c>
      <c r="G214" s="7">
        <v>6.41123605E8</v>
      </c>
      <c r="H214" s="2" t="s">
        <v>44</v>
      </c>
      <c r="I214" s="2">
        <f t="shared" ref="I214:P214" si="217">IF(ISBLANK(A214)=TRUE,0,1)</f>
        <v>1</v>
      </c>
      <c r="J214" s="2">
        <f t="shared" si="217"/>
        <v>1</v>
      </c>
      <c r="K214" s="2">
        <f t="shared" si="217"/>
        <v>1</v>
      </c>
      <c r="L214" s="2">
        <f t="shared" si="217"/>
        <v>1</v>
      </c>
      <c r="M214" s="2">
        <f t="shared" si="217"/>
        <v>1</v>
      </c>
      <c r="N214" s="2">
        <f t="shared" si="217"/>
        <v>1</v>
      </c>
      <c r="O214" s="2">
        <f t="shared" si="217"/>
        <v>1</v>
      </c>
      <c r="P214" s="2">
        <f t="shared" si="217"/>
        <v>1</v>
      </c>
      <c r="Q214" s="2">
        <f t="shared" si="3"/>
        <v>1</v>
      </c>
      <c r="R214" s="2">
        <f>IF(ISERROR(VLOOKUP(A214, 'Project Reference'!A:A, 1, FALSE)), 0, 1)</f>
        <v>1</v>
      </c>
      <c r="S214" s="2">
        <f>IFERROR(__xludf.DUMMYFUNCTION("IF(AND(REGEXMATCH(D214, B214), REGEXMATCH(D214, C214)), 1, 0)
"),1.0)</f>
        <v>1</v>
      </c>
      <c r="T214" s="2">
        <f t="shared" si="4"/>
        <v>1</v>
      </c>
      <c r="U214" s="2">
        <f t="shared" si="5"/>
        <v>1</v>
      </c>
      <c r="V214" s="2">
        <f t="shared" si="6"/>
        <v>1</v>
      </c>
    </row>
    <row r="215" ht="14.25" customHeight="1">
      <c r="A215" s="2" t="s">
        <v>254</v>
      </c>
      <c r="B215" s="2" t="s">
        <v>60</v>
      </c>
      <c r="C215" s="2" t="s">
        <v>31</v>
      </c>
      <c r="D215" s="8" t="s">
        <v>599</v>
      </c>
      <c r="E215" s="6">
        <v>45070.0</v>
      </c>
      <c r="F215" s="6">
        <v>45413.0</v>
      </c>
      <c r="G215" s="7">
        <v>3.739543587E9</v>
      </c>
      <c r="H215" s="2" t="s">
        <v>33</v>
      </c>
      <c r="I215" s="2">
        <f t="shared" ref="I215:P215" si="218">IF(ISBLANK(A215)=TRUE,0,1)</f>
        <v>1</v>
      </c>
      <c r="J215" s="2">
        <f t="shared" si="218"/>
        <v>1</v>
      </c>
      <c r="K215" s="2">
        <f t="shared" si="218"/>
        <v>1</v>
      </c>
      <c r="L215" s="2">
        <f t="shared" si="218"/>
        <v>1</v>
      </c>
      <c r="M215" s="2">
        <f t="shared" si="218"/>
        <v>1</v>
      </c>
      <c r="N215" s="2">
        <f t="shared" si="218"/>
        <v>1</v>
      </c>
      <c r="O215" s="2">
        <f t="shared" si="218"/>
        <v>1</v>
      </c>
      <c r="P215" s="2">
        <f t="shared" si="218"/>
        <v>1</v>
      </c>
      <c r="Q215" s="2">
        <f t="shared" si="3"/>
        <v>1</v>
      </c>
      <c r="R215" s="2">
        <f>IF(ISERROR(VLOOKUP(A215, 'Project Reference'!A:A, 1, FALSE)), 0, 1)</f>
        <v>1</v>
      </c>
      <c r="S215" s="2">
        <f>IFERROR(__xludf.DUMMYFUNCTION("IF(AND(REGEXMATCH(D215, B215), REGEXMATCH(D215, C215)), 1, 0)
"),1.0)</f>
        <v>1</v>
      </c>
      <c r="T215" s="2">
        <f t="shared" si="4"/>
        <v>1</v>
      </c>
      <c r="U215" s="2">
        <f t="shared" si="5"/>
        <v>1</v>
      </c>
      <c r="V215" s="2">
        <f t="shared" si="6"/>
        <v>1</v>
      </c>
    </row>
    <row r="216" ht="14.25" customHeight="1">
      <c r="A216" s="2" t="s">
        <v>255</v>
      </c>
      <c r="B216" s="2" t="s">
        <v>18</v>
      </c>
      <c r="C216" s="2" t="s">
        <v>36</v>
      </c>
      <c r="D216" s="8" t="s">
        <v>634</v>
      </c>
      <c r="E216" s="6">
        <v>45072.0</v>
      </c>
      <c r="F216" s="6">
        <v>45108.0</v>
      </c>
      <c r="G216" s="7">
        <v>1.989239519E9</v>
      </c>
      <c r="H216" s="2" t="s">
        <v>67</v>
      </c>
      <c r="I216" s="2">
        <f t="shared" ref="I216:P216" si="219">IF(ISBLANK(A216)=TRUE,0,1)</f>
        <v>1</v>
      </c>
      <c r="J216" s="2">
        <f t="shared" si="219"/>
        <v>1</v>
      </c>
      <c r="K216" s="2">
        <f t="shared" si="219"/>
        <v>1</v>
      </c>
      <c r="L216" s="2">
        <f t="shared" si="219"/>
        <v>1</v>
      </c>
      <c r="M216" s="2">
        <f t="shared" si="219"/>
        <v>1</v>
      </c>
      <c r="N216" s="2">
        <f t="shared" si="219"/>
        <v>1</v>
      </c>
      <c r="O216" s="2">
        <f t="shared" si="219"/>
        <v>1</v>
      </c>
      <c r="P216" s="2">
        <f t="shared" si="219"/>
        <v>1</v>
      </c>
      <c r="Q216" s="2">
        <f t="shared" si="3"/>
        <v>1</v>
      </c>
      <c r="R216" s="2">
        <f>IF(ISERROR(VLOOKUP(A216, 'Project Reference'!A:A, 1, FALSE)), 0, 1)</f>
        <v>1</v>
      </c>
      <c r="S216" s="2">
        <f>IFERROR(__xludf.DUMMYFUNCTION("IF(AND(REGEXMATCH(D216, B216), REGEXMATCH(D216, C216)), 1, 0)
"),1.0)</f>
        <v>1</v>
      </c>
      <c r="T216" s="2">
        <f t="shared" si="4"/>
        <v>1</v>
      </c>
      <c r="U216" s="2">
        <f t="shared" si="5"/>
        <v>1</v>
      </c>
      <c r="V216" s="2">
        <f t="shared" si="6"/>
        <v>1</v>
      </c>
    </row>
    <row r="217" ht="14.25" customHeight="1">
      <c r="A217" s="2" t="s">
        <v>256</v>
      </c>
      <c r="B217" s="2" t="s">
        <v>12</v>
      </c>
      <c r="C217" s="2" t="s">
        <v>48</v>
      </c>
      <c r="D217" s="8" t="s">
        <v>602</v>
      </c>
      <c r="E217" s="6">
        <v>45072.0</v>
      </c>
      <c r="F217" s="6">
        <v>45310.0</v>
      </c>
      <c r="G217" s="7">
        <v>7.51081465E8</v>
      </c>
      <c r="H217" s="2" t="s">
        <v>21</v>
      </c>
      <c r="I217" s="2">
        <f t="shared" ref="I217:P217" si="220">IF(ISBLANK(A217)=TRUE,0,1)</f>
        <v>1</v>
      </c>
      <c r="J217" s="2">
        <f t="shared" si="220"/>
        <v>1</v>
      </c>
      <c r="K217" s="2">
        <f t="shared" si="220"/>
        <v>1</v>
      </c>
      <c r="L217" s="2">
        <f t="shared" si="220"/>
        <v>1</v>
      </c>
      <c r="M217" s="2">
        <f t="shared" si="220"/>
        <v>1</v>
      </c>
      <c r="N217" s="2">
        <f t="shared" si="220"/>
        <v>1</v>
      </c>
      <c r="O217" s="2">
        <f t="shared" si="220"/>
        <v>1</v>
      </c>
      <c r="P217" s="2">
        <f t="shared" si="220"/>
        <v>1</v>
      </c>
      <c r="Q217" s="2">
        <f t="shared" si="3"/>
        <v>1</v>
      </c>
      <c r="R217" s="2">
        <f>IF(ISERROR(VLOOKUP(A217, 'Project Reference'!A:A, 1, FALSE)), 0, 1)</f>
        <v>1</v>
      </c>
      <c r="S217" s="2">
        <f>IFERROR(__xludf.DUMMYFUNCTION("IF(AND(REGEXMATCH(D217, B217), REGEXMATCH(D217, C217)), 1, 0)
"),1.0)</f>
        <v>1</v>
      </c>
      <c r="T217" s="2">
        <f t="shared" si="4"/>
        <v>1</v>
      </c>
      <c r="U217" s="2">
        <f t="shared" si="5"/>
        <v>1</v>
      </c>
      <c r="V217" s="2">
        <f t="shared" si="6"/>
        <v>1</v>
      </c>
    </row>
    <row r="218" ht="14.25" customHeight="1">
      <c r="A218" s="2" t="s">
        <v>257</v>
      </c>
      <c r="B218" s="2" t="s">
        <v>35</v>
      </c>
      <c r="C218" s="2" t="s">
        <v>48</v>
      </c>
      <c r="D218" s="2" t="s">
        <v>49</v>
      </c>
      <c r="E218" s="6">
        <v>45073.0</v>
      </c>
      <c r="F218" s="6">
        <v>45400.0</v>
      </c>
      <c r="G218" s="7">
        <v>3.96170576E8</v>
      </c>
      <c r="H218" s="2" t="s">
        <v>50</v>
      </c>
      <c r="I218" s="2">
        <f t="shared" ref="I218:P218" si="221">IF(ISBLANK(A218)=TRUE,0,1)</f>
        <v>1</v>
      </c>
      <c r="J218" s="2">
        <f t="shared" si="221"/>
        <v>1</v>
      </c>
      <c r="K218" s="2">
        <f t="shared" si="221"/>
        <v>1</v>
      </c>
      <c r="L218" s="2">
        <f t="shared" si="221"/>
        <v>1</v>
      </c>
      <c r="M218" s="2">
        <f t="shared" si="221"/>
        <v>1</v>
      </c>
      <c r="N218" s="2">
        <f t="shared" si="221"/>
        <v>1</v>
      </c>
      <c r="O218" s="2">
        <f t="shared" si="221"/>
        <v>1</v>
      </c>
      <c r="P218" s="2">
        <f t="shared" si="221"/>
        <v>1</v>
      </c>
      <c r="Q218" s="2">
        <f t="shared" si="3"/>
        <v>1</v>
      </c>
      <c r="R218" s="2">
        <f>IF(ISERROR(VLOOKUP(A218, 'Project Reference'!A:A, 1, FALSE)), 0, 1)</f>
        <v>1</v>
      </c>
      <c r="S218" s="2">
        <f>IFERROR(__xludf.DUMMYFUNCTION("IF(AND(REGEXMATCH(D218, B218), REGEXMATCH(D218, C218)), 1, 0)
"),1.0)</f>
        <v>1</v>
      </c>
      <c r="T218" s="2">
        <f t="shared" si="4"/>
        <v>1</v>
      </c>
      <c r="U218" s="2">
        <f t="shared" si="5"/>
        <v>1</v>
      </c>
      <c r="V218" s="2">
        <f t="shared" si="6"/>
        <v>1</v>
      </c>
    </row>
    <row r="219" ht="14.25" customHeight="1">
      <c r="A219" s="2" t="s">
        <v>258</v>
      </c>
      <c r="B219" s="2" t="s">
        <v>60</v>
      </c>
      <c r="C219" s="2" t="s">
        <v>36</v>
      </c>
      <c r="D219" s="8" t="s">
        <v>597</v>
      </c>
      <c r="E219" s="6">
        <v>45073.0</v>
      </c>
      <c r="F219" s="6">
        <v>45368.0</v>
      </c>
      <c r="G219" s="7">
        <v>3.86727841E9</v>
      </c>
      <c r="H219" s="2" t="s">
        <v>67</v>
      </c>
      <c r="I219" s="2">
        <f t="shared" ref="I219:P219" si="222">IF(ISBLANK(A219)=TRUE,0,1)</f>
        <v>1</v>
      </c>
      <c r="J219" s="2">
        <f t="shared" si="222"/>
        <v>1</v>
      </c>
      <c r="K219" s="2">
        <f t="shared" si="222"/>
        <v>1</v>
      </c>
      <c r="L219" s="2">
        <f t="shared" si="222"/>
        <v>1</v>
      </c>
      <c r="M219" s="2">
        <f t="shared" si="222"/>
        <v>1</v>
      </c>
      <c r="N219" s="2">
        <f t="shared" si="222"/>
        <v>1</v>
      </c>
      <c r="O219" s="2">
        <f t="shared" si="222"/>
        <v>1</v>
      </c>
      <c r="P219" s="2">
        <f t="shared" si="222"/>
        <v>1</v>
      </c>
      <c r="Q219" s="2">
        <f t="shared" si="3"/>
        <v>1</v>
      </c>
      <c r="R219" s="2">
        <f>IF(ISERROR(VLOOKUP(A219, 'Project Reference'!A:A, 1, FALSE)), 0, 1)</f>
        <v>1</v>
      </c>
      <c r="S219" s="2">
        <f>IFERROR(__xludf.DUMMYFUNCTION("IF(AND(REGEXMATCH(D219, B219), REGEXMATCH(D219, C219)), 1, 0)
"),1.0)</f>
        <v>1</v>
      </c>
      <c r="T219" s="2">
        <f t="shared" si="4"/>
        <v>1</v>
      </c>
      <c r="U219" s="2">
        <f t="shared" si="5"/>
        <v>1</v>
      </c>
      <c r="V219" s="2">
        <f t="shared" si="6"/>
        <v>1</v>
      </c>
    </row>
    <row r="220" ht="14.25" customHeight="1">
      <c r="A220" s="2" t="s">
        <v>259</v>
      </c>
      <c r="B220" s="2" t="s">
        <v>18</v>
      </c>
      <c r="C220" s="2" t="s">
        <v>39</v>
      </c>
      <c r="D220" s="8" t="s">
        <v>577</v>
      </c>
      <c r="E220" s="6">
        <v>45074.0</v>
      </c>
      <c r="F220" s="6">
        <v>45326.0</v>
      </c>
      <c r="G220" s="7">
        <v>1.475452617E9</v>
      </c>
      <c r="H220" s="2" t="s">
        <v>21</v>
      </c>
      <c r="I220" s="2">
        <f t="shared" ref="I220:P220" si="223">IF(ISBLANK(A220)=TRUE,0,1)</f>
        <v>1</v>
      </c>
      <c r="J220" s="2">
        <f t="shared" si="223"/>
        <v>1</v>
      </c>
      <c r="K220" s="2">
        <f t="shared" si="223"/>
        <v>1</v>
      </c>
      <c r="L220" s="2">
        <f t="shared" si="223"/>
        <v>1</v>
      </c>
      <c r="M220" s="2">
        <f t="shared" si="223"/>
        <v>1</v>
      </c>
      <c r="N220" s="2">
        <f t="shared" si="223"/>
        <v>1</v>
      </c>
      <c r="O220" s="2">
        <f t="shared" si="223"/>
        <v>1</v>
      </c>
      <c r="P220" s="2">
        <f t="shared" si="223"/>
        <v>1</v>
      </c>
      <c r="Q220" s="2">
        <f t="shared" si="3"/>
        <v>1</v>
      </c>
      <c r="R220" s="2">
        <f>IF(ISERROR(VLOOKUP(A220, 'Project Reference'!A:A, 1, FALSE)), 0, 1)</f>
        <v>1</v>
      </c>
      <c r="S220" s="2">
        <f>IFERROR(__xludf.DUMMYFUNCTION("IF(AND(REGEXMATCH(D220, B220), REGEXMATCH(D220, C220)), 1, 0)
"),1.0)</f>
        <v>1</v>
      </c>
      <c r="T220" s="2">
        <f t="shared" si="4"/>
        <v>1</v>
      </c>
      <c r="U220" s="2">
        <f t="shared" si="5"/>
        <v>1</v>
      </c>
      <c r="V220" s="2">
        <f t="shared" si="6"/>
        <v>1</v>
      </c>
    </row>
    <row r="221" ht="14.25" customHeight="1">
      <c r="A221" s="2" t="s">
        <v>260</v>
      </c>
      <c r="B221" s="22"/>
      <c r="C221" s="22"/>
      <c r="D221" s="8" t="s">
        <v>629</v>
      </c>
      <c r="E221" s="6">
        <v>45074.0</v>
      </c>
      <c r="F221" s="6">
        <v>45243.0</v>
      </c>
      <c r="G221" s="11">
        <v>8.372699981E9</v>
      </c>
      <c r="H221" s="22"/>
      <c r="I221" s="2">
        <f t="shared" ref="I221:P221" si="224">IF(ISBLANK(A221)=TRUE,0,1)</f>
        <v>1</v>
      </c>
      <c r="J221" s="2">
        <f t="shared" si="224"/>
        <v>0</v>
      </c>
      <c r="K221" s="2">
        <f t="shared" si="224"/>
        <v>0</v>
      </c>
      <c r="L221" s="2">
        <f t="shared" si="224"/>
        <v>1</v>
      </c>
      <c r="M221" s="2">
        <f t="shared" si="224"/>
        <v>1</v>
      </c>
      <c r="N221" s="2">
        <f t="shared" si="224"/>
        <v>1</v>
      </c>
      <c r="O221" s="2">
        <f t="shared" si="224"/>
        <v>1</v>
      </c>
      <c r="P221" s="2">
        <f t="shared" si="224"/>
        <v>0</v>
      </c>
      <c r="Q221" s="2">
        <f t="shared" si="3"/>
        <v>1</v>
      </c>
      <c r="R221" s="2">
        <f>IF(ISERROR(VLOOKUP(A221, 'Project Reference'!A:A, 1, FALSE)), 0, 1)</f>
        <v>1</v>
      </c>
      <c r="S221" s="2">
        <f>IFERROR(__xludf.DUMMYFUNCTION("IF(AND(REGEXMATCH(D221, B221), REGEXMATCH(D221, C221)), 1, 0)
"),1.0)</f>
        <v>1</v>
      </c>
      <c r="T221" s="2">
        <f t="shared" si="4"/>
        <v>1</v>
      </c>
      <c r="U221" s="2">
        <f t="shared" si="5"/>
        <v>1</v>
      </c>
      <c r="V221" s="2">
        <f t="shared" si="6"/>
        <v>1</v>
      </c>
    </row>
    <row r="222" ht="14.25" customHeight="1">
      <c r="A222" s="2" t="s">
        <v>261</v>
      </c>
      <c r="B222" s="2" t="s">
        <v>35</v>
      </c>
      <c r="C222" s="2" t="s">
        <v>31</v>
      </c>
      <c r="D222" s="2" t="s">
        <v>91</v>
      </c>
      <c r="E222" s="6">
        <v>45074.0</v>
      </c>
      <c r="F222" s="6">
        <v>45215.0</v>
      </c>
      <c r="G222" s="7">
        <v>4.67726708E8</v>
      </c>
      <c r="H222" s="8" t="s">
        <v>573</v>
      </c>
      <c r="I222" s="2">
        <f t="shared" ref="I222:P222" si="225">IF(ISBLANK(A222)=TRUE,0,1)</f>
        <v>1</v>
      </c>
      <c r="J222" s="2">
        <f t="shared" si="225"/>
        <v>1</v>
      </c>
      <c r="K222" s="2">
        <f t="shared" si="225"/>
        <v>1</v>
      </c>
      <c r="L222" s="2">
        <f t="shared" si="225"/>
        <v>1</v>
      </c>
      <c r="M222" s="2">
        <f t="shared" si="225"/>
        <v>1</v>
      </c>
      <c r="N222" s="2">
        <f t="shared" si="225"/>
        <v>1</v>
      </c>
      <c r="O222" s="2">
        <f t="shared" si="225"/>
        <v>1</v>
      </c>
      <c r="P222" s="2">
        <f t="shared" si="225"/>
        <v>1</v>
      </c>
      <c r="Q222" s="2">
        <f t="shared" si="3"/>
        <v>1</v>
      </c>
      <c r="R222" s="2">
        <f>IF(ISERROR(VLOOKUP(A222, 'Project Reference'!A:A, 1, FALSE)), 0, 1)</f>
        <v>1</v>
      </c>
      <c r="S222" s="2">
        <f>IFERROR(__xludf.DUMMYFUNCTION("IF(AND(REGEXMATCH(D222, B222), REGEXMATCH(D222, C222)), 1, 0)
"),1.0)</f>
        <v>1</v>
      </c>
      <c r="T222" s="2">
        <f t="shared" si="4"/>
        <v>1</v>
      </c>
      <c r="U222" s="2">
        <f t="shared" si="5"/>
        <v>1</v>
      </c>
      <c r="V222" s="2">
        <f t="shared" si="6"/>
        <v>1</v>
      </c>
    </row>
    <row r="223" ht="14.25" customHeight="1">
      <c r="A223" s="2" t="s">
        <v>262</v>
      </c>
      <c r="B223" s="2" t="s">
        <v>30</v>
      </c>
      <c r="C223" s="2" t="s">
        <v>31</v>
      </c>
      <c r="D223" s="8" t="s">
        <v>595</v>
      </c>
      <c r="E223" s="6">
        <v>45075.0</v>
      </c>
      <c r="F223" s="6">
        <v>45276.0</v>
      </c>
      <c r="G223" s="7">
        <v>3.277415006E9</v>
      </c>
      <c r="H223" s="2" t="s">
        <v>33</v>
      </c>
      <c r="I223" s="2">
        <f t="shared" ref="I223:P223" si="226">IF(ISBLANK(A223)=TRUE,0,1)</f>
        <v>1</v>
      </c>
      <c r="J223" s="2">
        <f t="shared" si="226"/>
        <v>1</v>
      </c>
      <c r="K223" s="2">
        <f t="shared" si="226"/>
        <v>1</v>
      </c>
      <c r="L223" s="2">
        <f t="shared" si="226"/>
        <v>1</v>
      </c>
      <c r="M223" s="2">
        <f t="shared" si="226"/>
        <v>1</v>
      </c>
      <c r="N223" s="2">
        <f t="shared" si="226"/>
        <v>1</v>
      </c>
      <c r="O223" s="2">
        <f t="shared" si="226"/>
        <v>1</v>
      </c>
      <c r="P223" s="2">
        <f t="shared" si="226"/>
        <v>1</v>
      </c>
      <c r="Q223" s="2">
        <f t="shared" si="3"/>
        <v>1</v>
      </c>
      <c r="R223" s="2">
        <f>IF(ISERROR(VLOOKUP(A223, 'Project Reference'!A:A, 1, FALSE)), 0, 1)</f>
        <v>1</v>
      </c>
      <c r="S223" s="2">
        <f>IFERROR(__xludf.DUMMYFUNCTION("IF(AND(REGEXMATCH(D223, B223), REGEXMATCH(D223, C223)), 1, 0)
"),1.0)</f>
        <v>1</v>
      </c>
      <c r="T223" s="2">
        <f t="shared" si="4"/>
        <v>1</v>
      </c>
      <c r="U223" s="2">
        <f t="shared" si="5"/>
        <v>1</v>
      </c>
      <c r="V223" s="2">
        <f t="shared" si="6"/>
        <v>1</v>
      </c>
    </row>
    <row r="224" ht="14.25" customHeight="1">
      <c r="A224" s="2" t="s">
        <v>263</v>
      </c>
      <c r="B224" s="2" t="s">
        <v>35</v>
      </c>
      <c r="C224" s="2" t="s">
        <v>31</v>
      </c>
      <c r="D224" s="2" t="s">
        <v>91</v>
      </c>
      <c r="E224" s="6">
        <v>45076.0</v>
      </c>
      <c r="F224" s="6">
        <v>45355.0</v>
      </c>
      <c r="G224" s="7">
        <v>6.36468503E8</v>
      </c>
      <c r="H224" s="8" t="s">
        <v>581</v>
      </c>
      <c r="I224" s="2">
        <f t="shared" ref="I224:P224" si="227">IF(ISBLANK(A224)=TRUE,0,1)</f>
        <v>1</v>
      </c>
      <c r="J224" s="2">
        <f t="shared" si="227"/>
        <v>1</v>
      </c>
      <c r="K224" s="2">
        <f t="shared" si="227"/>
        <v>1</v>
      </c>
      <c r="L224" s="2">
        <f t="shared" si="227"/>
        <v>1</v>
      </c>
      <c r="M224" s="2">
        <f t="shared" si="227"/>
        <v>1</v>
      </c>
      <c r="N224" s="2">
        <f t="shared" si="227"/>
        <v>1</v>
      </c>
      <c r="O224" s="2">
        <f t="shared" si="227"/>
        <v>1</v>
      </c>
      <c r="P224" s="2">
        <f t="shared" si="227"/>
        <v>1</v>
      </c>
      <c r="Q224" s="2">
        <f t="shared" si="3"/>
        <v>1</v>
      </c>
      <c r="R224" s="2">
        <f>IF(ISERROR(VLOOKUP(A224, 'Project Reference'!A:A, 1, FALSE)), 0, 1)</f>
        <v>1</v>
      </c>
      <c r="S224" s="2">
        <f>IFERROR(__xludf.DUMMYFUNCTION("IF(AND(REGEXMATCH(D224, B224), REGEXMATCH(D224, C224)), 1, 0)
"),1.0)</f>
        <v>1</v>
      </c>
      <c r="T224" s="2">
        <f t="shared" si="4"/>
        <v>1</v>
      </c>
      <c r="U224" s="2">
        <f t="shared" si="5"/>
        <v>1</v>
      </c>
      <c r="V224" s="2">
        <f t="shared" si="6"/>
        <v>1</v>
      </c>
    </row>
    <row r="225" ht="14.25" customHeight="1">
      <c r="A225" s="23" t="s">
        <v>264</v>
      </c>
      <c r="B225" s="2" t="s">
        <v>18</v>
      </c>
      <c r="C225" s="2" t="s">
        <v>48</v>
      </c>
      <c r="D225" s="8" t="s">
        <v>629</v>
      </c>
      <c r="E225" s="6">
        <v>45078.0</v>
      </c>
      <c r="F225" s="6">
        <v>45153.0</v>
      </c>
      <c r="G225" s="7">
        <v>6.06080757E9</v>
      </c>
      <c r="H225" s="8" t="s">
        <v>581</v>
      </c>
      <c r="I225" s="2">
        <f t="shared" ref="I225:P225" si="228">IF(ISBLANK(A225)=TRUE,0,1)</f>
        <v>1</v>
      </c>
      <c r="J225" s="2">
        <f t="shared" si="228"/>
        <v>1</v>
      </c>
      <c r="K225" s="2">
        <f t="shared" si="228"/>
        <v>1</v>
      </c>
      <c r="L225" s="2">
        <f t="shared" si="228"/>
        <v>1</v>
      </c>
      <c r="M225" s="2">
        <f t="shared" si="228"/>
        <v>1</v>
      </c>
      <c r="N225" s="2">
        <f t="shared" si="228"/>
        <v>1</v>
      </c>
      <c r="O225" s="2">
        <f t="shared" si="228"/>
        <v>1</v>
      </c>
      <c r="P225" s="2">
        <f t="shared" si="228"/>
        <v>1</v>
      </c>
      <c r="Q225" s="2">
        <f t="shared" si="3"/>
        <v>0</v>
      </c>
      <c r="R225" s="2">
        <f>IF(ISERROR(VLOOKUP(A225, 'Project Reference'!A:A, 1, FALSE)), 0, 1)</f>
        <v>1</v>
      </c>
      <c r="S225" s="2">
        <f>IFERROR(__xludf.DUMMYFUNCTION("IF(AND(REGEXMATCH(D225, B225), REGEXMATCH(D225, C225)), 1, 0)
"),1.0)</f>
        <v>1</v>
      </c>
      <c r="T225" s="2">
        <f t="shared" si="4"/>
        <v>1</v>
      </c>
      <c r="U225" s="2">
        <f t="shared" si="5"/>
        <v>1</v>
      </c>
      <c r="V225" s="2">
        <f t="shared" si="6"/>
        <v>1</v>
      </c>
    </row>
    <row r="226" ht="14.25" customHeight="1">
      <c r="A226" s="22" t="s">
        <v>264</v>
      </c>
      <c r="B226" s="2" t="s">
        <v>18</v>
      </c>
      <c r="C226" s="2" t="s">
        <v>48</v>
      </c>
      <c r="D226" s="8" t="s">
        <v>629</v>
      </c>
      <c r="E226" s="6">
        <v>45078.0</v>
      </c>
      <c r="F226" s="6">
        <v>45153.0</v>
      </c>
      <c r="G226" s="7">
        <v>1.206249778E9</v>
      </c>
      <c r="H226" s="2" t="s">
        <v>67</v>
      </c>
      <c r="I226" s="2">
        <f t="shared" ref="I226:P226" si="229">IF(ISBLANK(A226)=TRUE,0,1)</f>
        <v>1</v>
      </c>
      <c r="J226" s="2">
        <f t="shared" si="229"/>
        <v>1</v>
      </c>
      <c r="K226" s="2">
        <f t="shared" si="229"/>
        <v>1</v>
      </c>
      <c r="L226" s="2">
        <f t="shared" si="229"/>
        <v>1</v>
      </c>
      <c r="M226" s="2">
        <f t="shared" si="229"/>
        <v>1</v>
      </c>
      <c r="N226" s="2">
        <f t="shared" si="229"/>
        <v>1</v>
      </c>
      <c r="O226" s="2">
        <f t="shared" si="229"/>
        <v>1</v>
      </c>
      <c r="P226" s="2">
        <f t="shared" si="229"/>
        <v>1</v>
      </c>
      <c r="Q226" s="2">
        <f t="shared" si="3"/>
        <v>0</v>
      </c>
      <c r="R226" s="2">
        <f>IF(ISERROR(VLOOKUP(A226, 'Project Reference'!A:A, 1, FALSE)), 0, 1)</f>
        <v>1</v>
      </c>
      <c r="S226" s="2">
        <f>IFERROR(__xludf.DUMMYFUNCTION("IF(AND(REGEXMATCH(D226, B226), REGEXMATCH(D226, C226)), 1, 0)
"),1.0)</f>
        <v>1</v>
      </c>
      <c r="T226" s="2">
        <f t="shared" si="4"/>
        <v>1</v>
      </c>
      <c r="U226" s="2">
        <f t="shared" si="5"/>
        <v>1</v>
      </c>
      <c r="V226" s="2">
        <f t="shared" si="6"/>
        <v>1</v>
      </c>
    </row>
    <row r="227" ht="14.25" customHeight="1">
      <c r="A227" s="2" t="s">
        <v>266</v>
      </c>
      <c r="B227" s="2" t="s">
        <v>60</v>
      </c>
      <c r="C227" s="2" t="s">
        <v>42</v>
      </c>
      <c r="D227" s="8" t="s">
        <v>587</v>
      </c>
      <c r="E227" s="6">
        <v>45078.0</v>
      </c>
      <c r="F227" s="6">
        <v>45220.0</v>
      </c>
      <c r="G227" s="7">
        <v>2.544644297E9</v>
      </c>
      <c r="H227" s="22"/>
      <c r="I227" s="2">
        <f t="shared" ref="I227:P227" si="230">IF(ISBLANK(A227)=TRUE,0,1)</f>
        <v>1</v>
      </c>
      <c r="J227" s="2">
        <f t="shared" si="230"/>
        <v>1</v>
      </c>
      <c r="K227" s="2">
        <f t="shared" si="230"/>
        <v>1</v>
      </c>
      <c r="L227" s="2">
        <f t="shared" si="230"/>
        <v>1</v>
      </c>
      <c r="M227" s="2">
        <f t="shared" si="230"/>
        <v>1</v>
      </c>
      <c r="N227" s="2">
        <f t="shared" si="230"/>
        <v>1</v>
      </c>
      <c r="O227" s="2">
        <f t="shared" si="230"/>
        <v>1</v>
      </c>
      <c r="P227" s="2">
        <f t="shared" si="230"/>
        <v>0</v>
      </c>
      <c r="Q227" s="2">
        <f t="shared" si="3"/>
        <v>1</v>
      </c>
      <c r="R227" s="2">
        <f>IF(ISERROR(VLOOKUP(A227, 'Project Reference'!A:A, 1, FALSE)), 0, 1)</f>
        <v>1</v>
      </c>
      <c r="S227" s="2">
        <f>IFERROR(__xludf.DUMMYFUNCTION("IF(AND(REGEXMATCH(D227, B227), REGEXMATCH(D227, C227)), 1, 0)
"),1.0)</f>
        <v>1</v>
      </c>
      <c r="T227" s="2">
        <f t="shared" si="4"/>
        <v>1</v>
      </c>
      <c r="U227" s="2">
        <f t="shared" si="5"/>
        <v>1</v>
      </c>
      <c r="V227" s="2">
        <f t="shared" si="6"/>
        <v>1</v>
      </c>
    </row>
    <row r="228" ht="14.25" customHeight="1">
      <c r="A228" s="2" t="s">
        <v>267</v>
      </c>
      <c r="B228" s="2" t="s">
        <v>30</v>
      </c>
      <c r="C228" s="2" t="s">
        <v>39</v>
      </c>
      <c r="D228" s="8" t="s">
        <v>590</v>
      </c>
      <c r="E228" s="6">
        <v>45080.0</v>
      </c>
      <c r="F228" s="6">
        <v>45423.0</v>
      </c>
      <c r="G228" s="7">
        <v>6.557069994E9</v>
      </c>
      <c r="H228" s="2" t="s">
        <v>33</v>
      </c>
      <c r="I228" s="2">
        <f t="shared" ref="I228:P228" si="231">IF(ISBLANK(A228)=TRUE,0,1)</f>
        <v>1</v>
      </c>
      <c r="J228" s="2">
        <f t="shared" si="231"/>
        <v>1</v>
      </c>
      <c r="K228" s="2">
        <f t="shared" si="231"/>
        <v>1</v>
      </c>
      <c r="L228" s="2">
        <f t="shared" si="231"/>
        <v>1</v>
      </c>
      <c r="M228" s="2">
        <f t="shared" si="231"/>
        <v>1</v>
      </c>
      <c r="N228" s="2">
        <f t="shared" si="231"/>
        <v>1</v>
      </c>
      <c r="O228" s="2">
        <f t="shared" si="231"/>
        <v>1</v>
      </c>
      <c r="P228" s="2">
        <f t="shared" si="231"/>
        <v>1</v>
      </c>
      <c r="Q228" s="2">
        <f t="shared" si="3"/>
        <v>1</v>
      </c>
      <c r="R228" s="2">
        <f>IF(ISERROR(VLOOKUP(A228, 'Project Reference'!A:A, 1, FALSE)), 0, 1)</f>
        <v>1</v>
      </c>
      <c r="S228" s="2">
        <f>IFERROR(__xludf.DUMMYFUNCTION("IF(AND(REGEXMATCH(D228, B228), REGEXMATCH(D228, C228)), 1, 0)
"),1.0)</f>
        <v>1</v>
      </c>
      <c r="T228" s="2">
        <f t="shared" si="4"/>
        <v>1</v>
      </c>
      <c r="U228" s="2">
        <f t="shared" si="5"/>
        <v>1</v>
      </c>
      <c r="V228" s="2">
        <f t="shared" si="6"/>
        <v>1</v>
      </c>
    </row>
    <row r="229" ht="14.25" customHeight="1">
      <c r="A229" s="2" t="s">
        <v>268</v>
      </c>
      <c r="B229" s="2" t="s">
        <v>60</v>
      </c>
      <c r="C229" s="2" t="s">
        <v>19</v>
      </c>
      <c r="D229" s="8" t="s">
        <v>616</v>
      </c>
      <c r="E229" s="6">
        <v>45081.0</v>
      </c>
      <c r="F229" s="6">
        <v>45393.0</v>
      </c>
      <c r="G229" s="7">
        <v>4.526013687E9</v>
      </c>
      <c r="H229" s="2" t="s">
        <v>67</v>
      </c>
      <c r="I229" s="2">
        <f t="shared" ref="I229:P229" si="232">IF(ISBLANK(A229)=TRUE,0,1)</f>
        <v>1</v>
      </c>
      <c r="J229" s="2">
        <f t="shared" si="232"/>
        <v>1</v>
      </c>
      <c r="K229" s="2">
        <f t="shared" si="232"/>
        <v>1</v>
      </c>
      <c r="L229" s="2">
        <f t="shared" si="232"/>
        <v>1</v>
      </c>
      <c r="M229" s="2">
        <f t="shared" si="232"/>
        <v>1</v>
      </c>
      <c r="N229" s="2">
        <f t="shared" si="232"/>
        <v>1</v>
      </c>
      <c r="O229" s="2">
        <f t="shared" si="232"/>
        <v>1</v>
      </c>
      <c r="P229" s="2">
        <f t="shared" si="232"/>
        <v>1</v>
      </c>
      <c r="Q229" s="2">
        <f t="shared" si="3"/>
        <v>1</v>
      </c>
      <c r="R229" s="2">
        <f>IF(ISERROR(VLOOKUP(A229, 'Project Reference'!A:A, 1, FALSE)), 0, 1)</f>
        <v>1</v>
      </c>
      <c r="S229" s="2">
        <f>IFERROR(__xludf.DUMMYFUNCTION("IF(AND(REGEXMATCH(D229, B229), REGEXMATCH(D229, C229)), 1, 0)
"),1.0)</f>
        <v>1</v>
      </c>
      <c r="T229" s="2">
        <f t="shared" si="4"/>
        <v>1</v>
      </c>
      <c r="U229" s="2">
        <f t="shared" si="5"/>
        <v>1</v>
      </c>
      <c r="V229" s="2">
        <f t="shared" si="6"/>
        <v>1</v>
      </c>
    </row>
    <row r="230" ht="14.25" customHeight="1">
      <c r="A230" s="2" t="s">
        <v>269</v>
      </c>
      <c r="B230" s="2" t="s">
        <v>60</v>
      </c>
      <c r="C230" s="2" t="s">
        <v>36</v>
      </c>
      <c r="D230" s="8" t="s">
        <v>597</v>
      </c>
      <c r="E230" s="6">
        <v>45081.0</v>
      </c>
      <c r="F230" s="6">
        <v>45336.0</v>
      </c>
      <c r="G230" s="7">
        <v>1.746655E9</v>
      </c>
      <c r="H230" s="2" t="s">
        <v>44</v>
      </c>
      <c r="I230" s="2">
        <f t="shared" ref="I230:P230" si="233">IF(ISBLANK(A230)=TRUE,0,1)</f>
        <v>1</v>
      </c>
      <c r="J230" s="2">
        <f t="shared" si="233"/>
        <v>1</v>
      </c>
      <c r="K230" s="2">
        <f t="shared" si="233"/>
        <v>1</v>
      </c>
      <c r="L230" s="2">
        <f t="shared" si="233"/>
        <v>1</v>
      </c>
      <c r="M230" s="2">
        <f t="shared" si="233"/>
        <v>1</v>
      </c>
      <c r="N230" s="2">
        <f t="shared" si="233"/>
        <v>1</v>
      </c>
      <c r="O230" s="2">
        <f t="shared" si="233"/>
        <v>1</v>
      </c>
      <c r="P230" s="2">
        <f t="shared" si="233"/>
        <v>1</v>
      </c>
      <c r="Q230" s="2">
        <f t="shared" si="3"/>
        <v>1</v>
      </c>
      <c r="R230" s="2">
        <f>IF(ISERROR(VLOOKUP(A230, 'Project Reference'!A:A, 1, FALSE)), 0, 1)</f>
        <v>1</v>
      </c>
      <c r="S230" s="2">
        <f>IFERROR(__xludf.DUMMYFUNCTION("IF(AND(REGEXMATCH(D230, B230), REGEXMATCH(D230, C230)), 1, 0)
"),1.0)</f>
        <v>1</v>
      </c>
      <c r="T230" s="2">
        <f t="shared" si="4"/>
        <v>1</v>
      </c>
      <c r="U230" s="2">
        <f t="shared" si="5"/>
        <v>1</v>
      </c>
      <c r="V230" s="2">
        <f t="shared" si="6"/>
        <v>1</v>
      </c>
    </row>
    <row r="231" ht="14.25" customHeight="1">
      <c r="A231" s="2" t="s">
        <v>270</v>
      </c>
      <c r="B231" s="2" t="s">
        <v>30</v>
      </c>
      <c r="C231" s="2" t="s">
        <v>42</v>
      </c>
      <c r="D231" s="8" t="s">
        <v>632</v>
      </c>
      <c r="E231" s="6">
        <v>45081.0</v>
      </c>
      <c r="F231" s="6">
        <v>45151.0</v>
      </c>
      <c r="G231" s="7">
        <v>8.46453122E8</v>
      </c>
      <c r="H231" s="2" t="s">
        <v>50</v>
      </c>
      <c r="I231" s="2">
        <f t="shared" ref="I231:P231" si="234">IF(ISBLANK(A231)=TRUE,0,1)</f>
        <v>1</v>
      </c>
      <c r="J231" s="2">
        <f t="shared" si="234"/>
        <v>1</v>
      </c>
      <c r="K231" s="2">
        <f t="shared" si="234"/>
        <v>1</v>
      </c>
      <c r="L231" s="2">
        <f t="shared" si="234"/>
        <v>1</v>
      </c>
      <c r="M231" s="2">
        <f t="shared" si="234"/>
        <v>1</v>
      </c>
      <c r="N231" s="2">
        <f t="shared" si="234"/>
        <v>1</v>
      </c>
      <c r="O231" s="2">
        <f t="shared" si="234"/>
        <v>1</v>
      </c>
      <c r="P231" s="2">
        <f t="shared" si="234"/>
        <v>1</v>
      </c>
      <c r="Q231" s="2">
        <f t="shared" si="3"/>
        <v>1</v>
      </c>
      <c r="R231" s="2">
        <f>IF(ISERROR(VLOOKUP(A231, 'Project Reference'!A:A, 1, FALSE)), 0, 1)</f>
        <v>1</v>
      </c>
      <c r="S231" s="2">
        <f>IFERROR(__xludf.DUMMYFUNCTION("IF(AND(REGEXMATCH(D231, B231), REGEXMATCH(D231, C231)), 1, 0)
"),1.0)</f>
        <v>1</v>
      </c>
      <c r="T231" s="2">
        <f t="shared" si="4"/>
        <v>1</v>
      </c>
      <c r="U231" s="2">
        <f t="shared" si="5"/>
        <v>1</v>
      </c>
      <c r="V231" s="2">
        <f t="shared" si="6"/>
        <v>1</v>
      </c>
    </row>
    <row r="232" ht="14.25" customHeight="1">
      <c r="A232" s="2" t="s">
        <v>271</v>
      </c>
      <c r="B232" s="2" t="s">
        <v>12</v>
      </c>
      <c r="C232" s="2" t="s">
        <v>19</v>
      </c>
      <c r="D232" s="8" t="s">
        <v>631</v>
      </c>
      <c r="E232" s="6">
        <v>45081.0</v>
      </c>
      <c r="F232" s="6">
        <v>45142.0</v>
      </c>
      <c r="G232" s="7">
        <v>2.03965243E8</v>
      </c>
      <c r="H232" s="2" t="s">
        <v>50</v>
      </c>
      <c r="I232" s="2">
        <f t="shared" ref="I232:P232" si="235">IF(ISBLANK(A232)=TRUE,0,1)</f>
        <v>1</v>
      </c>
      <c r="J232" s="2">
        <f t="shared" si="235"/>
        <v>1</v>
      </c>
      <c r="K232" s="2">
        <f t="shared" si="235"/>
        <v>1</v>
      </c>
      <c r="L232" s="2">
        <f t="shared" si="235"/>
        <v>1</v>
      </c>
      <c r="M232" s="2">
        <f t="shared" si="235"/>
        <v>1</v>
      </c>
      <c r="N232" s="2">
        <f t="shared" si="235"/>
        <v>1</v>
      </c>
      <c r="O232" s="2">
        <f t="shared" si="235"/>
        <v>1</v>
      </c>
      <c r="P232" s="2">
        <f t="shared" si="235"/>
        <v>1</v>
      </c>
      <c r="Q232" s="2">
        <f t="shared" si="3"/>
        <v>1</v>
      </c>
      <c r="R232" s="2">
        <f>IF(ISERROR(VLOOKUP(A232, 'Project Reference'!A:A, 1, FALSE)), 0, 1)</f>
        <v>1</v>
      </c>
      <c r="S232" s="2">
        <f>IFERROR(__xludf.DUMMYFUNCTION("IF(AND(REGEXMATCH(D232, B232), REGEXMATCH(D232, C232)), 1, 0)
"),1.0)</f>
        <v>1</v>
      </c>
      <c r="T232" s="2">
        <f t="shared" si="4"/>
        <v>1</v>
      </c>
      <c r="U232" s="2">
        <f t="shared" si="5"/>
        <v>1</v>
      </c>
      <c r="V232" s="2">
        <f t="shared" si="6"/>
        <v>1</v>
      </c>
    </row>
    <row r="233" ht="14.25" customHeight="1">
      <c r="A233" s="2" t="s">
        <v>272</v>
      </c>
      <c r="B233" s="2" t="s">
        <v>60</v>
      </c>
      <c r="C233" s="2" t="s">
        <v>31</v>
      </c>
      <c r="D233" s="8" t="s">
        <v>613</v>
      </c>
      <c r="E233" s="6">
        <v>45081.0</v>
      </c>
      <c r="F233" s="6">
        <v>45386.0</v>
      </c>
      <c r="G233" s="24">
        <f>AVERAGE(G234:G731)</f>
        <v>2671635109</v>
      </c>
      <c r="H233" s="2" t="s">
        <v>67</v>
      </c>
      <c r="I233" s="2">
        <f t="shared" ref="I233:P233" si="236">IF(ISBLANK(A233)=TRUE,0,1)</f>
        <v>1</v>
      </c>
      <c r="J233" s="2">
        <f t="shared" si="236"/>
        <v>1</v>
      </c>
      <c r="K233" s="2">
        <f t="shared" si="236"/>
        <v>1</v>
      </c>
      <c r="L233" s="2">
        <f t="shared" si="236"/>
        <v>1</v>
      </c>
      <c r="M233" s="2">
        <f t="shared" si="236"/>
        <v>1</v>
      </c>
      <c r="N233" s="2">
        <f t="shared" si="236"/>
        <v>1</v>
      </c>
      <c r="O233" s="2">
        <f t="shared" si="236"/>
        <v>1</v>
      </c>
      <c r="P233" s="2">
        <f t="shared" si="236"/>
        <v>1</v>
      </c>
      <c r="Q233" s="2">
        <f t="shared" si="3"/>
        <v>1</v>
      </c>
      <c r="R233" s="2">
        <f>IF(ISERROR(VLOOKUP(A233, 'Project Reference'!A:A, 1, FALSE)), 0, 1)</f>
        <v>1</v>
      </c>
      <c r="S233" s="2">
        <f>IFERROR(__xludf.DUMMYFUNCTION("IF(AND(REGEXMATCH(D233, B233), REGEXMATCH(D233, C233)), 1, 0)
"),1.0)</f>
        <v>1</v>
      </c>
      <c r="T233" s="2">
        <f t="shared" si="4"/>
        <v>1</v>
      </c>
      <c r="U233" s="2">
        <f t="shared" si="5"/>
        <v>1</v>
      </c>
      <c r="V233" s="2">
        <f t="shared" si="6"/>
        <v>1</v>
      </c>
    </row>
    <row r="234" ht="14.25" customHeight="1">
      <c r="A234" s="2" t="s">
        <v>273</v>
      </c>
      <c r="B234" s="2" t="s">
        <v>60</v>
      </c>
      <c r="C234" s="2" t="s">
        <v>19</v>
      </c>
      <c r="D234" s="8" t="s">
        <v>616</v>
      </c>
      <c r="E234" s="6">
        <v>45082.0</v>
      </c>
      <c r="F234" s="6">
        <v>45410.0</v>
      </c>
      <c r="G234" s="7">
        <v>4.915550556E9</v>
      </c>
      <c r="H234" s="2" t="s">
        <v>21</v>
      </c>
      <c r="I234" s="2">
        <f t="shared" ref="I234:P234" si="237">IF(ISBLANK(A234)=TRUE,0,1)</f>
        <v>1</v>
      </c>
      <c r="J234" s="2">
        <f t="shared" si="237"/>
        <v>1</v>
      </c>
      <c r="K234" s="2">
        <f t="shared" si="237"/>
        <v>1</v>
      </c>
      <c r="L234" s="2">
        <f t="shared" si="237"/>
        <v>1</v>
      </c>
      <c r="M234" s="2">
        <f t="shared" si="237"/>
        <v>1</v>
      </c>
      <c r="N234" s="2">
        <f t="shared" si="237"/>
        <v>1</v>
      </c>
      <c r="O234" s="2">
        <f t="shared" si="237"/>
        <v>1</v>
      </c>
      <c r="P234" s="2">
        <f t="shared" si="237"/>
        <v>1</v>
      </c>
      <c r="Q234" s="2">
        <f t="shared" si="3"/>
        <v>1</v>
      </c>
      <c r="R234" s="2">
        <f>IF(ISERROR(VLOOKUP(A234, 'Project Reference'!A:A, 1, FALSE)), 0, 1)</f>
        <v>1</v>
      </c>
      <c r="S234" s="2">
        <f>IFERROR(__xludf.DUMMYFUNCTION("IF(AND(REGEXMATCH(D234, B234), REGEXMATCH(D234, C234)), 1, 0)
"),1.0)</f>
        <v>1</v>
      </c>
      <c r="T234" s="2">
        <f t="shared" si="4"/>
        <v>1</v>
      </c>
      <c r="U234" s="2">
        <f t="shared" si="5"/>
        <v>1</v>
      </c>
      <c r="V234" s="2">
        <f t="shared" si="6"/>
        <v>1</v>
      </c>
    </row>
    <row r="235" ht="14.25" customHeight="1">
      <c r="A235" s="2" t="s">
        <v>274</v>
      </c>
      <c r="B235" s="2" t="s">
        <v>35</v>
      </c>
      <c r="C235" s="2" t="s">
        <v>13</v>
      </c>
      <c r="D235" s="2" t="s">
        <v>78</v>
      </c>
      <c r="E235" s="6">
        <v>45084.0</v>
      </c>
      <c r="F235" s="6">
        <v>45303.0</v>
      </c>
      <c r="G235" s="7">
        <v>4.90931117E8</v>
      </c>
      <c r="H235" s="2" t="s">
        <v>44</v>
      </c>
      <c r="I235" s="2">
        <f t="shared" ref="I235:P235" si="238">IF(ISBLANK(A235)=TRUE,0,1)</f>
        <v>1</v>
      </c>
      <c r="J235" s="2">
        <f t="shared" si="238"/>
        <v>1</v>
      </c>
      <c r="K235" s="2">
        <f t="shared" si="238"/>
        <v>1</v>
      </c>
      <c r="L235" s="2">
        <f t="shared" si="238"/>
        <v>1</v>
      </c>
      <c r="M235" s="2">
        <f t="shared" si="238"/>
        <v>1</v>
      </c>
      <c r="N235" s="2">
        <f t="shared" si="238"/>
        <v>1</v>
      </c>
      <c r="O235" s="2">
        <f t="shared" si="238"/>
        <v>1</v>
      </c>
      <c r="P235" s="2">
        <f t="shared" si="238"/>
        <v>1</v>
      </c>
      <c r="Q235" s="2">
        <f t="shared" si="3"/>
        <v>1</v>
      </c>
      <c r="R235" s="2">
        <f>IF(ISERROR(VLOOKUP(A235, 'Project Reference'!A:A, 1, FALSE)), 0, 1)</f>
        <v>1</v>
      </c>
      <c r="S235" s="2">
        <f>IFERROR(__xludf.DUMMYFUNCTION("IF(AND(REGEXMATCH(D235, B235), REGEXMATCH(D235, C235)), 1, 0)
"),1.0)</f>
        <v>1</v>
      </c>
      <c r="T235" s="2">
        <f t="shared" si="4"/>
        <v>1</v>
      </c>
      <c r="U235" s="2">
        <f t="shared" si="5"/>
        <v>1</v>
      </c>
      <c r="V235" s="2">
        <f t="shared" si="6"/>
        <v>1</v>
      </c>
    </row>
    <row r="236" ht="14.25" customHeight="1">
      <c r="A236" s="2" t="s">
        <v>275</v>
      </c>
      <c r="B236" s="2" t="s">
        <v>35</v>
      </c>
      <c r="C236" s="2" t="s">
        <v>36</v>
      </c>
      <c r="D236" s="2" t="s">
        <v>37</v>
      </c>
      <c r="E236" s="6">
        <v>45084.0</v>
      </c>
      <c r="F236" s="6">
        <v>45379.0</v>
      </c>
      <c r="G236" s="7">
        <v>3.45656676E8</v>
      </c>
      <c r="H236" s="2" t="s">
        <v>44</v>
      </c>
      <c r="I236" s="2">
        <f t="shared" ref="I236:P236" si="239">IF(ISBLANK(A236)=TRUE,0,1)</f>
        <v>1</v>
      </c>
      <c r="J236" s="2">
        <f t="shared" si="239"/>
        <v>1</v>
      </c>
      <c r="K236" s="2">
        <f t="shared" si="239"/>
        <v>1</v>
      </c>
      <c r="L236" s="2">
        <f t="shared" si="239"/>
        <v>1</v>
      </c>
      <c r="M236" s="2">
        <f t="shared" si="239"/>
        <v>1</v>
      </c>
      <c r="N236" s="2">
        <f t="shared" si="239"/>
        <v>1</v>
      </c>
      <c r="O236" s="2">
        <f t="shared" si="239"/>
        <v>1</v>
      </c>
      <c r="P236" s="2">
        <f t="shared" si="239"/>
        <v>1</v>
      </c>
      <c r="Q236" s="2">
        <f t="shared" si="3"/>
        <v>1</v>
      </c>
      <c r="R236" s="2">
        <f>IF(ISERROR(VLOOKUP(A236, 'Project Reference'!A:A, 1, FALSE)), 0, 1)</f>
        <v>1</v>
      </c>
      <c r="S236" s="2">
        <f>IFERROR(__xludf.DUMMYFUNCTION("IF(AND(REGEXMATCH(D236, B236), REGEXMATCH(D236, C236)), 1, 0)
"),1.0)</f>
        <v>1</v>
      </c>
      <c r="T236" s="2">
        <f t="shared" si="4"/>
        <v>1</v>
      </c>
      <c r="U236" s="2">
        <f t="shared" si="5"/>
        <v>1</v>
      </c>
      <c r="V236" s="2">
        <f t="shared" si="6"/>
        <v>1</v>
      </c>
    </row>
    <row r="237" ht="14.25" customHeight="1">
      <c r="A237" s="2" t="s">
        <v>276</v>
      </c>
      <c r="B237" s="2" t="s">
        <v>60</v>
      </c>
      <c r="C237" s="2" t="s">
        <v>31</v>
      </c>
      <c r="D237" s="8" t="s">
        <v>613</v>
      </c>
      <c r="E237" s="6">
        <v>45088.0</v>
      </c>
      <c r="F237" s="6">
        <v>45402.0</v>
      </c>
      <c r="G237" s="7">
        <v>2.994383941E9</v>
      </c>
      <c r="H237" s="2" t="s">
        <v>67</v>
      </c>
      <c r="I237" s="2">
        <f t="shared" ref="I237:P237" si="240">IF(ISBLANK(A237)=TRUE,0,1)</f>
        <v>1</v>
      </c>
      <c r="J237" s="2">
        <f t="shared" si="240"/>
        <v>1</v>
      </c>
      <c r="K237" s="2">
        <f t="shared" si="240"/>
        <v>1</v>
      </c>
      <c r="L237" s="2">
        <f t="shared" si="240"/>
        <v>1</v>
      </c>
      <c r="M237" s="2">
        <f t="shared" si="240"/>
        <v>1</v>
      </c>
      <c r="N237" s="2">
        <f t="shared" si="240"/>
        <v>1</v>
      </c>
      <c r="O237" s="2">
        <f t="shared" si="240"/>
        <v>1</v>
      </c>
      <c r="P237" s="2">
        <f t="shared" si="240"/>
        <v>1</v>
      </c>
      <c r="Q237" s="2">
        <f t="shared" si="3"/>
        <v>1</v>
      </c>
      <c r="R237" s="2">
        <f>IF(ISERROR(VLOOKUP(A237, 'Project Reference'!A:A, 1, FALSE)), 0, 1)</f>
        <v>1</v>
      </c>
      <c r="S237" s="2">
        <f>IFERROR(__xludf.DUMMYFUNCTION("IF(AND(REGEXMATCH(D237, B237), REGEXMATCH(D237, C237)), 1, 0)
"),1.0)</f>
        <v>1</v>
      </c>
      <c r="T237" s="2">
        <f t="shared" si="4"/>
        <v>1</v>
      </c>
      <c r="U237" s="2">
        <f t="shared" si="5"/>
        <v>1</v>
      </c>
      <c r="V237" s="2">
        <f t="shared" si="6"/>
        <v>1</v>
      </c>
    </row>
    <row r="238" ht="14.25" customHeight="1">
      <c r="A238" s="2" t="s">
        <v>277</v>
      </c>
      <c r="B238" s="2" t="s">
        <v>18</v>
      </c>
      <c r="C238" s="2" t="s">
        <v>39</v>
      </c>
      <c r="D238" s="8" t="s">
        <v>577</v>
      </c>
      <c r="E238" s="6">
        <v>45088.0</v>
      </c>
      <c r="F238" s="6">
        <v>45259.0</v>
      </c>
      <c r="G238" s="7">
        <v>6.364217108E9</v>
      </c>
      <c r="H238" s="2" t="s">
        <v>50</v>
      </c>
      <c r="I238" s="2">
        <f t="shared" ref="I238:P238" si="241">IF(ISBLANK(A238)=TRUE,0,1)</f>
        <v>1</v>
      </c>
      <c r="J238" s="2">
        <f t="shared" si="241"/>
        <v>1</v>
      </c>
      <c r="K238" s="2">
        <f t="shared" si="241"/>
        <v>1</v>
      </c>
      <c r="L238" s="2">
        <f t="shared" si="241"/>
        <v>1</v>
      </c>
      <c r="M238" s="2">
        <f t="shared" si="241"/>
        <v>1</v>
      </c>
      <c r="N238" s="2">
        <f t="shared" si="241"/>
        <v>1</v>
      </c>
      <c r="O238" s="2">
        <f t="shared" si="241"/>
        <v>1</v>
      </c>
      <c r="P238" s="2">
        <f t="shared" si="241"/>
        <v>1</v>
      </c>
      <c r="Q238" s="2">
        <f t="shared" si="3"/>
        <v>1</v>
      </c>
      <c r="R238" s="2">
        <f>IF(ISERROR(VLOOKUP(A238, 'Project Reference'!A:A, 1, FALSE)), 0, 1)</f>
        <v>1</v>
      </c>
      <c r="S238" s="2">
        <f>IFERROR(__xludf.DUMMYFUNCTION("IF(AND(REGEXMATCH(D238, B238), REGEXMATCH(D238, C238)), 1, 0)
"),1.0)</f>
        <v>1</v>
      </c>
      <c r="T238" s="2">
        <f t="shared" si="4"/>
        <v>1</v>
      </c>
      <c r="U238" s="2">
        <f t="shared" si="5"/>
        <v>1</v>
      </c>
      <c r="V238" s="2">
        <f t="shared" si="6"/>
        <v>1</v>
      </c>
    </row>
    <row r="239" ht="14.25" customHeight="1">
      <c r="A239" s="2" t="s">
        <v>278</v>
      </c>
      <c r="B239" s="2" t="s">
        <v>30</v>
      </c>
      <c r="C239" s="2" t="s">
        <v>31</v>
      </c>
      <c r="D239" s="8" t="s">
        <v>585</v>
      </c>
      <c r="E239" s="6">
        <v>45090.0</v>
      </c>
      <c r="F239" s="6">
        <v>45168.0</v>
      </c>
      <c r="G239" s="7">
        <v>3.757150419E9</v>
      </c>
      <c r="H239" s="2" t="s">
        <v>21</v>
      </c>
      <c r="I239" s="2">
        <f t="shared" ref="I239:P239" si="242">IF(ISBLANK(A239)=TRUE,0,1)</f>
        <v>1</v>
      </c>
      <c r="J239" s="2">
        <f t="shared" si="242"/>
        <v>1</v>
      </c>
      <c r="K239" s="2">
        <f t="shared" si="242"/>
        <v>1</v>
      </c>
      <c r="L239" s="2">
        <f t="shared" si="242"/>
        <v>1</v>
      </c>
      <c r="M239" s="2">
        <f t="shared" si="242"/>
        <v>1</v>
      </c>
      <c r="N239" s="2">
        <f t="shared" si="242"/>
        <v>1</v>
      </c>
      <c r="O239" s="2">
        <f t="shared" si="242"/>
        <v>1</v>
      </c>
      <c r="P239" s="2">
        <f t="shared" si="242"/>
        <v>1</v>
      </c>
      <c r="Q239" s="2">
        <f t="shared" si="3"/>
        <v>1</v>
      </c>
      <c r="R239" s="2">
        <f>IF(ISERROR(VLOOKUP(A239, 'Project Reference'!A:A, 1, FALSE)), 0, 1)</f>
        <v>1</v>
      </c>
      <c r="S239" s="2">
        <f>IFERROR(__xludf.DUMMYFUNCTION("IF(AND(REGEXMATCH(D239, B239), REGEXMATCH(D239, C239)), 1, 0)
"),1.0)</f>
        <v>1</v>
      </c>
      <c r="T239" s="2">
        <f t="shared" si="4"/>
        <v>1</v>
      </c>
      <c r="U239" s="2">
        <f t="shared" si="5"/>
        <v>1</v>
      </c>
      <c r="V239" s="2">
        <f t="shared" si="6"/>
        <v>1</v>
      </c>
    </row>
    <row r="240" ht="14.25" customHeight="1">
      <c r="A240" s="2" t="s">
        <v>279</v>
      </c>
      <c r="B240" s="2" t="s">
        <v>30</v>
      </c>
      <c r="C240" s="2" t="s">
        <v>42</v>
      </c>
      <c r="D240" s="8" t="s">
        <v>632</v>
      </c>
      <c r="E240" s="6">
        <v>45090.0</v>
      </c>
      <c r="F240" s="6">
        <v>45220.0</v>
      </c>
      <c r="G240" s="7">
        <v>4.655083177E9</v>
      </c>
      <c r="H240" s="2" t="s">
        <v>67</v>
      </c>
      <c r="I240" s="2">
        <f t="shared" ref="I240:P240" si="243">IF(ISBLANK(A240)=TRUE,0,1)</f>
        <v>1</v>
      </c>
      <c r="J240" s="2">
        <f t="shared" si="243"/>
        <v>1</v>
      </c>
      <c r="K240" s="2">
        <f t="shared" si="243"/>
        <v>1</v>
      </c>
      <c r="L240" s="2">
        <f t="shared" si="243"/>
        <v>1</v>
      </c>
      <c r="M240" s="2">
        <f t="shared" si="243"/>
        <v>1</v>
      </c>
      <c r="N240" s="2">
        <f t="shared" si="243"/>
        <v>1</v>
      </c>
      <c r="O240" s="2">
        <f t="shared" si="243"/>
        <v>1</v>
      </c>
      <c r="P240" s="2">
        <f t="shared" si="243"/>
        <v>1</v>
      </c>
      <c r="Q240" s="2">
        <f t="shared" si="3"/>
        <v>1</v>
      </c>
      <c r="R240" s="2">
        <f>IF(ISERROR(VLOOKUP(A240, 'Project Reference'!A:A, 1, FALSE)), 0, 1)</f>
        <v>1</v>
      </c>
      <c r="S240" s="2">
        <f>IFERROR(__xludf.DUMMYFUNCTION("IF(AND(REGEXMATCH(D240, B240), REGEXMATCH(D240, C240)), 1, 0)
"),1.0)</f>
        <v>1</v>
      </c>
      <c r="T240" s="2">
        <f t="shared" si="4"/>
        <v>1</v>
      </c>
      <c r="U240" s="2">
        <f t="shared" si="5"/>
        <v>1</v>
      </c>
      <c r="V240" s="2">
        <f t="shared" si="6"/>
        <v>1</v>
      </c>
    </row>
    <row r="241" ht="14.25" customHeight="1">
      <c r="A241" s="2" t="s">
        <v>281</v>
      </c>
      <c r="B241" s="2" t="s">
        <v>30</v>
      </c>
      <c r="C241" s="2" t="s">
        <v>36</v>
      </c>
      <c r="D241" s="8" t="s">
        <v>639</v>
      </c>
      <c r="E241" s="6">
        <v>45093.0</v>
      </c>
      <c r="F241" s="6">
        <v>45425.0</v>
      </c>
      <c r="G241" s="7">
        <v>7.65288058E8</v>
      </c>
      <c r="H241" s="2" t="s">
        <v>44</v>
      </c>
      <c r="I241" s="2">
        <f t="shared" ref="I241:P241" si="244">IF(ISBLANK(A241)=TRUE,0,1)</f>
        <v>1</v>
      </c>
      <c r="J241" s="2">
        <f t="shared" si="244"/>
        <v>1</v>
      </c>
      <c r="K241" s="2">
        <f t="shared" si="244"/>
        <v>1</v>
      </c>
      <c r="L241" s="2">
        <f t="shared" si="244"/>
        <v>1</v>
      </c>
      <c r="M241" s="2">
        <f t="shared" si="244"/>
        <v>1</v>
      </c>
      <c r="N241" s="2">
        <f t="shared" si="244"/>
        <v>1</v>
      </c>
      <c r="O241" s="2">
        <f t="shared" si="244"/>
        <v>1</v>
      </c>
      <c r="P241" s="2">
        <f t="shared" si="244"/>
        <v>1</v>
      </c>
      <c r="Q241" s="2">
        <f t="shared" si="3"/>
        <v>1</v>
      </c>
      <c r="R241" s="2">
        <f>IF(ISERROR(VLOOKUP(A241, 'Project Reference'!A:A, 1, FALSE)), 0, 1)</f>
        <v>1</v>
      </c>
      <c r="S241" s="2">
        <f>IFERROR(__xludf.DUMMYFUNCTION("IF(AND(REGEXMATCH(D241, B241), REGEXMATCH(D241, C241)), 1, 0)
"),1.0)</f>
        <v>1</v>
      </c>
      <c r="T241" s="2">
        <f t="shared" si="4"/>
        <v>1</v>
      </c>
      <c r="U241" s="2">
        <f t="shared" si="5"/>
        <v>1</v>
      </c>
      <c r="V241" s="2">
        <f t="shared" si="6"/>
        <v>1</v>
      </c>
    </row>
    <row r="242" ht="14.25" customHeight="1">
      <c r="A242" s="2" t="s">
        <v>282</v>
      </c>
      <c r="B242" s="2" t="s">
        <v>12</v>
      </c>
      <c r="C242" s="2" t="s">
        <v>24</v>
      </c>
      <c r="D242" s="8" t="s">
        <v>610</v>
      </c>
      <c r="E242" s="6">
        <v>45093.0</v>
      </c>
      <c r="F242" s="6">
        <v>45337.0</v>
      </c>
      <c r="G242" s="7">
        <v>9.96933795E8</v>
      </c>
      <c r="H242" s="2" t="s">
        <v>50</v>
      </c>
      <c r="I242" s="2">
        <f t="shared" ref="I242:P242" si="245">IF(ISBLANK(A242)=TRUE,0,1)</f>
        <v>1</v>
      </c>
      <c r="J242" s="2">
        <f t="shared" si="245"/>
        <v>1</v>
      </c>
      <c r="K242" s="2">
        <f t="shared" si="245"/>
        <v>1</v>
      </c>
      <c r="L242" s="2">
        <f t="shared" si="245"/>
        <v>1</v>
      </c>
      <c r="M242" s="2">
        <f t="shared" si="245"/>
        <v>1</v>
      </c>
      <c r="N242" s="2">
        <f t="shared" si="245"/>
        <v>1</v>
      </c>
      <c r="O242" s="2">
        <f t="shared" si="245"/>
        <v>1</v>
      </c>
      <c r="P242" s="2">
        <f t="shared" si="245"/>
        <v>1</v>
      </c>
      <c r="Q242" s="2">
        <f t="shared" si="3"/>
        <v>1</v>
      </c>
      <c r="R242" s="2">
        <f>IF(ISERROR(VLOOKUP(A242, 'Project Reference'!A:A, 1, FALSE)), 0, 1)</f>
        <v>1</v>
      </c>
      <c r="S242" s="2">
        <f>IFERROR(__xludf.DUMMYFUNCTION("IF(AND(REGEXMATCH(D242, B242), REGEXMATCH(D242, C242)), 1, 0)
"),1.0)</f>
        <v>1</v>
      </c>
      <c r="T242" s="2">
        <f t="shared" si="4"/>
        <v>1</v>
      </c>
      <c r="U242" s="2">
        <f t="shared" si="5"/>
        <v>1</v>
      </c>
      <c r="V242" s="2">
        <f t="shared" si="6"/>
        <v>1</v>
      </c>
    </row>
    <row r="243" ht="14.25" customHeight="1">
      <c r="A243" s="2" t="s">
        <v>283</v>
      </c>
      <c r="B243" s="2" t="s">
        <v>18</v>
      </c>
      <c r="C243" s="2" t="s">
        <v>39</v>
      </c>
      <c r="D243" s="8" t="s">
        <v>577</v>
      </c>
      <c r="E243" s="6">
        <v>45093.0</v>
      </c>
      <c r="F243" s="6">
        <v>45280.0</v>
      </c>
      <c r="G243" s="7">
        <v>6.355661362E9</v>
      </c>
      <c r="H243" s="22"/>
      <c r="I243" s="2">
        <f t="shared" ref="I243:P243" si="246">IF(ISBLANK(A243)=TRUE,0,1)</f>
        <v>1</v>
      </c>
      <c r="J243" s="2">
        <f t="shared" si="246"/>
        <v>1</v>
      </c>
      <c r="K243" s="2">
        <f t="shared" si="246"/>
        <v>1</v>
      </c>
      <c r="L243" s="2">
        <f t="shared" si="246"/>
        <v>1</v>
      </c>
      <c r="M243" s="2">
        <f t="shared" si="246"/>
        <v>1</v>
      </c>
      <c r="N243" s="2">
        <f t="shared" si="246"/>
        <v>1</v>
      </c>
      <c r="O243" s="2">
        <f t="shared" si="246"/>
        <v>1</v>
      </c>
      <c r="P243" s="2">
        <f t="shared" si="246"/>
        <v>0</v>
      </c>
      <c r="Q243" s="2">
        <f t="shared" si="3"/>
        <v>1</v>
      </c>
      <c r="R243" s="2">
        <f>IF(ISERROR(VLOOKUP(A243, 'Project Reference'!A:A, 1, FALSE)), 0, 1)</f>
        <v>1</v>
      </c>
      <c r="S243" s="2">
        <f>IFERROR(__xludf.DUMMYFUNCTION("IF(AND(REGEXMATCH(D243, B243), REGEXMATCH(D243, C243)), 1, 0)
"),1.0)</f>
        <v>1</v>
      </c>
      <c r="T243" s="2">
        <f t="shared" si="4"/>
        <v>1</v>
      </c>
      <c r="U243" s="2">
        <f t="shared" si="5"/>
        <v>1</v>
      </c>
      <c r="V243" s="2">
        <f t="shared" si="6"/>
        <v>1</v>
      </c>
    </row>
    <row r="244" ht="14.25" customHeight="1">
      <c r="A244" s="2" t="s">
        <v>284</v>
      </c>
      <c r="B244" s="2" t="s">
        <v>30</v>
      </c>
      <c r="C244" s="2" t="s">
        <v>31</v>
      </c>
      <c r="D244" s="8" t="s">
        <v>595</v>
      </c>
      <c r="E244" s="6">
        <v>45093.0</v>
      </c>
      <c r="F244" s="6">
        <v>45383.0</v>
      </c>
      <c r="G244" s="7">
        <v>6.951220052E9</v>
      </c>
      <c r="H244" s="2" t="s">
        <v>44</v>
      </c>
      <c r="I244" s="2">
        <f t="shared" ref="I244:P244" si="247">IF(ISBLANK(A244)=TRUE,0,1)</f>
        <v>1</v>
      </c>
      <c r="J244" s="2">
        <f t="shared" si="247"/>
        <v>1</v>
      </c>
      <c r="K244" s="2">
        <f t="shared" si="247"/>
        <v>1</v>
      </c>
      <c r="L244" s="2">
        <f t="shared" si="247"/>
        <v>1</v>
      </c>
      <c r="M244" s="2">
        <f t="shared" si="247"/>
        <v>1</v>
      </c>
      <c r="N244" s="2">
        <f t="shared" si="247"/>
        <v>1</v>
      </c>
      <c r="O244" s="2">
        <f t="shared" si="247"/>
        <v>1</v>
      </c>
      <c r="P244" s="2">
        <f t="shared" si="247"/>
        <v>1</v>
      </c>
      <c r="Q244" s="2">
        <f t="shared" si="3"/>
        <v>1</v>
      </c>
      <c r="R244" s="2">
        <f>IF(ISERROR(VLOOKUP(A244, 'Project Reference'!A:A, 1, FALSE)), 0, 1)</f>
        <v>1</v>
      </c>
      <c r="S244" s="2">
        <f>IFERROR(__xludf.DUMMYFUNCTION("IF(AND(REGEXMATCH(D244, B244), REGEXMATCH(D244, C244)), 1, 0)
"),1.0)</f>
        <v>1</v>
      </c>
      <c r="T244" s="2">
        <f t="shared" si="4"/>
        <v>1</v>
      </c>
      <c r="U244" s="2">
        <f t="shared" si="5"/>
        <v>1</v>
      </c>
      <c r="V244" s="2">
        <f t="shared" si="6"/>
        <v>1</v>
      </c>
    </row>
    <row r="245" ht="14.25" customHeight="1">
      <c r="A245" s="2" t="s">
        <v>285</v>
      </c>
      <c r="B245" s="2" t="s">
        <v>35</v>
      </c>
      <c r="C245" s="2" t="s">
        <v>36</v>
      </c>
      <c r="D245" s="2" t="s">
        <v>37</v>
      </c>
      <c r="E245" s="6">
        <v>45095.0</v>
      </c>
      <c r="F245" s="6">
        <v>45423.0</v>
      </c>
      <c r="G245" s="7">
        <v>2.57229348E8</v>
      </c>
      <c r="H245" s="22"/>
      <c r="I245" s="2">
        <f t="shared" ref="I245:P245" si="248">IF(ISBLANK(A245)=TRUE,0,1)</f>
        <v>1</v>
      </c>
      <c r="J245" s="2">
        <f t="shared" si="248"/>
        <v>1</v>
      </c>
      <c r="K245" s="2">
        <f t="shared" si="248"/>
        <v>1</v>
      </c>
      <c r="L245" s="2">
        <f t="shared" si="248"/>
        <v>1</v>
      </c>
      <c r="M245" s="2">
        <f t="shared" si="248"/>
        <v>1</v>
      </c>
      <c r="N245" s="2">
        <f t="shared" si="248"/>
        <v>1</v>
      </c>
      <c r="O245" s="2">
        <f t="shared" si="248"/>
        <v>1</v>
      </c>
      <c r="P245" s="2">
        <f t="shared" si="248"/>
        <v>0</v>
      </c>
      <c r="Q245" s="2">
        <f t="shared" si="3"/>
        <v>1</v>
      </c>
      <c r="R245" s="2">
        <f>IF(ISERROR(VLOOKUP(A245, 'Project Reference'!A:A, 1, FALSE)), 0, 1)</f>
        <v>1</v>
      </c>
      <c r="S245" s="2">
        <f>IFERROR(__xludf.DUMMYFUNCTION("IF(AND(REGEXMATCH(D245, B245), REGEXMATCH(D245, C245)), 1, 0)
"),1.0)</f>
        <v>1</v>
      </c>
      <c r="T245" s="2">
        <f t="shared" si="4"/>
        <v>1</v>
      </c>
      <c r="U245" s="2">
        <f t="shared" si="5"/>
        <v>1</v>
      </c>
      <c r="V245" s="2">
        <f t="shared" si="6"/>
        <v>1</v>
      </c>
    </row>
    <row r="246" ht="14.25" customHeight="1">
      <c r="A246" s="2" t="s">
        <v>286</v>
      </c>
      <c r="B246" s="2" t="s">
        <v>18</v>
      </c>
      <c r="C246" s="2" t="s">
        <v>42</v>
      </c>
      <c r="D246" s="8" t="s">
        <v>621</v>
      </c>
      <c r="E246" s="6">
        <v>45096.0</v>
      </c>
      <c r="F246" s="6">
        <v>45428.0</v>
      </c>
      <c r="G246" s="7">
        <v>1.258024298E9</v>
      </c>
      <c r="H246" s="8" t="s">
        <v>573</v>
      </c>
      <c r="I246" s="2">
        <f t="shared" ref="I246:P246" si="249">IF(ISBLANK(A246)=TRUE,0,1)</f>
        <v>1</v>
      </c>
      <c r="J246" s="2">
        <f t="shared" si="249"/>
        <v>1</v>
      </c>
      <c r="K246" s="2">
        <f t="shared" si="249"/>
        <v>1</v>
      </c>
      <c r="L246" s="2">
        <f t="shared" si="249"/>
        <v>1</v>
      </c>
      <c r="M246" s="2">
        <f t="shared" si="249"/>
        <v>1</v>
      </c>
      <c r="N246" s="2">
        <f t="shared" si="249"/>
        <v>1</v>
      </c>
      <c r="O246" s="2">
        <f t="shared" si="249"/>
        <v>1</v>
      </c>
      <c r="P246" s="2">
        <f t="shared" si="249"/>
        <v>1</v>
      </c>
      <c r="Q246" s="2">
        <f t="shared" si="3"/>
        <v>1</v>
      </c>
      <c r="R246" s="2">
        <f>IF(ISERROR(VLOOKUP(A246, 'Project Reference'!A:A, 1, FALSE)), 0, 1)</f>
        <v>1</v>
      </c>
      <c r="S246" s="2">
        <f>IFERROR(__xludf.DUMMYFUNCTION("IF(AND(REGEXMATCH(D246, B246), REGEXMATCH(D246, C246)), 1, 0)
"),1.0)</f>
        <v>1</v>
      </c>
      <c r="T246" s="2">
        <f t="shared" si="4"/>
        <v>1</v>
      </c>
      <c r="U246" s="2">
        <f t="shared" si="5"/>
        <v>1</v>
      </c>
      <c r="V246" s="2">
        <f t="shared" si="6"/>
        <v>1</v>
      </c>
    </row>
    <row r="247" ht="14.25" customHeight="1">
      <c r="A247" s="2" t="s">
        <v>287</v>
      </c>
      <c r="B247" s="2" t="s">
        <v>35</v>
      </c>
      <c r="C247" s="2" t="s">
        <v>19</v>
      </c>
      <c r="D247" s="2" t="s">
        <v>97</v>
      </c>
      <c r="E247" s="6">
        <v>45096.0</v>
      </c>
      <c r="F247" s="6">
        <v>45199.0</v>
      </c>
      <c r="G247" s="7">
        <v>3.75761303E8</v>
      </c>
      <c r="H247" s="2" t="s">
        <v>21</v>
      </c>
      <c r="I247" s="2">
        <f t="shared" ref="I247:P247" si="250">IF(ISBLANK(A247)=TRUE,0,1)</f>
        <v>1</v>
      </c>
      <c r="J247" s="2">
        <f t="shared" si="250"/>
        <v>1</v>
      </c>
      <c r="K247" s="2">
        <f t="shared" si="250"/>
        <v>1</v>
      </c>
      <c r="L247" s="2">
        <f t="shared" si="250"/>
        <v>1</v>
      </c>
      <c r="M247" s="2">
        <f t="shared" si="250"/>
        <v>1</v>
      </c>
      <c r="N247" s="2">
        <f t="shared" si="250"/>
        <v>1</v>
      </c>
      <c r="O247" s="2">
        <f t="shared" si="250"/>
        <v>1</v>
      </c>
      <c r="P247" s="2">
        <f t="shared" si="250"/>
        <v>1</v>
      </c>
      <c r="Q247" s="2">
        <f t="shared" si="3"/>
        <v>1</v>
      </c>
      <c r="R247" s="2">
        <f>IF(ISERROR(VLOOKUP(A247, 'Project Reference'!A:A, 1, FALSE)), 0, 1)</f>
        <v>1</v>
      </c>
      <c r="S247" s="2">
        <f>IFERROR(__xludf.DUMMYFUNCTION("IF(AND(REGEXMATCH(D247, B247), REGEXMATCH(D247, C247)), 1, 0)
"),1.0)</f>
        <v>1</v>
      </c>
      <c r="T247" s="2">
        <f t="shared" si="4"/>
        <v>1</v>
      </c>
      <c r="U247" s="2">
        <f t="shared" si="5"/>
        <v>1</v>
      </c>
      <c r="V247" s="2">
        <f t="shared" si="6"/>
        <v>1</v>
      </c>
    </row>
    <row r="248" ht="14.25" customHeight="1">
      <c r="A248" s="2" t="s">
        <v>288</v>
      </c>
      <c r="B248" s="2" t="s">
        <v>18</v>
      </c>
      <c r="C248" s="2" t="s">
        <v>24</v>
      </c>
      <c r="D248" s="8" t="s">
        <v>618</v>
      </c>
      <c r="E248" s="6">
        <v>45097.0</v>
      </c>
      <c r="F248" s="6">
        <v>45129.0</v>
      </c>
      <c r="G248" s="7">
        <v>6.540978129E9</v>
      </c>
      <c r="H248" s="2" t="s">
        <v>50</v>
      </c>
      <c r="I248" s="2">
        <f t="shared" ref="I248:P248" si="251">IF(ISBLANK(A248)=TRUE,0,1)</f>
        <v>1</v>
      </c>
      <c r="J248" s="2">
        <f t="shared" si="251"/>
        <v>1</v>
      </c>
      <c r="K248" s="2">
        <f t="shared" si="251"/>
        <v>1</v>
      </c>
      <c r="L248" s="2">
        <f t="shared" si="251"/>
        <v>1</v>
      </c>
      <c r="M248" s="2">
        <f t="shared" si="251"/>
        <v>1</v>
      </c>
      <c r="N248" s="2">
        <f t="shared" si="251"/>
        <v>1</v>
      </c>
      <c r="O248" s="2">
        <f t="shared" si="251"/>
        <v>1</v>
      </c>
      <c r="P248" s="2">
        <f t="shared" si="251"/>
        <v>1</v>
      </c>
      <c r="Q248" s="2">
        <f t="shared" si="3"/>
        <v>1</v>
      </c>
      <c r="R248" s="2">
        <f>IF(ISERROR(VLOOKUP(A248, 'Project Reference'!A:A, 1, FALSE)), 0, 1)</f>
        <v>1</v>
      </c>
      <c r="S248" s="2">
        <f>IFERROR(__xludf.DUMMYFUNCTION("IF(AND(REGEXMATCH(D248, B248), REGEXMATCH(D248, C248)), 1, 0)
"),1.0)</f>
        <v>1</v>
      </c>
      <c r="T248" s="2">
        <f t="shared" si="4"/>
        <v>1</v>
      </c>
      <c r="U248" s="2">
        <f t="shared" si="5"/>
        <v>1</v>
      </c>
      <c r="V248" s="2">
        <f t="shared" si="6"/>
        <v>1</v>
      </c>
    </row>
    <row r="249" ht="14.25" customHeight="1">
      <c r="A249" s="2" t="s">
        <v>289</v>
      </c>
      <c r="B249" s="2" t="s">
        <v>35</v>
      </c>
      <c r="C249" s="2" t="s">
        <v>39</v>
      </c>
      <c r="D249" s="2" t="s">
        <v>145</v>
      </c>
      <c r="E249" s="6">
        <v>45098.0</v>
      </c>
      <c r="F249" s="6">
        <v>45142.0</v>
      </c>
      <c r="G249" s="7">
        <v>3.42017973E8</v>
      </c>
      <c r="H249" s="8" t="s">
        <v>581</v>
      </c>
      <c r="I249" s="2">
        <f t="shared" ref="I249:P249" si="252">IF(ISBLANK(A249)=TRUE,0,1)</f>
        <v>1</v>
      </c>
      <c r="J249" s="2">
        <f t="shared" si="252"/>
        <v>1</v>
      </c>
      <c r="K249" s="2">
        <f t="shared" si="252"/>
        <v>1</v>
      </c>
      <c r="L249" s="2">
        <f t="shared" si="252"/>
        <v>1</v>
      </c>
      <c r="M249" s="2">
        <f t="shared" si="252"/>
        <v>1</v>
      </c>
      <c r="N249" s="2">
        <f t="shared" si="252"/>
        <v>1</v>
      </c>
      <c r="O249" s="2">
        <f t="shared" si="252"/>
        <v>1</v>
      </c>
      <c r="P249" s="2">
        <f t="shared" si="252"/>
        <v>1</v>
      </c>
      <c r="Q249" s="2">
        <f t="shared" si="3"/>
        <v>1</v>
      </c>
      <c r="R249" s="2">
        <f>IF(ISERROR(VLOOKUP(A249, 'Project Reference'!A:A, 1, FALSE)), 0, 1)</f>
        <v>1</v>
      </c>
      <c r="S249" s="2">
        <f>IFERROR(__xludf.DUMMYFUNCTION("IF(AND(REGEXMATCH(D249, B249), REGEXMATCH(D249, C249)), 1, 0)
"),1.0)</f>
        <v>1</v>
      </c>
      <c r="T249" s="2">
        <f t="shared" si="4"/>
        <v>1</v>
      </c>
      <c r="U249" s="2">
        <f t="shared" si="5"/>
        <v>1</v>
      </c>
      <c r="V249" s="2">
        <f t="shared" si="6"/>
        <v>1</v>
      </c>
    </row>
    <row r="250" ht="14.25" customHeight="1">
      <c r="A250" s="2" t="s">
        <v>290</v>
      </c>
      <c r="B250" s="2" t="s">
        <v>30</v>
      </c>
      <c r="C250" s="2" t="s">
        <v>31</v>
      </c>
      <c r="D250" s="8" t="s">
        <v>585</v>
      </c>
      <c r="E250" s="6">
        <v>45098.0</v>
      </c>
      <c r="F250" s="6">
        <v>45292.0</v>
      </c>
      <c r="G250" s="7">
        <v>4.806164886E9</v>
      </c>
      <c r="H250" s="8" t="s">
        <v>581</v>
      </c>
      <c r="I250" s="2">
        <f t="shared" ref="I250:P250" si="253">IF(ISBLANK(A250)=TRUE,0,1)</f>
        <v>1</v>
      </c>
      <c r="J250" s="2">
        <f t="shared" si="253"/>
        <v>1</v>
      </c>
      <c r="K250" s="2">
        <f t="shared" si="253"/>
        <v>1</v>
      </c>
      <c r="L250" s="2">
        <f t="shared" si="253"/>
        <v>1</v>
      </c>
      <c r="M250" s="2">
        <f t="shared" si="253"/>
        <v>1</v>
      </c>
      <c r="N250" s="2">
        <f t="shared" si="253"/>
        <v>1</v>
      </c>
      <c r="O250" s="2">
        <f t="shared" si="253"/>
        <v>1</v>
      </c>
      <c r="P250" s="2">
        <f t="shared" si="253"/>
        <v>1</v>
      </c>
      <c r="Q250" s="2">
        <f t="shared" si="3"/>
        <v>1</v>
      </c>
      <c r="R250" s="2">
        <f>IF(ISERROR(VLOOKUP(A250, 'Project Reference'!A:A, 1, FALSE)), 0, 1)</f>
        <v>1</v>
      </c>
      <c r="S250" s="2">
        <f>IFERROR(__xludf.DUMMYFUNCTION("IF(AND(REGEXMATCH(D250, B250), REGEXMATCH(D250, C250)), 1, 0)
"),1.0)</f>
        <v>1</v>
      </c>
      <c r="T250" s="2">
        <f t="shared" si="4"/>
        <v>1</v>
      </c>
      <c r="U250" s="2">
        <f t="shared" si="5"/>
        <v>1</v>
      </c>
      <c r="V250" s="2">
        <f t="shared" si="6"/>
        <v>1</v>
      </c>
    </row>
    <row r="251" ht="14.25" customHeight="1">
      <c r="A251" s="2" t="s">
        <v>291</v>
      </c>
      <c r="B251" s="2" t="s">
        <v>18</v>
      </c>
      <c r="C251" s="2" t="s">
        <v>36</v>
      </c>
      <c r="D251" s="8" t="s">
        <v>634</v>
      </c>
      <c r="E251" s="6">
        <v>45099.0</v>
      </c>
      <c r="F251" s="6">
        <v>45385.0</v>
      </c>
      <c r="G251" s="7">
        <v>9.209856007E9</v>
      </c>
      <c r="H251" s="2" t="s">
        <v>21</v>
      </c>
      <c r="I251" s="2">
        <f t="shared" ref="I251:P251" si="254">IF(ISBLANK(A251)=TRUE,0,1)</f>
        <v>1</v>
      </c>
      <c r="J251" s="2">
        <f t="shared" si="254"/>
        <v>1</v>
      </c>
      <c r="K251" s="2">
        <f t="shared" si="254"/>
        <v>1</v>
      </c>
      <c r="L251" s="2">
        <f t="shared" si="254"/>
        <v>1</v>
      </c>
      <c r="M251" s="2">
        <f t="shared" si="254"/>
        <v>1</v>
      </c>
      <c r="N251" s="2">
        <f t="shared" si="254"/>
        <v>1</v>
      </c>
      <c r="O251" s="2">
        <f t="shared" si="254"/>
        <v>1</v>
      </c>
      <c r="P251" s="2">
        <f t="shared" si="254"/>
        <v>1</v>
      </c>
      <c r="Q251" s="2">
        <f t="shared" si="3"/>
        <v>1</v>
      </c>
      <c r="R251" s="2">
        <f>IF(ISERROR(VLOOKUP(A251, 'Project Reference'!A:A, 1, FALSE)), 0, 1)</f>
        <v>1</v>
      </c>
      <c r="S251" s="2">
        <f>IFERROR(__xludf.DUMMYFUNCTION("IF(AND(REGEXMATCH(D251, B251), REGEXMATCH(D251, C251)), 1, 0)
"),1.0)</f>
        <v>1</v>
      </c>
      <c r="T251" s="2">
        <f t="shared" si="4"/>
        <v>1</v>
      </c>
      <c r="U251" s="2">
        <f t="shared" si="5"/>
        <v>1</v>
      </c>
      <c r="V251" s="2">
        <f t="shared" si="6"/>
        <v>1</v>
      </c>
    </row>
    <row r="252" ht="14.25" customHeight="1">
      <c r="A252" s="2" t="s">
        <v>292</v>
      </c>
      <c r="B252" s="2" t="s">
        <v>35</v>
      </c>
      <c r="C252" s="2" t="s">
        <v>19</v>
      </c>
      <c r="D252" s="2" t="s">
        <v>97</v>
      </c>
      <c r="E252" s="6">
        <v>45099.0</v>
      </c>
      <c r="F252" s="6">
        <v>45154.0</v>
      </c>
      <c r="G252" s="7">
        <v>2.69400319E8</v>
      </c>
      <c r="H252" s="2" t="s">
        <v>44</v>
      </c>
      <c r="I252" s="2">
        <f t="shared" ref="I252:P252" si="255">IF(ISBLANK(A252)=TRUE,0,1)</f>
        <v>1</v>
      </c>
      <c r="J252" s="2">
        <f t="shared" si="255"/>
        <v>1</v>
      </c>
      <c r="K252" s="2">
        <f t="shared" si="255"/>
        <v>1</v>
      </c>
      <c r="L252" s="2">
        <f t="shared" si="255"/>
        <v>1</v>
      </c>
      <c r="M252" s="2">
        <f t="shared" si="255"/>
        <v>1</v>
      </c>
      <c r="N252" s="2">
        <f t="shared" si="255"/>
        <v>1</v>
      </c>
      <c r="O252" s="2">
        <f t="shared" si="255"/>
        <v>1</v>
      </c>
      <c r="P252" s="2">
        <f t="shared" si="255"/>
        <v>1</v>
      </c>
      <c r="Q252" s="2">
        <f t="shared" si="3"/>
        <v>1</v>
      </c>
      <c r="R252" s="2">
        <f>IF(ISERROR(VLOOKUP(A252, 'Project Reference'!A:A, 1, FALSE)), 0, 1)</f>
        <v>1</v>
      </c>
      <c r="S252" s="2">
        <f>IFERROR(__xludf.DUMMYFUNCTION("IF(AND(REGEXMATCH(D252, B252), REGEXMATCH(D252, C252)), 1, 0)
"),1.0)</f>
        <v>1</v>
      </c>
      <c r="T252" s="2">
        <f t="shared" si="4"/>
        <v>1</v>
      </c>
      <c r="U252" s="2">
        <f t="shared" si="5"/>
        <v>1</v>
      </c>
      <c r="V252" s="2">
        <f t="shared" si="6"/>
        <v>1</v>
      </c>
    </row>
    <row r="253" ht="14.25" customHeight="1">
      <c r="A253" s="2" t="s">
        <v>293</v>
      </c>
      <c r="B253" s="2" t="s">
        <v>18</v>
      </c>
      <c r="C253" s="2" t="s">
        <v>13</v>
      </c>
      <c r="D253" s="8" t="s">
        <v>580</v>
      </c>
      <c r="E253" s="6">
        <v>45099.0</v>
      </c>
      <c r="F253" s="6">
        <v>45245.0</v>
      </c>
      <c r="G253" s="7">
        <v>3.09898686E9</v>
      </c>
      <c r="H253" s="8" t="s">
        <v>573</v>
      </c>
      <c r="I253" s="2">
        <f t="shared" ref="I253:P253" si="256">IF(ISBLANK(A253)=TRUE,0,1)</f>
        <v>1</v>
      </c>
      <c r="J253" s="2">
        <f t="shared" si="256"/>
        <v>1</v>
      </c>
      <c r="K253" s="2">
        <f t="shared" si="256"/>
        <v>1</v>
      </c>
      <c r="L253" s="2">
        <f t="shared" si="256"/>
        <v>1</v>
      </c>
      <c r="M253" s="2">
        <f t="shared" si="256"/>
        <v>1</v>
      </c>
      <c r="N253" s="2">
        <f t="shared" si="256"/>
        <v>1</v>
      </c>
      <c r="O253" s="2">
        <f t="shared" si="256"/>
        <v>1</v>
      </c>
      <c r="P253" s="2">
        <f t="shared" si="256"/>
        <v>1</v>
      </c>
      <c r="Q253" s="2">
        <f t="shared" si="3"/>
        <v>1</v>
      </c>
      <c r="R253" s="2">
        <f>IF(ISERROR(VLOOKUP(A253, 'Project Reference'!A:A, 1, FALSE)), 0, 1)</f>
        <v>1</v>
      </c>
      <c r="S253" s="2">
        <f>IFERROR(__xludf.DUMMYFUNCTION("IF(AND(REGEXMATCH(D253, B253), REGEXMATCH(D253, C253)), 1, 0)
"),1.0)</f>
        <v>1</v>
      </c>
      <c r="T253" s="2">
        <f t="shared" si="4"/>
        <v>1</v>
      </c>
      <c r="U253" s="2">
        <f t="shared" si="5"/>
        <v>1</v>
      </c>
      <c r="V253" s="2">
        <f t="shared" si="6"/>
        <v>1</v>
      </c>
    </row>
    <row r="254" ht="14.25" customHeight="1">
      <c r="A254" s="2" t="s">
        <v>294</v>
      </c>
      <c r="B254" s="2" t="s">
        <v>30</v>
      </c>
      <c r="C254" s="2" t="s">
        <v>48</v>
      </c>
      <c r="D254" s="8" t="s">
        <v>620</v>
      </c>
      <c r="E254" s="6">
        <v>45099.0</v>
      </c>
      <c r="F254" s="6">
        <v>45254.0</v>
      </c>
      <c r="G254" s="7">
        <v>2.873619122E9</v>
      </c>
      <c r="H254" s="8" t="s">
        <v>573</v>
      </c>
      <c r="I254" s="2">
        <f t="shared" ref="I254:P254" si="257">IF(ISBLANK(A254)=TRUE,0,1)</f>
        <v>1</v>
      </c>
      <c r="J254" s="2">
        <f t="shared" si="257"/>
        <v>1</v>
      </c>
      <c r="K254" s="2">
        <f t="shared" si="257"/>
        <v>1</v>
      </c>
      <c r="L254" s="2">
        <f t="shared" si="257"/>
        <v>1</v>
      </c>
      <c r="M254" s="2">
        <f t="shared" si="257"/>
        <v>1</v>
      </c>
      <c r="N254" s="2">
        <f t="shared" si="257"/>
        <v>1</v>
      </c>
      <c r="O254" s="2">
        <f t="shared" si="257"/>
        <v>1</v>
      </c>
      <c r="P254" s="2">
        <f t="shared" si="257"/>
        <v>1</v>
      </c>
      <c r="Q254" s="2">
        <f t="shared" si="3"/>
        <v>1</v>
      </c>
      <c r="R254" s="2">
        <f>IF(ISERROR(VLOOKUP(A254, 'Project Reference'!A:A, 1, FALSE)), 0, 1)</f>
        <v>1</v>
      </c>
      <c r="S254" s="2">
        <f>IFERROR(__xludf.DUMMYFUNCTION("IF(AND(REGEXMATCH(D254, B254), REGEXMATCH(D254, C254)), 1, 0)
"),1.0)</f>
        <v>1</v>
      </c>
      <c r="T254" s="2">
        <f t="shared" si="4"/>
        <v>1</v>
      </c>
      <c r="U254" s="2">
        <f t="shared" si="5"/>
        <v>1</v>
      </c>
      <c r="V254" s="2">
        <f t="shared" si="6"/>
        <v>1</v>
      </c>
    </row>
    <row r="255" ht="14.25" customHeight="1">
      <c r="A255" s="2" t="s">
        <v>295</v>
      </c>
      <c r="B255" s="2" t="s">
        <v>35</v>
      </c>
      <c r="C255" s="2" t="s">
        <v>24</v>
      </c>
      <c r="D255" s="2" t="s">
        <v>133</v>
      </c>
      <c r="E255" s="6">
        <v>45101.0</v>
      </c>
      <c r="F255" s="6">
        <v>45138.0</v>
      </c>
      <c r="G255" s="7">
        <v>7.35575459E8</v>
      </c>
      <c r="H255" s="8" t="s">
        <v>581</v>
      </c>
      <c r="I255" s="2">
        <f t="shared" ref="I255:P255" si="258">IF(ISBLANK(A255)=TRUE,0,1)</f>
        <v>1</v>
      </c>
      <c r="J255" s="2">
        <f t="shared" si="258"/>
        <v>1</v>
      </c>
      <c r="K255" s="2">
        <f t="shared" si="258"/>
        <v>1</v>
      </c>
      <c r="L255" s="2">
        <f t="shared" si="258"/>
        <v>1</v>
      </c>
      <c r="M255" s="2">
        <f t="shared" si="258"/>
        <v>1</v>
      </c>
      <c r="N255" s="2">
        <f t="shared" si="258"/>
        <v>1</v>
      </c>
      <c r="O255" s="2">
        <f t="shared" si="258"/>
        <v>1</v>
      </c>
      <c r="P255" s="2">
        <f t="shared" si="258"/>
        <v>1</v>
      </c>
      <c r="Q255" s="2">
        <f t="shared" si="3"/>
        <v>1</v>
      </c>
      <c r="R255" s="2">
        <f>IF(ISERROR(VLOOKUP(A255, 'Project Reference'!A:A, 1, FALSE)), 0, 1)</f>
        <v>1</v>
      </c>
      <c r="S255" s="2">
        <f>IFERROR(__xludf.DUMMYFUNCTION("IF(AND(REGEXMATCH(D255, B255), REGEXMATCH(D255, C255)), 1, 0)
"),1.0)</f>
        <v>1</v>
      </c>
      <c r="T255" s="2">
        <f t="shared" si="4"/>
        <v>1</v>
      </c>
      <c r="U255" s="2">
        <f t="shared" si="5"/>
        <v>1</v>
      </c>
      <c r="V255" s="2">
        <f t="shared" si="6"/>
        <v>1</v>
      </c>
    </row>
    <row r="256" ht="14.25" customHeight="1">
      <c r="A256" s="2" t="s">
        <v>296</v>
      </c>
      <c r="B256" s="2" t="s">
        <v>18</v>
      </c>
      <c r="C256" s="2" t="s">
        <v>42</v>
      </c>
      <c r="D256" s="8" t="s">
        <v>621</v>
      </c>
      <c r="E256" s="6">
        <v>45101.0</v>
      </c>
      <c r="F256" s="6">
        <v>45375.0</v>
      </c>
      <c r="G256" s="7">
        <v>2.354261081E9</v>
      </c>
      <c r="H256" s="8" t="s">
        <v>573</v>
      </c>
      <c r="I256" s="2">
        <f t="shared" ref="I256:P256" si="259">IF(ISBLANK(A256)=TRUE,0,1)</f>
        <v>1</v>
      </c>
      <c r="J256" s="2">
        <f t="shared" si="259"/>
        <v>1</v>
      </c>
      <c r="K256" s="2">
        <f t="shared" si="259"/>
        <v>1</v>
      </c>
      <c r="L256" s="2">
        <f t="shared" si="259"/>
        <v>1</v>
      </c>
      <c r="M256" s="2">
        <f t="shared" si="259"/>
        <v>1</v>
      </c>
      <c r="N256" s="2">
        <f t="shared" si="259"/>
        <v>1</v>
      </c>
      <c r="O256" s="2">
        <f t="shared" si="259"/>
        <v>1</v>
      </c>
      <c r="P256" s="2">
        <f t="shared" si="259"/>
        <v>1</v>
      </c>
      <c r="Q256" s="2">
        <f t="shared" si="3"/>
        <v>1</v>
      </c>
      <c r="R256" s="2">
        <f>IF(ISERROR(VLOOKUP(A256, 'Project Reference'!A:A, 1, FALSE)), 0, 1)</f>
        <v>1</v>
      </c>
      <c r="S256" s="2">
        <f>IFERROR(__xludf.DUMMYFUNCTION("IF(AND(REGEXMATCH(D256, B256), REGEXMATCH(D256, C256)), 1, 0)
"),1.0)</f>
        <v>1</v>
      </c>
      <c r="T256" s="2">
        <f t="shared" si="4"/>
        <v>1</v>
      </c>
      <c r="U256" s="2">
        <f t="shared" si="5"/>
        <v>1</v>
      </c>
      <c r="V256" s="2">
        <f t="shared" si="6"/>
        <v>1</v>
      </c>
    </row>
    <row r="257" ht="14.25" customHeight="1">
      <c r="A257" s="2" t="s">
        <v>297</v>
      </c>
      <c r="B257" s="2" t="s">
        <v>30</v>
      </c>
      <c r="C257" s="2" t="s">
        <v>42</v>
      </c>
      <c r="D257" s="8" t="s">
        <v>632</v>
      </c>
      <c r="E257" s="6">
        <v>45102.0</v>
      </c>
      <c r="F257" s="6">
        <v>45324.0</v>
      </c>
      <c r="G257" s="7">
        <v>2.697497947E9</v>
      </c>
      <c r="H257" s="2" t="s">
        <v>21</v>
      </c>
      <c r="I257" s="2">
        <f t="shared" ref="I257:P257" si="260">IF(ISBLANK(A257)=TRUE,0,1)</f>
        <v>1</v>
      </c>
      <c r="J257" s="2">
        <f t="shared" si="260"/>
        <v>1</v>
      </c>
      <c r="K257" s="2">
        <f t="shared" si="260"/>
        <v>1</v>
      </c>
      <c r="L257" s="2">
        <f t="shared" si="260"/>
        <v>1</v>
      </c>
      <c r="M257" s="2">
        <f t="shared" si="260"/>
        <v>1</v>
      </c>
      <c r="N257" s="2">
        <f t="shared" si="260"/>
        <v>1</v>
      </c>
      <c r="O257" s="2">
        <f t="shared" si="260"/>
        <v>1</v>
      </c>
      <c r="P257" s="2">
        <f t="shared" si="260"/>
        <v>1</v>
      </c>
      <c r="Q257" s="2">
        <f t="shared" si="3"/>
        <v>1</v>
      </c>
      <c r="R257" s="2">
        <f>IF(ISERROR(VLOOKUP(A257, 'Project Reference'!A:A, 1, FALSE)), 0, 1)</f>
        <v>1</v>
      </c>
      <c r="S257" s="2">
        <f>IFERROR(__xludf.DUMMYFUNCTION("IF(AND(REGEXMATCH(D257, B257), REGEXMATCH(D257, C257)), 1, 0)
"),1.0)</f>
        <v>1</v>
      </c>
      <c r="T257" s="2">
        <f t="shared" si="4"/>
        <v>1</v>
      </c>
      <c r="U257" s="2">
        <f t="shared" si="5"/>
        <v>1</v>
      </c>
      <c r="V257" s="2">
        <f t="shared" si="6"/>
        <v>1</v>
      </c>
    </row>
    <row r="258" ht="14.25" customHeight="1">
      <c r="A258" s="2" t="s">
        <v>299</v>
      </c>
      <c r="B258" s="2" t="s">
        <v>18</v>
      </c>
      <c r="C258" s="2" t="s">
        <v>36</v>
      </c>
      <c r="D258" s="8" t="s">
        <v>634</v>
      </c>
      <c r="E258" s="6">
        <v>45104.0</v>
      </c>
      <c r="F258" s="6">
        <v>45195.0</v>
      </c>
      <c r="G258" s="7">
        <v>5.36537192E9</v>
      </c>
      <c r="H258" s="8" t="s">
        <v>581</v>
      </c>
      <c r="I258" s="2">
        <f t="shared" ref="I258:P258" si="261">IF(ISBLANK(A258)=TRUE,0,1)</f>
        <v>1</v>
      </c>
      <c r="J258" s="2">
        <f t="shared" si="261"/>
        <v>1</v>
      </c>
      <c r="K258" s="2">
        <f t="shared" si="261"/>
        <v>1</v>
      </c>
      <c r="L258" s="2">
        <f t="shared" si="261"/>
        <v>1</v>
      </c>
      <c r="M258" s="2">
        <f t="shared" si="261"/>
        <v>1</v>
      </c>
      <c r="N258" s="2">
        <f t="shared" si="261"/>
        <v>1</v>
      </c>
      <c r="O258" s="2">
        <f t="shared" si="261"/>
        <v>1</v>
      </c>
      <c r="P258" s="2">
        <f t="shared" si="261"/>
        <v>1</v>
      </c>
      <c r="Q258" s="2">
        <f t="shared" si="3"/>
        <v>1</v>
      </c>
      <c r="R258" s="2">
        <f>IF(ISERROR(VLOOKUP(A258, 'Project Reference'!A:A, 1, FALSE)), 0, 1)</f>
        <v>1</v>
      </c>
      <c r="S258" s="2">
        <f>IFERROR(__xludf.DUMMYFUNCTION("IF(AND(REGEXMATCH(D258, B258), REGEXMATCH(D258, C258)), 1, 0)
"),1.0)</f>
        <v>1</v>
      </c>
      <c r="T258" s="2">
        <f t="shared" si="4"/>
        <v>1</v>
      </c>
      <c r="U258" s="2">
        <f t="shared" si="5"/>
        <v>1</v>
      </c>
      <c r="V258" s="2">
        <f t="shared" si="6"/>
        <v>1</v>
      </c>
    </row>
    <row r="259" ht="14.25" customHeight="1">
      <c r="A259" s="2" t="s">
        <v>300</v>
      </c>
      <c r="B259" s="2" t="s">
        <v>35</v>
      </c>
      <c r="C259" s="2" t="s">
        <v>48</v>
      </c>
      <c r="D259" s="2" t="s">
        <v>49</v>
      </c>
      <c r="E259" s="6">
        <v>45106.0</v>
      </c>
      <c r="F259" s="6">
        <v>45144.0</v>
      </c>
      <c r="G259" s="7">
        <v>7.37701834E8</v>
      </c>
      <c r="H259" s="2" t="s">
        <v>21</v>
      </c>
      <c r="I259" s="2">
        <f t="shared" ref="I259:P259" si="262">IF(ISBLANK(A259)=TRUE,0,1)</f>
        <v>1</v>
      </c>
      <c r="J259" s="2">
        <f t="shared" si="262"/>
        <v>1</v>
      </c>
      <c r="K259" s="2">
        <f t="shared" si="262"/>
        <v>1</v>
      </c>
      <c r="L259" s="2">
        <f t="shared" si="262"/>
        <v>1</v>
      </c>
      <c r="M259" s="2">
        <f t="shared" si="262"/>
        <v>1</v>
      </c>
      <c r="N259" s="2">
        <f t="shared" si="262"/>
        <v>1</v>
      </c>
      <c r="O259" s="2">
        <f t="shared" si="262"/>
        <v>1</v>
      </c>
      <c r="P259" s="2">
        <f t="shared" si="262"/>
        <v>1</v>
      </c>
      <c r="Q259" s="2">
        <f t="shared" si="3"/>
        <v>1</v>
      </c>
      <c r="R259" s="2">
        <f>IF(ISERROR(VLOOKUP(A259, 'Project Reference'!A:A, 1, FALSE)), 0, 1)</f>
        <v>1</v>
      </c>
      <c r="S259" s="2">
        <f>IFERROR(__xludf.DUMMYFUNCTION("IF(AND(REGEXMATCH(D259, B259), REGEXMATCH(D259, C259)), 1, 0)
"),1.0)</f>
        <v>1</v>
      </c>
      <c r="T259" s="2">
        <f t="shared" si="4"/>
        <v>1</v>
      </c>
      <c r="U259" s="2">
        <f t="shared" si="5"/>
        <v>1</v>
      </c>
      <c r="V259" s="2">
        <f t="shared" si="6"/>
        <v>1</v>
      </c>
    </row>
    <row r="260" ht="14.25" customHeight="1">
      <c r="A260" s="2" t="s">
        <v>301</v>
      </c>
      <c r="B260" s="2" t="s">
        <v>30</v>
      </c>
      <c r="C260" s="2" t="s">
        <v>13</v>
      </c>
      <c r="D260" s="8" t="s">
        <v>630</v>
      </c>
      <c r="E260" s="6">
        <v>45106.0</v>
      </c>
      <c r="F260" s="6">
        <v>45212.0</v>
      </c>
      <c r="G260" s="7">
        <v>2.498238869E9</v>
      </c>
      <c r="H260" s="22"/>
      <c r="I260" s="2">
        <f t="shared" ref="I260:P260" si="263">IF(ISBLANK(A260)=TRUE,0,1)</f>
        <v>1</v>
      </c>
      <c r="J260" s="2">
        <f t="shared" si="263"/>
        <v>1</v>
      </c>
      <c r="K260" s="2">
        <f t="shared" si="263"/>
        <v>1</v>
      </c>
      <c r="L260" s="2">
        <f t="shared" si="263"/>
        <v>1</v>
      </c>
      <c r="M260" s="2">
        <f t="shared" si="263"/>
        <v>1</v>
      </c>
      <c r="N260" s="2">
        <f t="shared" si="263"/>
        <v>1</v>
      </c>
      <c r="O260" s="2">
        <f t="shared" si="263"/>
        <v>1</v>
      </c>
      <c r="P260" s="2">
        <f t="shared" si="263"/>
        <v>0</v>
      </c>
      <c r="Q260" s="2">
        <f t="shared" si="3"/>
        <v>1</v>
      </c>
      <c r="R260" s="2">
        <f>IF(ISERROR(VLOOKUP(A260, 'Project Reference'!A:A, 1, FALSE)), 0, 1)</f>
        <v>1</v>
      </c>
      <c r="S260" s="2">
        <f>IFERROR(__xludf.DUMMYFUNCTION("IF(AND(REGEXMATCH(D260, B260), REGEXMATCH(D260, C260)), 1, 0)
"),1.0)</f>
        <v>1</v>
      </c>
      <c r="T260" s="2">
        <f t="shared" si="4"/>
        <v>1</v>
      </c>
      <c r="U260" s="2">
        <f t="shared" si="5"/>
        <v>1</v>
      </c>
      <c r="V260" s="2">
        <f t="shared" si="6"/>
        <v>1</v>
      </c>
    </row>
    <row r="261" ht="14.25" customHeight="1">
      <c r="A261" s="2" t="s">
        <v>302</v>
      </c>
      <c r="B261" s="2" t="s">
        <v>35</v>
      </c>
      <c r="C261" s="2" t="s">
        <v>48</v>
      </c>
      <c r="D261" s="2" t="s">
        <v>49</v>
      </c>
      <c r="E261" s="6">
        <v>45107.0</v>
      </c>
      <c r="F261" s="6">
        <v>45221.0</v>
      </c>
      <c r="G261" s="7">
        <v>3.43573944E8</v>
      </c>
      <c r="H261" s="2" t="s">
        <v>50</v>
      </c>
      <c r="I261" s="2">
        <f t="shared" ref="I261:P261" si="264">IF(ISBLANK(A261)=TRUE,0,1)</f>
        <v>1</v>
      </c>
      <c r="J261" s="2">
        <f t="shared" si="264"/>
        <v>1</v>
      </c>
      <c r="K261" s="2">
        <f t="shared" si="264"/>
        <v>1</v>
      </c>
      <c r="L261" s="2">
        <f t="shared" si="264"/>
        <v>1</v>
      </c>
      <c r="M261" s="2">
        <f t="shared" si="264"/>
        <v>1</v>
      </c>
      <c r="N261" s="2">
        <f t="shared" si="264"/>
        <v>1</v>
      </c>
      <c r="O261" s="2">
        <f t="shared" si="264"/>
        <v>1</v>
      </c>
      <c r="P261" s="2">
        <f t="shared" si="264"/>
        <v>1</v>
      </c>
      <c r="Q261" s="2">
        <f t="shared" si="3"/>
        <v>1</v>
      </c>
      <c r="R261" s="2">
        <f>IF(ISERROR(VLOOKUP(A261, 'Project Reference'!A:A, 1, FALSE)), 0, 1)</f>
        <v>1</v>
      </c>
      <c r="S261" s="2">
        <f>IFERROR(__xludf.DUMMYFUNCTION("IF(AND(REGEXMATCH(D261, B261), REGEXMATCH(D261, C261)), 1, 0)
"),1.0)</f>
        <v>1</v>
      </c>
      <c r="T261" s="2">
        <f t="shared" si="4"/>
        <v>1</v>
      </c>
      <c r="U261" s="2">
        <f t="shared" si="5"/>
        <v>1</v>
      </c>
      <c r="V261" s="2">
        <f t="shared" si="6"/>
        <v>1</v>
      </c>
    </row>
    <row r="262" ht="14.25" customHeight="1">
      <c r="A262" s="2" t="s">
        <v>303</v>
      </c>
      <c r="B262" s="2" t="s">
        <v>12</v>
      </c>
      <c r="C262" s="2" t="s">
        <v>19</v>
      </c>
      <c r="D262" s="8" t="s">
        <v>631</v>
      </c>
      <c r="E262" s="6">
        <v>45111.0</v>
      </c>
      <c r="F262" s="6">
        <v>45180.0</v>
      </c>
      <c r="G262" s="7">
        <v>8.0298087E8</v>
      </c>
      <c r="H262" s="2" t="s">
        <v>67</v>
      </c>
      <c r="I262" s="2">
        <f t="shared" ref="I262:P262" si="265">IF(ISBLANK(A262)=TRUE,0,1)</f>
        <v>1</v>
      </c>
      <c r="J262" s="2">
        <f t="shared" si="265"/>
        <v>1</v>
      </c>
      <c r="K262" s="2">
        <f t="shared" si="265"/>
        <v>1</v>
      </c>
      <c r="L262" s="2">
        <f t="shared" si="265"/>
        <v>1</v>
      </c>
      <c r="M262" s="2">
        <f t="shared" si="265"/>
        <v>1</v>
      </c>
      <c r="N262" s="2">
        <f t="shared" si="265"/>
        <v>1</v>
      </c>
      <c r="O262" s="2">
        <f t="shared" si="265"/>
        <v>1</v>
      </c>
      <c r="P262" s="2">
        <f t="shared" si="265"/>
        <v>1</v>
      </c>
      <c r="Q262" s="2">
        <f t="shared" si="3"/>
        <v>1</v>
      </c>
      <c r="R262" s="2">
        <f>IF(ISERROR(VLOOKUP(A262, 'Project Reference'!A:A, 1, FALSE)), 0, 1)</f>
        <v>1</v>
      </c>
      <c r="S262" s="2">
        <f>IFERROR(__xludf.DUMMYFUNCTION("IF(AND(REGEXMATCH(D262, B262), REGEXMATCH(D262, C262)), 1, 0)
"),1.0)</f>
        <v>1</v>
      </c>
      <c r="T262" s="2">
        <f t="shared" si="4"/>
        <v>1</v>
      </c>
      <c r="U262" s="2">
        <f t="shared" si="5"/>
        <v>1</v>
      </c>
      <c r="V262" s="2">
        <f t="shared" si="6"/>
        <v>1</v>
      </c>
    </row>
    <row r="263" ht="14.25" customHeight="1">
      <c r="A263" s="2" t="s">
        <v>304</v>
      </c>
      <c r="B263" s="2" t="s">
        <v>30</v>
      </c>
      <c r="C263" s="2" t="s">
        <v>36</v>
      </c>
      <c r="D263" s="8" t="s">
        <v>614</v>
      </c>
      <c r="E263" s="6">
        <v>45113.0</v>
      </c>
      <c r="F263" s="6">
        <v>45253.0</v>
      </c>
      <c r="G263" s="7">
        <v>1.132821017E9</v>
      </c>
      <c r="H263" s="2" t="s">
        <v>50</v>
      </c>
      <c r="I263" s="2">
        <f t="shared" ref="I263:P263" si="266">IF(ISBLANK(A263)=TRUE,0,1)</f>
        <v>1</v>
      </c>
      <c r="J263" s="2">
        <f t="shared" si="266"/>
        <v>1</v>
      </c>
      <c r="K263" s="2">
        <f t="shared" si="266"/>
        <v>1</v>
      </c>
      <c r="L263" s="2">
        <f t="shared" si="266"/>
        <v>1</v>
      </c>
      <c r="M263" s="2">
        <f t="shared" si="266"/>
        <v>1</v>
      </c>
      <c r="N263" s="2">
        <f t="shared" si="266"/>
        <v>1</v>
      </c>
      <c r="O263" s="2">
        <f t="shared" si="266"/>
        <v>1</v>
      </c>
      <c r="P263" s="2">
        <f t="shared" si="266"/>
        <v>1</v>
      </c>
      <c r="Q263" s="2">
        <f t="shared" si="3"/>
        <v>1</v>
      </c>
      <c r="R263" s="2">
        <f>IF(ISERROR(VLOOKUP(A263, 'Project Reference'!A:A, 1, FALSE)), 0, 1)</f>
        <v>1</v>
      </c>
      <c r="S263" s="2">
        <f>IFERROR(__xludf.DUMMYFUNCTION("IF(AND(REGEXMATCH(D263, B263), REGEXMATCH(D263, C263)), 1, 0)
"),1.0)</f>
        <v>1</v>
      </c>
      <c r="T263" s="2">
        <f t="shared" si="4"/>
        <v>1</v>
      </c>
      <c r="U263" s="2">
        <f t="shared" si="5"/>
        <v>1</v>
      </c>
      <c r="V263" s="2">
        <f t="shared" si="6"/>
        <v>1</v>
      </c>
    </row>
    <row r="264" ht="14.25" customHeight="1">
      <c r="A264" s="2" t="s">
        <v>305</v>
      </c>
      <c r="B264" s="2" t="s">
        <v>35</v>
      </c>
      <c r="C264" s="2" t="s">
        <v>24</v>
      </c>
      <c r="D264" s="2" t="s">
        <v>133</v>
      </c>
      <c r="E264" s="6">
        <v>45114.0</v>
      </c>
      <c r="F264" s="6">
        <v>45156.0</v>
      </c>
      <c r="G264" s="7">
        <v>6.46267645E8</v>
      </c>
      <c r="H264" s="2" t="s">
        <v>21</v>
      </c>
      <c r="I264" s="2">
        <f t="shared" ref="I264:P264" si="267">IF(ISBLANK(A264)=TRUE,0,1)</f>
        <v>1</v>
      </c>
      <c r="J264" s="2">
        <f t="shared" si="267"/>
        <v>1</v>
      </c>
      <c r="K264" s="2">
        <f t="shared" si="267"/>
        <v>1</v>
      </c>
      <c r="L264" s="2">
        <f t="shared" si="267"/>
        <v>1</v>
      </c>
      <c r="M264" s="2">
        <f t="shared" si="267"/>
        <v>1</v>
      </c>
      <c r="N264" s="2">
        <f t="shared" si="267"/>
        <v>1</v>
      </c>
      <c r="O264" s="2">
        <f t="shared" si="267"/>
        <v>1</v>
      </c>
      <c r="P264" s="2">
        <f t="shared" si="267"/>
        <v>1</v>
      </c>
      <c r="Q264" s="2">
        <f t="shared" si="3"/>
        <v>1</v>
      </c>
      <c r="R264" s="2">
        <f>IF(ISERROR(VLOOKUP(A264, 'Project Reference'!A:A, 1, FALSE)), 0, 1)</f>
        <v>1</v>
      </c>
      <c r="S264" s="2">
        <f>IFERROR(__xludf.DUMMYFUNCTION("IF(AND(REGEXMATCH(D264, B264), REGEXMATCH(D264, C264)), 1, 0)
"),1.0)</f>
        <v>1</v>
      </c>
      <c r="T264" s="2">
        <f t="shared" si="4"/>
        <v>1</v>
      </c>
      <c r="U264" s="2">
        <f t="shared" si="5"/>
        <v>1</v>
      </c>
      <c r="V264" s="2">
        <f t="shared" si="6"/>
        <v>1</v>
      </c>
    </row>
    <row r="265" ht="14.25" customHeight="1">
      <c r="A265" s="2" t="s">
        <v>306</v>
      </c>
      <c r="B265" s="2" t="s">
        <v>30</v>
      </c>
      <c r="C265" s="2" t="s">
        <v>13</v>
      </c>
      <c r="D265" s="8" t="s">
        <v>641</v>
      </c>
      <c r="E265" s="6">
        <v>45115.0</v>
      </c>
      <c r="F265" s="6">
        <v>45145.0</v>
      </c>
      <c r="G265" s="7">
        <v>1.091849633E9</v>
      </c>
      <c r="H265" s="2" t="s">
        <v>33</v>
      </c>
      <c r="I265" s="2">
        <f t="shared" ref="I265:P265" si="268">IF(ISBLANK(A265)=TRUE,0,1)</f>
        <v>1</v>
      </c>
      <c r="J265" s="2">
        <f t="shared" si="268"/>
        <v>1</v>
      </c>
      <c r="K265" s="2">
        <f t="shared" si="268"/>
        <v>1</v>
      </c>
      <c r="L265" s="2">
        <f t="shared" si="268"/>
        <v>1</v>
      </c>
      <c r="M265" s="2">
        <f t="shared" si="268"/>
        <v>1</v>
      </c>
      <c r="N265" s="2">
        <f t="shared" si="268"/>
        <v>1</v>
      </c>
      <c r="O265" s="2">
        <f t="shared" si="268"/>
        <v>1</v>
      </c>
      <c r="P265" s="2">
        <f t="shared" si="268"/>
        <v>1</v>
      </c>
      <c r="Q265" s="2">
        <f t="shared" si="3"/>
        <v>1</v>
      </c>
      <c r="R265" s="2">
        <f>IF(ISERROR(VLOOKUP(A265, 'Project Reference'!A:A, 1, FALSE)), 0, 1)</f>
        <v>1</v>
      </c>
      <c r="S265" s="2">
        <f>IFERROR(__xludf.DUMMYFUNCTION("IF(AND(REGEXMATCH(D265, B265), REGEXMATCH(D265, C265)), 1, 0)
"),1.0)</f>
        <v>1</v>
      </c>
      <c r="T265" s="2">
        <f t="shared" si="4"/>
        <v>1</v>
      </c>
      <c r="U265" s="2">
        <f t="shared" si="5"/>
        <v>1</v>
      </c>
      <c r="V265" s="2">
        <f t="shared" si="6"/>
        <v>1</v>
      </c>
    </row>
    <row r="266" ht="14.25" customHeight="1">
      <c r="A266" s="2" t="s">
        <v>307</v>
      </c>
      <c r="B266" s="2" t="s">
        <v>12</v>
      </c>
      <c r="C266" s="2" t="s">
        <v>39</v>
      </c>
      <c r="D266" s="8" t="s">
        <v>591</v>
      </c>
      <c r="E266" s="6">
        <v>45116.0</v>
      </c>
      <c r="F266" s="6">
        <v>45158.0</v>
      </c>
      <c r="G266" s="7">
        <v>9.69437655E8</v>
      </c>
      <c r="H266" s="8" t="s">
        <v>573</v>
      </c>
      <c r="I266" s="2">
        <f t="shared" ref="I266:P266" si="269">IF(ISBLANK(A266)=TRUE,0,1)</f>
        <v>1</v>
      </c>
      <c r="J266" s="2">
        <f t="shared" si="269"/>
        <v>1</v>
      </c>
      <c r="K266" s="2">
        <f t="shared" si="269"/>
        <v>1</v>
      </c>
      <c r="L266" s="2">
        <f t="shared" si="269"/>
        <v>1</v>
      </c>
      <c r="M266" s="2">
        <f t="shared" si="269"/>
        <v>1</v>
      </c>
      <c r="N266" s="2">
        <f t="shared" si="269"/>
        <v>1</v>
      </c>
      <c r="O266" s="2">
        <f t="shared" si="269"/>
        <v>1</v>
      </c>
      <c r="P266" s="2">
        <f t="shared" si="269"/>
        <v>1</v>
      </c>
      <c r="Q266" s="2">
        <f t="shared" si="3"/>
        <v>1</v>
      </c>
      <c r="R266" s="2">
        <f>IF(ISERROR(VLOOKUP(A266, 'Project Reference'!A:A, 1, FALSE)), 0, 1)</f>
        <v>1</v>
      </c>
      <c r="S266" s="2">
        <f>IFERROR(__xludf.DUMMYFUNCTION("IF(AND(REGEXMATCH(D266, B266), REGEXMATCH(D266, C266)), 1, 0)
"),1.0)</f>
        <v>1</v>
      </c>
      <c r="T266" s="2">
        <f t="shared" si="4"/>
        <v>1</v>
      </c>
      <c r="U266" s="2">
        <f t="shared" si="5"/>
        <v>1</v>
      </c>
      <c r="V266" s="2">
        <f t="shared" si="6"/>
        <v>1</v>
      </c>
    </row>
    <row r="267" ht="14.25" customHeight="1">
      <c r="A267" s="2" t="s">
        <v>308</v>
      </c>
      <c r="B267" s="2" t="s">
        <v>60</v>
      </c>
      <c r="C267" s="2" t="s">
        <v>48</v>
      </c>
      <c r="D267" s="8" t="s">
        <v>625</v>
      </c>
      <c r="E267" s="6">
        <v>45116.0</v>
      </c>
      <c r="F267" s="6">
        <v>45350.0</v>
      </c>
      <c r="G267" s="7">
        <v>3.165392319E9</v>
      </c>
      <c r="H267" s="8" t="s">
        <v>573</v>
      </c>
      <c r="I267" s="2">
        <f t="shared" ref="I267:P267" si="270">IF(ISBLANK(A267)=TRUE,0,1)</f>
        <v>1</v>
      </c>
      <c r="J267" s="2">
        <f t="shared" si="270"/>
        <v>1</v>
      </c>
      <c r="K267" s="2">
        <f t="shared" si="270"/>
        <v>1</v>
      </c>
      <c r="L267" s="2">
        <f t="shared" si="270"/>
        <v>1</v>
      </c>
      <c r="M267" s="2">
        <f t="shared" si="270"/>
        <v>1</v>
      </c>
      <c r="N267" s="2">
        <f t="shared" si="270"/>
        <v>1</v>
      </c>
      <c r="O267" s="2">
        <f t="shared" si="270"/>
        <v>1</v>
      </c>
      <c r="P267" s="2">
        <f t="shared" si="270"/>
        <v>1</v>
      </c>
      <c r="Q267" s="2">
        <f t="shared" si="3"/>
        <v>1</v>
      </c>
      <c r="R267" s="2">
        <f>IF(ISERROR(VLOOKUP(A267, 'Project Reference'!A:A, 1, FALSE)), 0, 1)</f>
        <v>1</v>
      </c>
      <c r="S267" s="2">
        <f>IFERROR(__xludf.DUMMYFUNCTION("IF(AND(REGEXMATCH(D267, B267), REGEXMATCH(D267, C267)), 1, 0)
"),1.0)</f>
        <v>1</v>
      </c>
      <c r="T267" s="2">
        <f t="shared" si="4"/>
        <v>1</v>
      </c>
      <c r="U267" s="2">
        <f t="shared" si="5"/>
        <v>1</v>
      </c>
      <c r="V267" s="2">
        <f t="shared" si="6"/>
        <v>1</v>
      </c>
    </row>
    <row r="268" ht="14.25" customHeight="1">
      <c r="A268" s="2" t="s">
        <v>309</v>
      </c>
      <c r="B268" s="2" t="s">
        <v>30</v>
      </c>
      <c r="C268" s="2" t="s">
        <v>13</v>
      </c>
      <c r="D268" s="8" t="s">
        <v>630</v>
      </c>
      <c r="E268" s="6">
        <v>45117.0</v>
      </c>
      <c r="F268" s="6">
        <v>45156.0</v>
      </c>
      <c r="G268" s="7">
        <v>5.204534546E9</v>
      </c>
      <c r="H268" s="8" t="s">
        <v>581</v>
      </c>
      <c r="I268" s="2">
        <f t="shared" ref="I268:P268" si="271">IF(ISBLANK(A268)=TRUE,0,1)</f>
        <v>1</v>
      </c>
      <c r="J268" s="2">
        <f t="shared" si="271"/>
        <v>1</v>
      </c>
      <c r="K268" s="2">
        <f t="shared" si="271"/>
        <v>1</v>
      </c>
      <c r="L268" s="2">
        <f t="shared" si="271"/>
        <v>1</v>
      </c>
      <c r="M268" s="2">
        <f t="shared" si="271"/>
        <v>1</v>
      </c>
      <c r="N268" s="2">
        <f t="shared" si="271"/>
        <v>1</v>
      </c>
      <c r="O268" s="2">
        <f t="shared" si="271"/>
        <v>1</v>
      </c>
      <c r="P268" s="2">
        <f t="shared" si="271"/>
        <v>1</v>
      </c>
      <c r="Q268" s="2">
        <f t="shared" si="3"/>
        <v>1</v>
      </c>
      <c r="R268" s="2">
        <f>IF(ISERROR(VLOOKUP(A268, 'Project Reference'!A:A, 1, FALSE)), 0, 1)</f>
        <v>1</v>
      </c>
      <c r="S268" s="2">
        <f>IFERROR(__xludf.DUMMYFUNCTION("IF(AND(REGEXMATCH(D268, B268), REGEXMATCH(D268, C268)), 1, 0)
"),1.0)</f>
        <v>1</v>
      </c>
      <c r="T268" s="2">
        <f t="shared" si="4"/>
        <v>1</v>
      </c>
      <c r="U268" s="2">
        <f t="shared" si="5"/>
        <v>1</v>
      </c>
      <c r="V268" s="2">
        <f t="shared" si="6"/>
        <v>1</v>
      </c>
    </row>
    <row r="269" ht="14.25" customHeight="1">
      <c r="A269" s="2" t="s">
        <v>310</v>
      </c>
      <c r="B269" s="2" t="s">
        <v>18</v>
      </c>
      <c r="C269" s="2" t="s">
        <v>19</v>
      </c>
      <c r="D269" s="8" t="s">
        <v>633</v>
      </c>
      <c r="E269" s="6">
        <v>45118.0</v>
      </c>
      <c r="F269" s="6">
        <v>45288.0</v>
      </c>
      <c r="G269" s="7">
        <v>3.942664693E9</v>
      </c>
      <c r="H269" s="2" t="s">
        <v>21</v>
      </c>
      <c r="I269" s="2">
        <f t="shared" ref="I269:P269" si="272">IF(ISBLANK(A269)=TRUE,0,1)</f>
        <v>1</v>
      </c>
      <c r="J269" s="2">
        <f t="shared" si="272"/>
        <v>1</v>
      </c>
      <c r="K269" s="2">
        <f t="shared" si="272"/>
        <v>1</v>
      </c>
      <c r="L269" s="2">
        <f t="shared" si="272"/>
        <v>1</v>
      </c>
      <c r="M269" s="2">
        <f t="shared" si="272"/>
        <v>1</v>
      </c>
      <c r="N269" s="2">
        <f t="shared" si="272"/>
        <v>1</v>
      </c>
      <c r="O269" s="2">
        <f t="shared" si="272"/>
        <v>1</v>
      </c>
      <c r="P269" s="2">
        <f t="shared" si="272"/>
        <v>1</v>
      </c>
      <c r="Q269" s="2">
        <f t="shared" si="3"/>
        <v>1</v>
      </c>
      <c r="R269" s="2">
        <f>IF(ISERROR(VLOOKUP(A269, 'Project Reference'!A:A, 1, FALSE)), 0, 1)</f>
        <v>1</v>
      </c>
      <c r="S269" s="2">
        <f>IFERROR(__xludf.DUMMYFUNCTION("IF(AND(REGEXMATCH(D269, B269), REGEXMATCH(D269, C269)), 1, 0)
"),1.0)</f>
        <v>1</v>
      </c>
      <c r="T269" s="2">
        <f t="shared" si="4"/>
        <v>1</v>
      </c>
      <c r="U269" s="2">
        <f t="shared" si="5"/>
        <v>1</v>
      </c>
      <c r="V269" s="2">
        <f t="shared" si="6"/>
        <v>1</v>
      </c>
    </row>
    <row r="270" ht="14.25" customHeight="1">
      <c r="A270" s="2" t="s">
        <v>311</v>
      </c>
      <c r="B270" s="2" t="s">
        <v>60</v>
      </c>
      <c r="C270" s="2" t="s">
        <v>19</v>
      </c>
      <c r="D270" s="8" t="s">
        <v>616</v>
      </c>
      <c r="E270" s="6">
        <v>45118.0</v>
      </c>
      <c r="F270" s="6">
        <v>45256.0</v>
      </c>
      <c r="G270" s="7">
        <v>1.996986704E9</v>
      </c>
      <c r="H270" s="2" t="s">
        <v>33</v>
      </c>
      <c r="I270" s="2">
        <f t="shared" ref="I270:P270" si="273">IF(ISBLANK(A270)=TRUE,0,1)</f>
        <v>1</v>
      </c>
      <c r="J270" s="2">
        <f t="shared" si="273"/>
        <v>1</v>
      </c>
      <c r="K270" s="2">
        <f t="shared" si="273"/>
        <v>1</v>
      </c>
      <c r="L270" s="2">
        <f t="shared" si="273"/>
        <v>1</v>
      </c>
      <c r="M270" s="2">
        <f t="shared" si="273"/>
        <v>1</v>
      </c>
      <c r="N270" s="2">
        <f t="shared" si="273"/>
        <v>1</v>
      </c>
      <c r="O270" s="2">
        <f t="shared" si="273"/>
        <v>1</v>
      </c>
      <c r="P270" s="2">
        <f t="shared" si="273"/>
        <v>1</v>
      </c>
      <c r="Q270" s="2">
        <f t="shared" si="3"/>
        <v>1</v>
      </c>
      <c r="R270" s="2">
        <f>IF(ISERROR(VLOOKUP(A270, 'Project Reference'!A:A, 1, FALSE)), 0, 1)</f>
        <v>1</v>
      </c>
      <c r="S270" s="2">
        <f>IFERROR(__xludf.DUMMYFUNCTION("IF(AND(REGEXMATCH(D270, B270), REGEXMATCH(D270, C270)), 1, 0)
"),1.0)</f>
        <v>1</v>
      </c>
      <c r="T270" s="2">
        <f t="shared" si="4"/>
        <v>1</v>
      </c>
      <c r="U270" s="2">
        <f t="shared" si="5"/>
        <v>1</v>
      </c>
      <c r="V270" s="2">
        <f t="shared" si="6"/>
        <v>1</v>
      </c>
    </row>
    <row r="271" ht="14.25" customHeight="1">
      <c r="A271" s="2" t="s">
        <v>312</v>
      </c>
      <c r="B271" s="2" t="s">
        <v>30</v>
      </c>
      <c r="C271" s="2" t="s">
        <v>39</v>
      </c>
      <c r="D271" s="8" t="s">
        <v>638</v>
      </c>
      <c r="E271" s="6">
        <v>45118.0</v>
      </c>
      <c r="F271" s="6">
        <v>45394.0</v>
      </c>
      <c r="G271" s="7">
        <v>1.005719572E9</v>
      </c>
      <c r="H271" s="8" t="s">
        <v>573</v>
      </c>
      <c r="I271" s="2">
        <f t="shared" ref="I271:P271" si="274">IF(ISBLANK(A271)=TRUE,0,1)</f>
        <v>1</v>
      </c>
      <c r="J271" s="2">
        <f t="shared" si="274"/>
        <v>1</v>
      </c>
      <c r="K271" s="2">
        <f t="shared" si="274"/>
        <v>1</v>
      </c>
      <c r="L271" s="2">
        <f t="shared" si="274"/>
        <v>1</v>
      </c>
      <c r="M271" s="2">
        <f t="shared" si="274"/>
        <v>1</v>
      </c>
      <c r="N271" s="2">
        <f t="shared" si="274"/>
        <v>1</v>
      </c>
      <c r="O271" s="2">
        <f t="shared" si="274"/>
        <v>1</v>
      </c>
      <c r="P271" s="2">
        <f t="shared" si="274"/>
        <v>1</v>
      </c>
      <c r="Q271" s="2">
        <f t="shared" si="3"/>
        <v>1</v>
      </c>
      <c r="R271" s="2">
        <f>IF(ISERROR(VLOOKUP(A271, 'Project Reference'!A:A, 1, FALSE)), 0, 1)</f>
        <v>1</v>
      </c>
      <c r="S271" s="2">
        <f>IFERROR(__xludf.DUMMYFUNCTION("IF(AND(REGEXMATCH(D271, B271), REGEXMATCH(D271, C271)), 1, 0)
"),1.0)</f>
        <v>1</v>
      </c>
      <c r="T271" s="2">
        <f t="shared" si="4"/>
        <v>1</v>
      </c>
      <c r="U271" s="2">
        <f t="shared" si="5"/>
        <v>1</v>
      </c>
      <c r="V271" s="2">
        <f t="shared" si="6"/>
        <v>1</v>
      </c>
    </row>
    <row r="272" ht="14.25" customHeight="1">
      <c r="A272" s="2" t="s">
        <v>313</v>
      </c>
      <c r="B272" s="2" t="s">
        <v>60</v>
      </c>
      <c r="C272" s="2" t="s">
        <v>19</v>
      </c>
      <c r="D272" s="8" t="s">
        <v>635</v>
      </c>
      <c r="E272" s="6">
        <v>45118.0</v>
      </c>
      <c r="F272" s="6">
        <v>45180.0</v>
      </c>
      <c r="G272" s="7">
        <v>4.155376448E9</v>
      </c>
      <c r="H272" s="2" t="s">
        <v>50</v>
      </c>
      <c r="I272" s="2">
        <f t="shared" ref="I272:P272" si="275">IF(ISBLANK(A272)=TRUE,0,1)</f>
        <v>1</v>
      </c>
      <c r="J272" s="2">
        <f t="shared" si="275"/>
        <v>1</v>
      </c>
      <c r="K272" s="2">
        <f t="shared" si="275"/>
        <v>1</v>
      </c>
      <c r="L272" s="2">
        <f t="shared" si="275"/>
        <v>1</v>
      </c>
      <c r="M272" s="2">
        <f t="shared" si="275"/>
        <v>1</v>
      </c>
      <c r="N272" s="2">
        <f t="shared" si="275"/>
        <v>1</v>
      </c>
      <c r="O272" s="2">
        <f t="shared" si="275"/>
        <v>1</v>
      </c>
      <c r="P272" s="2">
        <f t="shared" si="275"/>
        <v>1</v>
      </c>
      <c r="Q272" s="2">
        <f t="shared" si="3"/>
        <v>1</v>
      </c>
      <c r="R272" s="2">
        <f>IF(ISERROR(VLOOKUP(A272, 'Project Reference'!A:A, 1, FALSE)), 0, 1)</f>
        <v>1</v>
      </c>
      <c r="S272" s="2">
        <f>IFERROR(__xludf.DUMMYFUNCTION("IF(AND(REGEXMATCH(D272, B272), REGEXMATCH(D272, C272)), 1, 0)
"),1.0)</f>
        <v>1</v>
      </c>
      <c r="T272" s="2">
        <f t="shared" si="4"/>
        <v>1</v>
      </c>
      <c r="U272" s="2">
        <f t="shared" si="5"/>
        <v>1</v>
      </c>
      <c r="V272" s="2">
        <f t="shared" si="6"/>
        <v>1</v>
      </c>
    </row>
    <row r="273" ht="14.25" customHeight="1">
      <c r="A273" s="2" t="s">
        <v>314</v>
      </c>
      <c r="B273" s="2" t="s">
        <v>18</v>
      </c>
      <c r="C273" s="2" t="s">
        <v>31</v>
      </c>
      <c r="D273" s="8" t="s">
        <v>636</v>
      </c>
      <c r="E273" s="6">
        <v>45118.0</v>
      </c>
      <c r="F273" s="6">
        <v>45452.0</v>
      </c>
      <c r="G273" s="7">
        <v>6.519755129E9</v>
      </c>
      <c r="H273" s="2" t="s">
        <v>67</v>
      </c>
      <c r="I273" s="2">
        <f t="shared" ref="I273:P273" si="276">IF(ISBLANK(A273)=TRUE,0,1)</f>
        <v>1</v>
      </c>
      <c r="J273" s="2">
        <f t="shared" si="276"/>
        <v>1</v>
      </c>
      <c r="K273" s="2">
        <f t="shared" si="276"/>
        <v>1</v>
      </c>
      <c r="L273" s="2">
        <f t="shared" si="276"/>
        <v>1</v>
      </c>
      <c r="M273" s="2">
        <f t="shared" si="276"/>
        <v>1</v>
      </c>
      <c r="N273" s="2">
        <f t="shared" si="276"/>
        <v>1</v>
      </c>
      <c r="O273" s="2">
        <f t="shared" si="276"/>
        <v>1</v>
      </c>
      <c r="P273" s="2">
        <f t="shared" si="276"/>
        <v>1</v>
      </c>
      <c r="Q273" s="2">
        <f t="shared" si="3"/>
        <v>1</v>
      </c>
      <c r="R273" s="2">
        <f>IF(ISERROR(VLOOKUP(A273, 'Project Reference'!A:A, 1, FALSE)), 0, 1)</f>
        <v>1</v>
      </c>
      <c r="S273" s="2">
        <f>IFERROR(__xludf.DUMMYFUNCTION("IF(AND(REGEXMATCH(D273, B273), REGEXMATCH(D273, C273)), 1, 0)
"),1.0)</f>
        <v>1</v>
      </c>
      <c r="T273" s="2">
        <f t="shared" si="4"/>
        <v>1</v>
      </c>
      <c r="U273" s="2">
        <f t="shared" si="5"/>
        <v>1</v>
      </c>
      <c r="V273" s="2">
        <f t="shared" si="6"/>
        <v>1</v>
      </c>
    </row>
    <row r="274" ht="14.25" customHeight="1">
      <c r="A274" s="2" t="s">
        <v>315</v>
      </c>
      <c r="B274" s="2" t="s">
        <v>12</v>
      </c>
      <c r="C274" s="2" t="s">
        <v>19</v>
      </c>
      <c r="D274" s="8" t="s">
        <v>631</v>
      </c>
      <c r="E274" s="6">
        <v>45119.0</v>
      </c>
      <c r="F274" s="6">
        <v>45427.0</v>
      </c>
      <c r="G274" s="7">
        <v>5.09824821E8</v>
      </c>
      <c r="H274" s="2" t="s">
        <v>33</v>
      </c>
      <c r="I274" s="2">
        <f t="shared" ref="I274:P274" si="277">IF(ISBLANK(A274)=TRUE,0,1)</f>
        <v>1</v>
      </c>
      <c r="J274" s="2">
        <f t="shared" si="277"/>
        <v>1</v>
      </c>
      <c r="K274" s="2">
        <f t="shared" si="277"/>
        <v>1</v>
      </c>
      <c r="L274" s="2">
        <f t="shared" si="277"/>
        <v>1</v>
      </c>
      <c r="M274" s="2">
        <f t="shared" si="277"/>
        <v>1</v>
      </c>
      <c r="N274" s="2">
        <f t="shared" si="277"/>
        <v>1</v>
      </c>
      <c r="O274" s="2">
        <f t="shared" si="277"/>
        <v>1</v>
      </c>
      <c r="P274" s="2">
        <f t="shared" si="277"/>
        <v>1</v>
      </c>
      <c r="Q274" s="2">
        <f t="shared" si="3"/>
        <v>1</v>
      </c>
      <c r="R274" s="2">
        <f>IF(ISERROR(VLOOKUP(A274, 'Project Reference'!A:A, 1, FALSE)), 0, 1)</f>
        <v>1</v>
      </c>
      <c r="S274" s="2">
        <f>IFERROR(__xludf.DUMMYFUNCTION("IF(AND(REGEXMATCH(D274, B274), REGEXMATCH(D274, C274)), 1, 0)
"),1.0)</f>
        <v>1</v>
      </c>
      <c r="T274" s="2">
        <f t="shared" si="4"/>
        <v>1</v>
      </c>
      <c r="U274" s="2">
        <f t="shared" si="5"/>
        <v>1</v>
      </c>
      <c r="V274" s="2">
        <f t="shared" si="6"/>
        <v>1</v>
      </c>
    </row>
    <row r="275" ht="14.25" customHeight="1">
      <c r="A275" s="2" t="s">
        <v>316</v>
      </c>
      <c r="B275" s="2" t="s">
        <v>60</v>
      </c>
      <c r="C275" s="2" t="s">
        <v>39</v>
      </c>
      <c r="D275" s="8" t="s">
        <v>642</v>
      </c>
      <c r="E275" s="6">
        <v>45119.0</v>
      </c>
      <c r="F275" s="6">
        <v>45218.0</v>
      </c>
      <c r="G275" s="7">
        <v>4.249269902E9</v>
      </c>
      <c r="H275" s="22"/>
      <c r="I275" s="2">
        <f t="shared" ref="I275:P275" si="278">IF(ISBLANK(A275)=TRUE,0,1)</f>
        <v>1</v>
      </c>
      <c r="J275" s="2">
        <f t="shared" si="278"/>
        <v>1</v>
      </c>
      <c r="K275" s="2">
        <f t="shared" si="278"/>
        <v>1</v>
      </c>
      <c r="L275" s="2">
        <f t="shared" si="278"/>
        <v>1</v>
      </c>
      <c r="M275" s="2">
        <f t="shared" si="278"/>
        <v>1</v>
      </c>
      <c r="N275" s="2">
        <f t="shared" si="278"/>
        <v>1</v>
      </c>
      <c r="O275" s="2">
        <f t="shared" si="278"/>
        <v>1</v>
      </c>
      <c r="P275" s="2">
        <f t="shared" si="278"/>
        <v>0</v>
      </c>
      <c r="Q275" s="2">
        <f t="shared" si="3"/>
        <v>1</v>
      </c>
      <c r="R275" s="2">
        <f>IF(ISERROR(VLOOKUP(A275, 'Project Reference'!A:A, 1, FALSE)), 0, 1)</f>
        <v>1</v>
      </c>
      <c r="S275" s="2">
        <f>IFERROR(__xludf.DUMMYFUNCTION("IF(AND(REGEXMATCH(D275, B275), REGEXMATCH(D275, C275)), 1, 0)
"),1.0)</f>
        <v>1</v>
      </c>
      <c r="T275" s="2">
        <f t="shared" si="4"/>
        <v>1</v>
      </c>
      <c r="U275" s="2">
        <f t="shared" si="5"/>
        <v>1</v>
      </c>
      <c r="V275" s="2">
        <f t="shared" si="6"/>
        <v>1</v>
      </c>
    </row>
    <row r="276" ht="14.25" customHeight="1">
      <c r="A276" s="2" t="s">
        <v>317</v>
      </c>
      <c r="B276" s="2" t="s">
        <v>60</v>
      </c>
      <c r="C276" s="2" t="s">
        <v>42</v>
      </c>
      <c r="D276" s="8" t="s">
        <v>587</v>
      </c>
      <c r="E276" s="6">
        <v>45120.0</v>
      </c>
      <c r="F276" s="6">
        <v>45223.0</v>
      </c>
      <c r="G276" s="7">
        <v>2.236844121E9</v>
      </c>
      <c r="H276" s="8" t="s">
        <v>573</v>
      </c>
      <c r="I276" s="2">
        <f t="shared" ref="I276:P276" si="279">IF(ISBLANK(A276)=TRUE,0,1)</f>
        <v>1</v>
      </c>
      <c r="J276" s="2">
        <f t="shared" si="279"/>
        <v>1</v>
      </c>
      <c r="K276" s="2">
        <f t="shared" si="279"/>
        <v>1</v>
      </c>
      <c r="L276" s="2">
        <f t="shared" si="279"/>
        <v>1</v>
      </c>
      <c r="M276" s="2">
        <f t="shared" si="279"/>
        <v>1</v>
      </c>
      <c r="N276" s="2">
        <f t="shared" si="279"/>
        <v>1</v>
      </c>
      <c r="O276" s="2">
        <f t="shared" si="279"/>
        <v>1</v>
      </c>
      <c r="P276" s="2">
        <f t="shared" si="279"/>
        <v>1</v>
      </c>
      <c r="Q276" s="2">
        <f t="shared" si="3"/>
        <v>1</v>
      </c>
      <c r="R276" s="2">
        <f>IF(ISERROR(VLOOKUP(A276, 'Project Reference'!A:A, 1, FALSE)), 0, 1)</f>
        <v>1</v>
      </c>
      <c r="S276" s="2">
        <f>IFERROR(__xludf.DUMMYFUNCTION("IF(AND(REGEXMATCH(D276, B276), REGEXMATCH(D276, C276)), 1, 0)
"),1.0)</f>
        <v>1</v>
      </c>
      <c r="T276" s="2">
        <f t="shared" si="4"/>
        <v>1</v>
      </c>
      <c r="U276" s="2">
        <f t="shared" si="5"/>
        <v>1</v>
      </c>
      <c r="V276" s="2">
        <f t="shared" si="6"/>
        <v>1</v>
      </c>
    </row>
    <row r="277" ht="14.25" customHeight="1">
      <c r="A277" s="2" t="s">
        <v>318</v>
      </c>
      <c r="B277" s="2" t="s">
        <v>12</v>
      </c>
      <c r="C277" s="2" t="s">
        <v>24</v>
      </c>
      <c r="D277" s="8" t="s">
        <v>610</v>
      </c>
      <c r="E277" s="6">
        <v>45121.0</v>
      </c>
      <c r="F277" s="6">
        <v>45176.0</v>
      </c>
      <c r="G277" s="7">
        <v>3.69427315E8</v>
      </c>
      <c r="H277" s="8" t="s">
        <v>581</v>
      </c>
      <c r="I277" s="2">
        <f t="shared" ref="I277:P277" si="280">IF(ISBLANK(A277)=TRUE,0,1)</f>
        <v>1</v>
      </c>
      <c r="J277" s="2">
        <f t="shared" si="280"/>
        <v>1</v>
      </c>
      <c r="K277" s="2">
        <f t="shared" si="280"/>
        <v>1</v>
      </c>
      <c r="L277" s="2">
        <f t="shared" si="280"/>
        <v>1</v>
      </c>
      <c r="M277" s="2">
        <f t="shared" si="280"/>
        <v>1</v>
      </c>
      <c r="N277" s="2">
        <f t="shared" si="280"/>
        <v>1</v>
      </c>
      <c r="O277" s="2">
        <f t="shared" si="280"/>
        <v>1</v>
      </c>
      <c r="P277" s="2">
        <f t="shared" si="280"/>
        <v>1</v>
      </c>
      <c r="Q277" s="2">
        <f t="shared" si="3"/>
        <v>1</v>
      </c>
      <c r="R277" s="2">
        <f>IF(ISERROR(VLOOKUP(A277, 'Project Reference'!A:A, 1, FALSE)), 0, 1)</f>
        <v>1</v>
      </c>
      <c r="S277" s="2">
        <f>IFERROR(__xludf.DUMMYFUNCTION("IF(AND(REGEXMATCH(D277, B277), REGEXMATCH(D277, C277)), 1, 0)
"),1.0)</f>
        <v>1</v>
      </c>
      <c r="T277" s="2">
        <f t="shared" si="4"/>
        <v>1</v>
      </c>
      <c r="U277" s="2">
        <f t="shared" si="5"/>
        <v>1</v>
      </c>
      <c r="V277" s="2">
        <f t="shared" si="6"/>
        <v>1</v>
      </c>
    </row>
    <row r="278" ht="14.25" customHeight="1">
      <c r="A278" s="2" t="s">
        <v>319</v>
      </c>
      <c r="B278" s="2" t="s">
        <v>30</v>
      </c>
      <c r="C278" s="2" t="s">
        <v>24</v>
      </c>
      <c r="D278" s="8" t="s">
        <v>637</v>
      </c>
      <c r="E278" s="6">
        <v>45121.0</v>
      </c>
      <c r="F278" s="6">
        <v>45161.0</v>
      </c>
      <c r="G278" s="7">
        <v>3.688243132E9</v>
      </c>
      <c r="H278" s="8" t="s">
        <v>573</v>
      </c>
      <c r="I278" s="2">
        <f t="shared" ref="I278:P278" si="281">IF(ISBLANK(A278)=TRUE,0,1)</f>
        <v>1</v>
      </c>
      <c r="J278" s="2">
        <f t="shared" si="281"/>
        <v>1</v>
      </c>
      <c r="K278" s="2">
        <f t="shared" si="281"/>
        <v>1</v>
      </c>
      <c r="L278" s="2">
        <f t="shared" si="281"/>
        <v>1</v>
      </c>
      <c r="M278" s="2">
        <f t="shared" si="281"/>
        <v>1</v>
      </c>
      <c r="N278" s="2">
        <f t="shared" si="281"/>
        <v>1</v>
      </c>
      <c r="O278" s="2">
        <f t="shared" si="281"/>
        <v>1</v>
      </c>
      <c r="P278" s="2">
        <f t="shared" si="281"/>
        <v>1</v>
      </c>
      <c r="Q278" s="2">
        <f t="shared" si="3"/>
        <v>1</v>
      </c>
      <c r="R278" s="2">
        <f>IF(ISERROR(VLOOKUP(A278, 'Project Reference'!A:A, 1, FALSE)), 0, 1)</f>
        <v>1</v>
      </c>
      <c r="S278" s="2">
        <f>IFERROR(__xludf.DUMMYFUNCTION("IF(AND(REGEXMATCH(D278, B278), REGEXMATCH(D278, C278)), 1, 0)
"),1.0)</f>
        <v>1</v>
      </c>
      <c r="T278" s="2">
        <f t="shared" si="4"/>
        <v>1</v>
      </c>
      <c r="U278" s="2">
        <f t="shared" si="5"/>
        <v>1</v>
      </c>
      <c r="V278" s="2">
        <f t="shared" si="6"/>
        <v>1</v>
      </c>
    </row>
    <row r="279" ht="14.25" customHeight="1">
      <c r="A279" s="2" t="s">
        <v>320</v>
      </c>
      <c r="B279" s="2" t="s">
        <v>12</v>
      </c>
      <c r="C279" s="2" t="s">
        <v>48</v>
      </c>
      <c r="D279" s="8" t="s">
        <v>602</v>
      </c>
      <c r="E279" s="6">
        <v>45123.0</v>
      </c>
      <c r="F279" s="6">
        <v>45315.0</v>
      </c>
      <c r="G279" s="7">
        <v>3.81166441E8</v>
      </c>
      <c r="H279" s="2" t="s">
        <v>33</v>
      </c>
      <c r="I279" s="2">
        <f t="shared" ref="I279:P279" si="282">IF(ISBLANK(A279)=TRUE,0,1)</f>
        <v>1</v>
      </c>
      <c r="J279" s="2">
        <f t="shared" si="282"/>
        <v>1</v>
      </c>
      <c r="K279" s="2">
        <f t="shared" si="282"/>
        <v>1</v>
      </c>
      <c r="L279" s="2">
        <f t="shared" si="282"/>
        <v>1</v>
      </c>
      <c r="M279" s="2">
        <f t="shared" si="282"/>
        <v>1</v>
      </c>
      <c r="N279" s="2">
        <f t="shared" si="282"/>
        <v>1</v>
      </c>
      <c r="O279" s="2">
        <f t="shared" si="282"/>
        <v>1</v>
      </c>
      <c r="P279" s="2">
        <f t="shared" si="282"/>
        <v>1</v>
      </c>
      <c r="Q279" s="2">
        <f t="shared" si="3"/>
        <v>1</v>
      </c>
      <c r="R279" s="2">
        <f>IF(ISERROR(VLOOKUP(A279, 'Project Reference'!A:A, 1, FALSE)), 0, 1)</f>
        <v>1</v>
      </c>
      <c r="S279" s="2">
        <f>IFERROR(__xludf.DUMMYFUNCTION("IF(AND(REGEXMATCH(D279, B279), REGEXMATCH(D279, C279)), 1, 0)
"),1.0)</f>
        <v>1</v>
      </c>
      <c r="T279" s="2">
        <f t="shared" si="4"/>
        <v>1</v>
      </c>
      <c r="U279" s="2">
        <f t="shared" si="5"/>
        <v>1</v>
      </c>
      <c r="V279" s="2">
        <f t="shared" si="6"/>
        <v>1</v>
      </c>
    </row>
    <row r="280" ht="14.25" customHeight="1">
      <c r="A280" s="2" t="s">
        <v>321</v>
      </c>
      <c r="B280" s="2" t="s">
        <v>35</v>
      </c>
      <c r="C280" s="2" t="s">
        <v>13</v>
      </c>
      <c r="D280" s="2" t="s">
        <v>78</v>
      </c>
      <c r="E280" s="6">
        <v>45124.0</v>
      </c>
      <c r="F280" s="6">
        <v>45421.0</v>
      </c>
      <c r="G280" s="7">
        <v>6.04130639E8</v>
      </c>
      <c r="H280" s="22"/>
      <c r="I280" s="2">
        <f t="shared" ref="I280:P280" si="283">IF(ISBLANK(A280)=TRUE,0,1)</f>
        <v>1</v>
      </c>
      <c r="J280" s="2">
        <f t="shared" si="283"/>
        <v>1</v>
      </c>
      <c r="K280" s="2">
        <f t="shared" si="283"/>
        <v>1</v>
      </c>
      <c r="L280" s="2">
        <f t="shared" si="283"/>
        <v>1</v>
      </c>
      <c r="M280" s="2">
        <f t="shared" si="283"/>
        <v>1</v>
      </c>
      <c r="N280" s="2">
        <f t="shared" si="283"/>
        <v>1</v>
      </c>
      <c r="O280" s="2">
        <f t="shared" si="283"/>
        <v>1</v>
      </c>
      <c r="P280" s="2">
        <f t="shared" si="283"/>
        <v>0</v>
      </c>
      <c r="Q280" s="2">
        <f t="shared" si="3"/>
        <v>1</v>
      </c>
      <c r="R280" s="2">
        <f>IF(ISERROR(VLOOKUP(A280, 'Project Reference'!A:A, 1, FALSE)), 0, 1)</f>
        <v>1</v>
      </c>
      <c r="S280" s="2">
        <f>IFERROR(__xludf.DUMMYFUNCTION("IF(AND(REGEXMATCH(D280, B280), REGEXMATCH(D280, C280)), 1, 0)
"),1.0)</f>
        <v>1</v>
      </c>
      <c r="T280" s="2">
        <f t="shared" si="4"/>
        <v>1</v>
      </c>
      <c r="U280" s="2">
        <f t="shared" si="5"/>
        <v>1</v>
      </c>
      <c r="V280" s="2">
        <f t="shared" si="6"/>
        <v>1</v>
      </c>
    </row>
    <row r="281" ht="14.25" customHeight="1">
      <c r="A281" s="2" t="s">
        <v>322</v>
      </c>
      <c r="B281" s="2" t="s">
        <v>12</v>
      </c>
      <c r="C281" s="2" t="s">
        <v>42</v>
      </c>
      <c r="D281" s="8" t="s">
        <v>603</v>
      </c>
      <c r="E281" s="6">
        <v>45124.0</v>
      </c>
      <c r="F281" s="6">
        <v>45258.0</v>
      </c>
      <c r="G281" s="7">
        <v>2.83236486E8</v>
      </c>
      <c r="H281" s="2" t="s">
        <v>44</v>
      </c>
      <c r="I281" s="2">
        <f t="shared" ref="I281:P281" si="284">IF(ISBLANK(A281)=TRUE,0,1)</f>
        <v>1</v>
      </c>
      <c r="J281" s="2">
        <f t="shared" si="284"/>
        <v>1</v>
      </c>
      <c r="K281" s="2">
        <f t="shared" si="284"/>
        <v>1</v>
      </c>
      <c r="L281" s="2">
        <f t="shared" si="284"/>
        <v>1</v>
      </c>
      <c r="M281" s="2">
        <f t="shared" si="284"/>
        <v>1</v>
      </c>
      <c r="N281" s="2">
        <f t="shared" si="284"/>
        <v>1</v>
      </c>
      <c r="O281" s="2">
        <f t="shared" si="284"/>
        <v>1</v>
      </c>
      <c r="P281" s="2">
        <f t="shared" si="284"/>
        <v>1</v>
      </c>
      <c r="Q281" s="2">
        <f t="shared" si="3"/>
        <v>1</v>
      </c>
      <c r="R281" s="2">
        <f>IF(ISERROR(VLOOKUP(A281, 'Project Reference'!A:A, 1, FALSE)), 0, 1)</f>
        <v>1</v>
      </c>
      <c r="S281" s="2">
        <f>IFERROR(__xludf.DUMMYFUNCTION("IF(AND(REGEXMATCH(D281, B281), REGEXMATCH(D281, C281)), 1, 0)
"),1.0)</f>
        <v>1</v>
      </c>
      <c r="T281" s="2">
        <f t="shared" si="4"/>
        <v>1</v>
      </c>
      <c r="U281" s="2">
        <f t="shared" si="5"/>
        <v>1</v>
      </c>
      <c r="V281" s="2">
        <f t="shared" si="6"/>
        <v>1</v>
      </c>
    </row>
    <row r="282" ht="14.25" customHeight="1">
      <c r="A282" s="2" t="s">
        <v>323</v>
      </c>
      <c r="B282" s="2" t="s">
        <v>35</v>
      </c>
      <c r="C282" s="2" t="s">
        <v>31</v>
      </c>
      <c r="D282" s="2" t="s">
        <v>91</v>
      </c>
      <c r="E282" s="6">
        <v>45124.0</v>
      </c>
      <c r="F282" s="6">
        <v>45269.0</v>
      </c>
      <c r="G282" s="7">
        <v>2.88462185E8</v>
      </c>
      <c r="H282" s="2" t="s">
        <v>67</v>
      </c>
      <c r="I282" s="2">
        <f t="shared" ref="I282:P282" si="285">IF(ISBLANK(A282)=TRUE,0,1)</f>
        <v>1</v>
      </c>
      <c r="J282" s="2">
        <f t="shared" si="285"/>
        <v>1</v>
      </c>
      <c r="K282" s="2">
        <f t="shared" si="285"/>
        <v>1</v>
      </c>
      <c r="L282" s="2">
        <f t="shared" si="285"/>
        <v>1</v>
      </c>
      <c r="M282" s="2">
        <f t="shared" si="285"/>
        <v>1</v>
      </c>
      <c r="N282" s="2">
        <f t="shared" si="285"/>
        <v>1</v>
      </c>
      <c r="O282" s="2">
        <f t="shared" si="285"/>
        <v>1</v>
      </c>
      <c r="P282" s="2">
        <f t="shared" si="285"/>
        <v>1</v>
      </c>
      <c r="Q282" s="2">
        <f t="shared" si="3"/>
        <v>1</v>
      </c>
      <c r="R282" s="2">
        <f>IF(ISERROR(VLOOKUP(A282, 'Project Reference'!A:A, 1, FALSE)), 0, 1)</f>
        <v>1</v>
      </c>
      <c r="S282" s="2">
        <f>IFERROR(__xludf.DUMMYFUNCTION("IF(AND(REGEXMATCH(D282, B282), REGEXMATCH(D282, C282)), 1, 0)
"),1.0)</f>
        <v>1</v>
      </c>
      <c r="T282" s="2">
        <f t="shared" si="4"/>
        <v>1</v>
      </c>
      <c r="U282" s="2">
        <f t="shared" si="5"/>
        <v>1</v>
      </c>
      <c r="V282" s="2">
        <f t="shared" si="6"/>
        <v>1</v>
      </c>
    </row>
    <row r="283" ht="14.25" customHeight="1">
      <c r="A283" s="2" t="s">
        <v>324</v>
      </c>
      <c r="B283" s="2" t="s">
        <v>12</v>
      </c>
      <c r="C283" s="2" t="s">
        <v>36</v>
      </c>
      <c r="D283" s="8" t="s">
        <v>578</v>
      </c>
      <c r="E283" s="6">
        <v>45125.0</v>
      </c>
      <c r="F283" s="6">
        <v>45419.0</v>
      </c>
      <c r="G283" s="7">
        <v>7.06008565E8</v>
      </c>
      <c r="H283" s="2" t="s">
        <v>33</v>
      </c>
      <c r="I283" s="2">
        <f t="shared" ref="I283:P283" si="286">IF(ISBLANK(A283)=TRUE,0,1)</f>
        <v>1</v>
      </c>
      <c r="J283" s="2">
        <f t="shared" si="286"/>
        <v>1</v>
      </c>
      <c r="K283" s="2">
        <f t="shared" si="286"/>
        <v>1</v>
      </c>
      <c r="L283" s="2">
        <f t="shared" si="286"/>
        <v>1</v>
      </c>
      <c r="M283" s="2">
        <f t="shared" si="286"/>
        <v>1</v>
      </c>
      <c r="N283" s="2">
        <f t="shared" si="286"/>
        <v>1</v>
      </c>
      <c r="O283" s="2">
        <f t="shared" si="286"/>
        <v>1</v>
      </c>
      <c r="P283" s="2">
        <f t="shared" si="286"/>
        <v>1</v>
      </c>
      <c r="Q283" s="2">
        <f t="shared" si="3"/>
        <v>1</v>
      </c>
      <c r="R283" s="2">
        <f>IF(ISERROR(VLOOKUP(A283, 'Project Reference'!A:A, 1, FALSE)), 0, 1)</f>
        <v>1</v>
      </c>
      <c r="S283" s="2">
        <f>IFERROR(__xludf.DUMMYFUNCTION("IF(AND(REGEXMATCH(D283, B283), REGEXMATCH(D283, C283)), 1, 0)
"),1.0)</f>
        <v>1</v>
      </c>
      <c r="T283" s="2">
        <f t="shared" si="4"/>
        <v>1</v>
      </c>
      <c r="U283" s="2">
        <f t="shared" si="5"/>
        <v>1</v>
      </c>
      <c r="V283" s="2">
        <f t="shared" si="6"/>
        <v>1</v>
      </c>
    </row>
    <row r="284" ht="14.25" customHeight="1">
      <c r="A284" s="2" t="s">
        <v>325</v>
      </c>
      <c r="B284" s="2" t="s">
        <v>30</v>
      </c>
      <c r="C284" s="2" t="s">
        <v>39</v>
      </c>
      <c r="D284" s="8" t="s">
        <v>590</v>
      </c>
      <c r="E284" s="6">
        <v>45125.0</v>
      </c>
      <c r="F284" s="6">
        <v>45317.0</v>
      </c>
      <c r="G284" s="7">
        <v>3.442468253E9</v>
      </c>
      <c r="H284" s="2" t="s">
        <v>33</v>
      </c>
      <c r="I284" s="2">
        <f t="shared" ref="I284:P284" si="287">IF(ISBLANK(A284)=TRUE,0,1)</f>
        <v>1</v>
      </c>
      <c r="J284" s="2">
        <f t="shared" si="287"/>
        <v>1</v>
      </c>
      <c r="K284" s="2">
        <f t="shared" si="287"/>
        <v>1</v>
      </c>
      <c r="L284" s="2">
        <f t="shared" si="287"/>
        <v>1</v>
      </c>
      <c r="M284" s="2">
        <f t="shared" si="287"/>
        <v>1</v>
      </c>
      <c r="N284" s="2">
        <f t="shared" si="287"/>
        <v>1</v>
      </c>
      <c r="O284" s="2">
        <f t="shared" si="287"/>
        <v>1</v>
      </c>
      <c r="P284" s="2">
        <f t="shared" si="287"/>
        <v>1</v>
      </c>
      <c r="Q284" s="2">
        <f t="shared" si="3"/>
        <v>1</v>
      </c>
      <c r="R284" s="2">
        <f>IF(ISERROR(VLOOKUP(A284, 'Project Reference'!A:A, 1, FALSE)), 0, 1)</f>
        <v>1</v>
      </c>
      <c r="S284" s="2">
        <f>IFERROR(__xludf.DUMMYFUNCTION("IF(AND(REGEXMATCH(D284, B284), REGEXMATCH(D284, C284)), 1, 0)
"),1.0)</f>
        <v>1</v>
      </c>
      <c r="T284" s="2">
        <f t="shared" si="4"/>
        <v>1</v>
      </c>
      <c r="U284" s="2">
        <f t="shared" si="5"/>
        <v>1</v>
      </c>
      <c r="V284" s="2">
        <f t="shared" si="6"/>
        <v>1</v>
      </c>
    </row>
    <row r="285" ht="14.25" customHeight="1">
      <c r="A285" s="2" t="s">
        <v>326</v>
      </c>
      <c r="B285" s="2" t="s">
        <v>60</v>
      </c>
      <c r="C285" s="2" t="s">
        <v>48</v>
      </c>
      <c r="D285" s="8" t="s">
        <v>625</v>
      </c>
      <c r="E285" s="6">
        <v>45125.0</v>
      </c>
      <c r="F285" s="6">
        <v>45188.0</v>
      </c>
      <c r="G285" s="7">
        <v>2.233995238E9</v>
      </c>
      <c r="H285" s="2" t="s">
        <v>67</v>
      </c>
      <c r="I285" s="2">
        <f t="shared" ref="I285:P285" si="288">IF(ISBLANK(A285)=TRUE,0,1)</f>
        <v>1</v>
      </c>
      <c r="J285" s="2">
        <f t="shared" si="288"/>
        <v>1</v>
      </c>
      <c r="K285" s="2">
        <f t="shared" si="288"/>
        <v>1</v>
      </c>
      <c r="L285" s="2">
        <f t="shared" si="288"/>
        <v>1</v>
      </c>
      <c r="M285" s="2">
        <f t="shared" si="288"/>
        <v>1</v>
      </c>
      <c r="N285" s="2">
        <f t="shared" si="288"/>
        <v>1</v>
      </c>
      <c r="O285" s="2">
        <f t="shared" si="288"/>
        <v>1</v>
      </c>
      <c r="P285" s="2">
        <f t="shared" si="288"/>
        <v>1</v>
      </c>
      <c r="Q285" s="2">
        <f t="shared" si="3"/>
        <v>1</v>
      </c>
      <c r="R285" s="2">
        <f>IF(ISERROR(VLOOKUP(A285, 'Project Reference'!A:A, 1, FALSE)), 0, 1)</f>
        <v>1</v>
      </c>
      <c r="S285" s="2">
        <f>IFERROR(__xludf.DUMMYFUNCTION("IF(AND(REGEXMATCH(D285, B285), REGEXMATCH(D285, C285)), 1, 0)
"),1.0)</f>
        <v>1</v>
      </c>
      <c r="T285" s="2">
        <f t="shared" si="4"/>
        <v>1</v>
      </c>
      <c r="U285" s="2">
        <f t="shared" si="5"/>
        <v>1</v>
      </c>
      <c r="V285" s="2">
        <f t="shared" si="6"/>
        <v>1</v>
      </c>
    </row>
    <row r="286" ht="14.25" customHeight="1">
      <c r="A286" s="2" t="s">
        <v>327</v>
      </c>
      <c r="B286" s="2" t="s">
        <v>35</v>
      </c>
      <c r="C286" s="2" t="s">
        <v>13</v>
      </c>
      <c r="D286" s="2" t="s">
        <v>78</v>
      </c>
      <c r="E286" s="6">
        <v>45125.0</v>
      </c>
      <c r="F286" s="6">
        <v>45277.0</v>
      </c>
      <c r="G286" s="7">
        <v>5.79386663E8</v>
      </c>
      <c r="H286" s="2" t="s">
        <v>67</v>
      </c>
      <c r="I286" s="2">
        <f t="shared" ref="I286:P286" si="289">IF(ISBLANK(A286)=TRUE,0,1)</f>
        <v>1</v>
      </c>
      <c r="J286" s="2">
        <f t="shared" si="289"/>
        <v>1</v>
      </c>
      <c r="K286" s="2">
        <f t="shared" si="289"/>
        <v>1</v>
      </c>
      <c r="L286" s="2">
        <f t="shared" si="289"/>
        <v>1</v>
      </c>
      <c r="M286" s="2">
        <f t="shared" si="289"/>
        <v>1</v>
      </c>
      <c r="N286" s="2">
        <f t="shared" si="289"/>
        <v>1</v>
      </c>
      <c r="O286" s="2">
        <f t="shared" si="289"/>
        <v>1</v>
      </c>
      <c r="P286" s="2">
        <f t="shared" si="289"/>
        <v>1</v>
      </c>
      <c r="Q286" s="2">
        <f t="shared" si="3"/>
        <v>1</v>
      </c>
      <c r="R286" s="2">
        <f>IF(ISERROR(VLOOKUP(A286, 'Project Reference'!A:A, 1, FALSE)), 0, 1)</f>
        <v>1</v>
      </c>
      <c r="S286" s="2">
        <f>IFERROR(__xludf.DUMMYFUNCTION("IF(AND(REGEXMATCH(D286, B286), REGEXMATCH(D286, C286)), 1, 0)
"),1.0)</f>
        <v>1</v>
      </c>
      <c r="T286" s="2">
        <f t="shared" si="4"/>
        <v>1</v>
      </c>
      <c r="U286" s="2">
        <f t="shared" si="5"/>
        <v>1</v>
      </c>
      <c r="V286" s="2">
        <f t="shared" si="6"/>
        <v>1</v>
      </c>
    </row>
    <row r="287" ht="14.25" customHeight="1">
      <c r="A287" s="2" t="s">
        <v>328</v>
      </c>
      <c r="B287" s="2" t="s">
        <v>18</v>
      </c>
      <c r="C287" s="2" t="s">
        <v>24</v>
      </c>
      <c r="D287" s="8" t="s">
        <v>618</v>
      </c>
      <c r="E287" s="6">
        <v>45125.0</v>
      </c>
      <c r="F287" s="6">
        <v>45327.0</v>
      </c>
      <c r="G287" s="7">
        <v>2.89251248E9</v>
      </c>
      <c r="H287" s="2" t="s">
        <v>67</v>
      </c>
      <c r="I287" s="2">
        <f t="shared" ref="I287:P287" si="290">IF(ISBLANK(A287)=TRUE,0,1)</f>
        <v>1</v>
      </c>
      <c r="J287" s="2">
        <f t="shared" si="290"/>
        <v>1</v>
      </c>
      <c r="K287" s="2">
        <f t="shared" si="290"/>
        <v>1</v>
      </c>
      <c r="L287" s="2">
        <f t="shared" si="290"/>
        <v>1</v>
      </c>
      <c r="M287" s="2">
        <f t="shared" si="290"/>
        <v>1</v>
      </c>
      <c r="N287" s="2">
        <f t="shared" si="290"/>
        <v>1</v>
      </c>
      <c r="O287" s="2">
        <f t="shared" si="290"/>
        <v>1</v>
      </c>
      <c r="P287" s="2">
        <f t="shared" si="290"/>
        <v>1</v>
      </c>
      <c r="Q287" s="2">
        <f t="shared" si="3"/>
        <v>1</v>
      </c>
      <c r="R287" s="2">
        <f>IF(ISERROR(VLOOKUP(A287, 'Project Reference'!A:A, 1, FALSE)), 0, 1)</f>
        <v>1</v>
      </c>
      <c r="S287" s="2">
        <f>IFERROR(__xludf.DUMMYFUNCTION("IF(AND(REGEXMATCH(D287, B287), REGEXMATCH(D287, C287)), 1, 0)
"),1.0)</f>
        <v>1</v>
      </c>
      <c r="T287" s="2">
        <f t="shared" si="4"/>
        <v>1</v>
      </c>
      <c r="U287" s="2">
        <f t="shared" si="5"/>
        <v>1</v>
      </c>
      <c r="V287" s="2">
        <f t="shared" si="6"/>
        <v>1</v>
      </c>
    </row>
    <row r="288" ht="14.25" customHeight="1">
      <c r="A288" s="2" t="s">
        <v>329</v>
      </c>
      <c r="B288" s="2" t="s">
        <v>30</v>
      </c>
      <c r="C288" s="2" t="s">
        <v>36</v>
      </c>
      <c r="D288" s="8" t="s">
        <v>614</v>
      </c>
      <c r="E288" s="6">
        <v>45126.0</v>
      </c>
      <c r="F288" s="6">
        <v>45187.0</v>
      </c>
      <c r="G288" s="7">
        <v>1.731360253E9</v>
      </c>
      <c r="H288" s="8" t="s">
        <v>581</v>
      </c>
      <c r="I288" s="2">
        <f t="shared" ref="I288:P288" si="291">IF(ISBLANK(A288)=TRUE,0,1)</f>
        <v>1</v>
      </c>
      <c r="J288" s="2">
        <f t="shared" si="291"/>
        <v>1</v>
      </c>
      <c r="K288" s="2">
        <f t="shared" si="291"/>
        <v>1</v>
      </c>
      <c r="L288" s="2">
        <f t="shared" si="291"/>
        <v>1</v>
      </c>
      <c r="M288" s="2">
        <f t="shared" si="291"/>
        <v>1</v>
      </c>
      <c r="N288" s="2">
        <f t="shared" si="291"/>
        <v>1</v>
      </c>
      <c r="O288" s="2">
        <f t="shared" si="291"/>
        <v>1</v>
      </c>
      <c r="P288" s="2">
        <f t="shared" si="291"/>
        <v>1</v>
      </c>
      <c r="Q288" s="2">
        <f t="shared" si="3"/>
        <v>1</v>
      </c>
      <c r="R288" s="2">
        <f>IF(ISERROR(VLOOKUP(A288, 'Project Reference'!A:A, 1, FALSE)), 0, 1)</f>
        <v>1</v>
      </c>
      <c r="S288" s="2">
        <f>IFERROR(__xludf.DUMMYFUNCTION("IF(AND(REGEXMATCH(D288, B288), REGEXMATCH(D288, C288)), 1, 0)
"),1.0)</f>
        <v>1</v>
      </c>
      <c r="T288" s="2">
        <f t="shared" si="4"/>
        <v>1</v>
      </c>
      <c r="U288" s="2">
        <f t="shared" si="5"/>
        <v>1</v>
      </c>
      <c r="V288" s="2">
        <f t="shared" si="6"/>
        <v>1</v>
      </c>
    </row>
    <row r="289" ht="14.25" customHeight="1">
      <c r="A289" s="2" t="s">
        <v>330</v>
      </c>
      <c r="B289" s="2" t="s">
        <v>60</v>
      </c>
      <c r="C289" s="2" t="s">
        <v>36</v>
      </c>
      <c r="D289" s="8" t="s">
        <v>597</v>
      </c>
      <c r="E289" s="6">
        <v>45128.0</v>
      </c>
      <c r="F289" s="6">
        <v>45204.0</v>
      </c>
      <c r="G289" s="7">
        <v>4.702380798E9</v>
      </c>
      <c r="H289" s="2" t="s">
        <v>33</v>
      </c>
      <c r="I289" s="2">
        <f t="shared" ref="I289:P289" si="292">IF(ISBLANK(A289)=TRUE,0,1)</f>
        <v>1</v>
      </c>
      <c r="J289" s="2">
        <f t="shared" si="292"/>
        <v>1</v>
      </c>
      <c r="K289" s="2">
        <f t="shared" si="292"/>
        <v>1</v>
      </c>
      <c r="L289" s="2">
        <f t="shared" si="292"/>
        <v>1</v>
      </c>
      <c r="M289" s="2">
        <f t="shared" si="292"/>
        <v>1</v>
      </c>
      <c r="N289" s="2">
        <f t="shared" si="292"/>
        <v>1</v>
      </c>
      <c r="O289" s="2">
        <f t="shared" si="292"/>
        <v>1</v>
      </c>
      <c r="P289" s="2">
        <f t="shared" si="292"/>
        <v>1</v>
      </c>
      <c r="Q289" s="2">
        <f t="shared" si="3"/>
        <v>1</v>
      </c>
      <c r="R289" s="2">
        <f>IF(ISERROR(VLOOKUP(A289, 'Project Reference'!A:A, 1, FALSE)), 0, 1)</f>
        <v>1</v>
      </c>
      <c r="S289" s="2">
        <f>IFERROR(__xludf.DUMMYFUNCTION("IF(AND(REGEXMATCH(D289, B289), REGEXMATCH(D289, C289)), 1, 0)
"),1.0)</f>
        <v>1</v>
      </c>
      <c r="T289" s="2">
        <f t="shared" si="4"/>
        <v>1</v>
      </c>
      <c r="U289" s="2">
        <f t="shared" si="5"/>
        <v>1</v>
      </c>
      <c r="V289" s="2">
        <f t="shared" si="6"/>
        <v>1</v>
      </c>
    </row>
    <row r="290" ht="14.25" customHeight="1">
      <c r="A290" s="2" t="s">
        <v>331</v>
      </c>
      <c r="B290" s="2" t="s">
        <v>18</v>
      </c>
      <c r="C290" s="2" t="s">
        <v>31</v>
      </c>
      <c r="D290" s="8" t="s">
        <v>636</v>
      </c>
      <c r="E290" s="6">
        <v>45128.0</v>
      </c>
      <c r="F290" s="6">
        <v>45275.0</v>
      </c>
      <c r="G290" s="7">
        <v>1.321857853E9</v>
      </c>
      <c r="H290" s="2" t="s">
        <v>44</v>
      </c>
      <c r="I290" s="2">
        <f t="shared" ref="I290:P290" si="293">IF(ISBLANK(A290)=TRUE,0,1)</f>
        <v>1</v>
      </c>
      <c r="J290" s="2">
        <f t="shared" si="293"/>
        <v>1</v>
      </c>
      <c r="K290" s="2">
        <f t="shared" si="293"/>
        <v>1</v>
      </c>
      <c r="L290" s="2">
        <f t="shared" si="293"/>
        <v>1</v>
      </c>
      <c r="M290" s="2">
        <f t="shared" si="293"/>
        <v>1</v>
      </c>
      <c r="N290" s="2">
        <f t="shared" si="293"/>
        <v>1</v>
      </c>
      <c r="O290" s="2">
        <f t="shared" si="293"/>
        <v>1</v>
      </c>
      <c r="P290" s="2">
        <f t="shared" si="293"/>
        <v>1</v>
      </c>
      <c r="Q290" s="2">
        <f t="shared" si="3"/>
        <v>1</v>
      </c>
      <c r="R290" s="2">
        <f>IF(ISERROR(VLOOKUP(A290, 'Project Reference'!A:A, 1, FALSE)), 0, 1)</f>
        <v>1</v>
      </c>
      <c r="S290" s="2">
        <f>IFERROR(__xludf.DUMMYFUNCTION("IF(AND(REGEXMATCH(D290, B290), REGEXMATCH(D290, C290)), 1, 0)
"),1.0)</f>
        <v>1</v>
      </c>
      <c r="T290" s="2">
        <f t="shared" si="4"/>
        <v>1</v>
      </c>
      <c r="U290" s="2">
        <f t="shared" si="5"/>
        <v>1</v>
      </c>
      <c r="V290" s="2">
        <f t="shared" si="6"/>
        <v>1</v>
      </c>
    </row>
    <row r="291" ht="14.25" customHeight="1">
      <c r="A291" s="2" t="s">
        <v>332</v>
      </c>
      <c r="B291" s="2" t="s">
        <v>30</v>
      </c>
      <c r="C291" s="2" t="s">
        <v>39</v>
      </c>
      <c r="D291" s="8" t="s">
        <v>590</v>
      </c>
      <c r="E291" s="6">
        <v>45128.0</v>
      </c>
      <c r="F291" s="6">
        <v>45188.0</v>
      </c>
      <c r="G291" s="7">
        <v>4.256914338E9</v>
      </c>
      <c r="H291" s="2" t="s">
        <v>67</v>
      </c>
      <c r="I291" s="2">
        <f t="shared" ref="I291:P291" si="294">IF(ISBLANK(A291)=TRUE,0,1)</f>
        <v>1</v>
      </c>
      <c r="J291" s="2">
        <f t="shared" si="294"/>
        <v>1</v>
      </c>
      <c r="K291" s="2">
        <f t="shared" si="294"/>
        <v>1</v>
      </c>
      <c r="L291" s="2">
        <f t="shared" si="294"/>
        <v>1</v>
      </c>
      <c r="M291" s="2">
        <f t="shared" si="294"/>
        <v>1</v>
      </c>
      <c r="N291" s="2">
        <f t="shared" si="294"/>
        <v>1</v>
      </c>
      <c r="O291" s="2">
        <f t="shared" si="294"/>
        <v>1</v>
      </c>
      <c r="P291" s="2">
        <f t="shared" si="294"/>
        <v>1</v>
      </c>
      <c r="Q291" s="2">
        <f t="shared" si="3"/>
        <v>1</v>
      </c>
      <c r="R291" s="2">
        <f>IF(ISERROR(VLOOKUP(A291, 'Project Reference'!A:A, 1, FALSE)), 0, 1)</f>
        <v>1</v>
      </c>
      <c r="S291" s="2">
        <f>IFERROR(__xludf.DUMMYFUNCTION("IF(AND(REGEXMATCH(D291, B291), REGEXMATCH(D291, C291)), 1, 0)
"),1.0)</f>
        <v>1</v>
      </c>
      <c r="T291" s="2">
        <f t="shared" si="4"/>
        <v>1</v>
      </c>
      <c r="U291" s="2">
        <f t="shared" si="5"/>
        <v>1</v>
      </c>
      <c r="V291" s="2">
        <f t="shared" si="6"/>
        <v>1</v>
      </c>
    </row>
    <row r="292" ht="14.25" customHeight="1">
      <c r="A292" s="2" t="s">
        <v>333</v>
      </c>
      <c r="B292" s="2" t="s">
        <v>35</v>
      </c>
      <c r="C292" s="2" t="s">
        <v>31</v>
      </c>
      <c r="D292" s="2" t="s">
        <v>91</v>
      </c>
      <c r="E292" s="6">
        <v>45128.0</v>
      </c>
      <c r="F292" s="6">
        <v>45492.0</v>
      </c>
      <c r="G292" s="7">
        <v>2.02438902E8</v>
      </c>
      <c r="H292" s="2" t="s">
        <v>33</v>
      </c>
      <c r="I292" s="2">
        <f t="shared" ref="I292:P292" si="295">IF(ISBLANK(A292)=TRUE,0,1)</f>
        <v>1</v>
      </c>
      <c r="J292" s="2">
        <f t="shared" si="295"/>
        <v>1</v>
      </c>
      <c r="K292" s="2">
        <f t="shared" si="295"/>
        <v>1</v>
      </c>
      <c r="L292" s="2">
        <f t="shared" si="295"/>
        <v>1</v>
      </c>
      <c r="M292" s="2">
        <f t="shared" si="295"/>
        <v>1</v>
      </c>
      <c r="N292" s="2">
        <f t="shared" si="295"/>
        <v>1</v>
      </c>
      <c r="O292" s="2">
        <f t="shared" si="295"/>
        <v>1</v>
      </c>
      <c r="P292" s="2">
        <f t="shared" si="295"/>
        <v>1</v>
      </c>
      <c r="Q292" s="2">
        <f t="shared" si="3"/>
        <v>1</v>
      </c>
      <c r="R292" s="2">
        <f>IF(ISERROR(VLOOKUP(A292, 'Project Reference'!A:A, 1, FALSE)), 0, 1)</f>
        <v>1</v>
      </c>
      <c r="S292" s="2">
        <f>IFERROR(__xludf.DUMMYFUNCTION("IF(AND(REGEXMATCH(D292, B292), REGEXMATCH(D292, C292)), 1, 0)
"),1.0)</f>
        <v>1</v>
      </c>
      <c r="T292" s="2">
        <f t="shared" si="4"/>
        <v>1</v>
      </c>
      <c r="U292" s="2">
        <f t="shared" si="5"/>
        <v>1</v>
      </c>
      <c r="V292" s="2">
        <f t="shared" si="6"/>
        <v>1</v>
      </c>
    </row>
    <row r="293" ht="14.25" customHeight="1">
      <c r="A293" s="2" t="s">
        <v>334</v>
      </c>
      <c r="B293" s="2" t="s">
        <v>18</v>
      </c>
      <c r="C293" s="2" t="s">
        <v>36</v>
      </c>
      <c r="D293" s="8" t="s">
        <v>634</v>
      </c>
      <c r="E293" s="6">
        <v>45129.0</v>
      </c>
      <c r="F293" s="6">
        <v>45264.0</v>
      </c>
      <c r="G293" s="7">
        <v>7.153815573E9</v>
      </c>
      <c r="H293" s="2" t="s">
        <v>44</v>
      </c>
      <c r="I293" s="2">
        <f t="shared" ref="I293:P293" si="296">IF(ISBLANK(A293)=TRUE,0,1)</f>
        <v>1</v>
      </c>
      <c r="J293" s="2">
        <f t="shared" si="296"/>
        <v>1</v>
      </c>
      <c r="K293" s="2">
        <f t="shared" si="296"/>
        <v>1</v>
      </c>
      <c r="L293" s="2">
        <f t="shared" si="296"/>
        <v>1</v>
      </c>
      <c r="M293" s="2">
        <f t="shared" si="296"/>
        <v>1</v>
      </c>
      <c r="N293" s="2">
        <f t="shared" si="296"/>
        <v>1</v>
      </c>
      <c r="O293" s="2">
        <f t="shared" si="296"/>
        <v>1</v>
      </c>
      <c r="P293" s="2">
        <f t="shared" si="296"/>
        <v>1</v>
      </c>
      <c r="Q293" s="2">
        <f t="shared" si="3"/>
        <v>1</v>
      </c>
      <c r="R293" s="2">
        <f>IF(ISERROR(VLOOKUP(A293, 'Project Reference'!A:A, 1, FALSE)), 0, 1)</f>
        <v>1</v>
      </c>
      <c r="S293" s="2">
        <f>IFERROR(__xludf.DUMMYFUNCTION("IF(AND(REGEXMATCH(D293, B293), REGEXMATCH(D293, C293)), 1, 0)
"),1.0)</f>
        <v>1</v>
      </c>
      <c r="T293" s="2">
        <f t="shared" si="4"/>
        <v>1</v>
      </c>
      <c r="U293" s="2">
        <f t="shared" si="5"/>
        <v>1</v>
      </c>
      <c r="V293" s="2">
        <f t="shared" si="6"/>
        <v>1</v>
      </c>
    </row>
    <row r="294" ht="14.25" customHeight="1">
      <c r="A294" s="2" t="s">
        <v>335</v>
      </c>
      <c r="B294" s="2" t="s">
        <v>60</v>
      </c>
      <c r="C294" s="2" t="s">
        <v>24</v>
      </c>
      <c r="D294" s="8" t="s">
        <v>575</v>
      </c>
      <c r="E294" s="6">
        <v>45129.0</v>
      </c>
      <c r="F294" s="6">
        <v>45285.0</v>
      </c>
      <c r="G294" s="7">
        <v>2.21023244E9</v>
      </c>
      <c r="H294" s="8" t="s">
        <v>581</v>
      </c>
      <c r="I294" s="2">
        <f t="shared" ref="I294:P294" si="297">IF(ISBLANK(A294)=TRUE,0,1)</f>
        <v>1</v>
      </c>
      <c r="J294" s="2">
        <f t="shared" si="297"/>
        <v>1</v>
      </c>
      <c r="K294" s="2">
        <f t="shared" si="297"/>
        <v>1</v>
      </c>
      <c r="L294" s="2">
        <f t="shared" si="297"/>
        <v>1</v>
      </c>
      <c r="M294" s="2">
        <f t="shared" si="297"/>
        <v>1</v>
      </c>
      <c r="N294" s="2">
        <f t="shared" si="297"/>
        <v>1</v>
      </c>
      <c r="O294" s="2">
        <f t="shared" si="297"/>
        <v>1</v>
      </c>
      <c r="P294" s="2">
        <f t="shared" si="297"/>
        <v>1</v>
      </c>
      <c r="Q294" s="2">
        <f t="shared" si="3"/>
        <v>1</v>
      </c>
      <c r="R294" s="2">
        <f>IF(ISERROR(VLOOKUP(A294, 'Project Reference'!A:A, 1, FALSE)), 0, 1)</f>
        <v>1</v>
      </c>
      <c r="S294" s="2">
        <f>IFERROR(__xludf.DUMMYFUNCTION("IF(AND(REGEXMATCH(D294, B294), REGEXMATCH(D294, C294)), 1, 0)
"),1.0)</f>
        <v>1</v>
      </c>
      <c r="T294" s="2">
        <f t="shared" si="4"/>
        <v>1</v>
      </c>
      <c r="U294" s="2">
        <f t="shared" si="5"/>
        <v>1</v>
      </c>
      <c r="V294" s="2">
        <f t="shared" si="6"/>
        <v>1</v>
      </c>
    </row>
    <row r="295" ht="14.25" customHeight="1">
      <c r="A295" s="2" t="s">
        <v>337</v>
      </c>
      <c r="B295" s="2" t="s">
        <v>12</v>
      </c>
      <c r="C295" s="2" t="s">
        <v>42</v>
      </c>
      <c r="D295" s="8" t="s">
        <v>603</v>
      </c>
      <c r="E295" s="6">
        <v>45130.0</v>
      </c>
      <c r="F295" s="6">
        <v>45445.0</v>
      </c>
      <c r="G295" s="7">
        <v>6.07111213E8</v>
      </c>
      <c r="H295" s="8" t="s">
        <v>581</v>
      </c>
      <c r="I295" s="2">
        <f t="shared" ref="I295:P295" si="298">IF(ISBLANK(A295)=TRUE,0,1)</f>
        <v>1</v>
      </c>
      <c r="J295" s="2">
        <f t="shared" si="298"/>
        <v>1</v>
      </c>
      <c r="K295" s="2">
        <f t="shared" si="298"/>
        <v>1</v>
      </c>
      <c r="L295" s="2">
        <f t="shared" si="298"/>
        <v>1</v>
      </c>
      <c r="M295" s="2">
        <f t="shared" si="298"/>
        <v>1</v>
      </c>
      <c r="N295" s="2">
        <f t="shared" si="298"/>
        <v>1</v>
      </c>
      <c r="O295" s="2">
        <f t="shared" si="298"/>
        <v>1</v>
      </c>
      <c r="P295" s="2">
        <f t="shared" si="298"/>
        <v>1</v>
      </c>
      <c r="Q295" s="2">
        <f t="shared" si="3"/>
        <v>1</v>
      </c>
      <c r="R295" s="2">
        <f>IF(ISERROR(VLOOKUP(A295, 'Project Reference'!A:A, 1, FALSE)), 0, 1)</f>
        <v>1</v>
      </c>
      <c r="S295" s="2">
        <f>IFERROR(__xludf.DUMMYFUNCTION("IF(AND(REGEXMATCH(D295, B295), REGEXMATCH(D295, C295)), 1, 0)
"),1.0)</f>
        <v>1</v>
      </c>
      <c r="T295" s="2">
        <f t="shared" si="4"/>
        <v>1</v>
      </c>
      <c r="U295" s="2">
        <f t="shared" si="5"/>
        <v>1</v>
      </c>
      <c r="V295" s="2">
        <f t="shared" si="6"/>
        <v>1</v>
      </c>
    </row>
    <row r="296" ht="14.25" customHeight="1">
      <c r="A296" s="2" t="s">
        <v>338</v>
      </c>
      <c r="B296" s="2" t="s">
        <v>12</v>
      </c>
      <c r="C296" s="2" t="s">
        <v>36</v>
      </c>
      <c r="D296" s="8" t="s">
        <v>578</v>
      </c>
      <c r="E296" s="6">
        <v>45130.0</v>
      </c>
      <c r="F296" s="6">
        <v>45407.0</v>
      </c>
      <c r="G296" s="7">
        <v>3.78250495E8</v>
      </c>
      <c r="H296" s="8" t="s">
        <v>573</v>
      </c>
      <c r="I296" s="2">
        <f t="shared" ref="I296:P296" si="299">IF(ISBLANK(A296)=TRUE,0,1)</f>
        <v>1</v>
      </c>
      <c r="J296" s="2">
        <f t="shared" si="299"/>
        <v>1</v>
      </c>
      <c r="K296" s="2">
        <f t="shared" si="299"/>
        <v>1</v>
      </c>
      <c r="L296" s="2">
        <f t="shared" si="299"/>
        <v>1</v>
      </c>
      <c r="M296" s="2">
        <f t="shared" si="299"/>
        <v>1</v>
      </c>
      <c r="N296" s="2">
        <f t="shared" si="299"/>
        <v>1</v>
      </c>
      <c r="O296" s="2">
        <f t="shared" si="299"/>
        <v>1</v>
      </c>
      <c r="P296" s="2">
        <f t="shared" si="299"/>
        <v>1</v>
      </c>
      <c r="Q296" s="2">
        <f t="shared" si="3"/>
        <v>1</v>
      </c>
      <c r="R296" s="2">
        <f>IF(ISERROR(VLOOKUP(A296, 'Project Reference'!A:A, 1, FALSE)), 0, 1)</f>
        <v>1</v>
      </c>
      <c r="S296" s="2">
        <f>IFERROR(__xludf.DUMMYFUNCTION("IF(AND(REGEXMATCH(D296, B296), REGEXMATCH(D296, C296)), 1, 0)
"),1.0)</f>
        <v>1</v>
      </c>
      <c r="T296" s="2">
        <f t="shared" si="4"/>
        <v>1</v>
      </c>
      <c r="U296" s="2">
        <f t="shared" si="5"/>
        <v>1</v>
      </c>
      <c r="V296" s="2">
        <f t="shared" si="6"/>
        <v>1</v>
      </c>
    </row>
    <row r="297" ht="14.25" customHeight="1">
      <c r="A297" s="2" t="s">
        <v>339</v>
      </c>
      <c r="B297" s="2" t="s">
        <v>35</v>
      </c>
      <c r="C297" s="2" t="s">
        <v>42</v>
      </c>
      <c r="D297" s="2" t="s">
        <v>69</v>
      </c>
      <c r="E297" s="6">
        <v>45130.0</v>
      </c>
      <c r="F297" s="6">
        <v>45277.0</v>
      </c>
      <c r="G297" s="7">
        <v>2.25164187E8</v>
      </c>
      <c r="H297" s="22"/>
      <c r="I297" s="2">
        <f t="shared" ref="I297:P297" si="300">IF(ISBLANK(A297)=TRUE,0,1)</f>
        <v>1</v>
      </c>
      <c r="J297" s="2">
        <f t="shared" si="300"/>
        <v>1</v>
      </c>
      <c r="K297" s="2">
        <f t="shared" si="300"/>
        <v>1</v>
      </c>
      <c r="L297" s="2">
        <f t="shared" si="300"/>
        <v>1</v>
      </c>
      <c r="M297" s="2">
        <f t="shared" si="300"/>
        <v>1</v>
      </c>
      <c r="N297" s="2">
        <f t="shared" si="300"/>
        <v>1</v>
      </c>
      <c r="O297" s="2">
        <f t="shared" si="300"/>
        <v>1</v>
      </c>
      <c r="P297" s="2">
        <f t="shared" si="300"/>
        <v>0</v>
      </c>
      <c r="Q297" s="2">
        <f t="shared" si="3"/>
        <v>1</v>
      </c>
      <c r="R297" s="2">
        <f>IF(ISERROR(VLOOKUP(A297, 'Project Reference'!A:A, 1, FALSE)), 0, 1)</f>
        <v>1</v>
      </c>
      <c r="S297" s="2">
        <f>IFERROR(__xludf.DUMMYFUNCTION("IF(AND(REGEXMATCH(D297, B297), REGEXMATCH(D297, C297)), 1, 0)
"),1.0)</f>
        <v>1</v>
      </c>
      <c r="T297" s="2">
        <f t="shared" si="4"/>
        <v>1</v>
      </c>
      <c r="U297" s="2">
        <f t="shared" si="5"/>
        <v>1</v>
      </c>
      <c r="V297" s="2">
        <f t="shared" si="6"/>
        <v>1</v>
      </c>
    </row>
    <row r="298" ht="14.25" customHeight="1">
      <c r="A298" s="2" t="s">
        <v>340</v>
      </c>
      <c r="B298" s="2" t="s">
        <v>30</v>
      </c>
      <c r="C298" s="2" t="s">
        <v>36</v>
      </c>
      <c r="D298" s="8" t="s">
        <v>614</v>
      </c>
      <c r="E298" s="6">
        <v>45130.0</v>
      </c>
      <c r="F298" s="6">
        <v>45465.0</v>
      </c>
      <c r="G298" s="7">
        <v>4.178594822E9</v>
      </c>
      <c r="H298" s="8" t="s">
        <v>581</v>
      </c>
      <c r="I298" s="2">
        <f t="shared" ref="I298:P298" si="301">IF(ISBLANK(A298)=TRUE,0,1)</f>
        <v>1</v>
      </c>
      <c r="J298" s="2">
        <f t="shared" si="301"/>
        <v>1</v>
      </c>
      <c r="K298" s="2">
        <f t="shared" si="301"/>
        <v>1</v>
      </c>
      <c r="L298" s="2">
        <f t="shared" si="301"/>
        <v>1</v>
      </c>
      <c r="M298" s="2">
        <f t="shared" si="301"/>
        <v>1</v>
      </c>
      <c r="N298" s="2">
        <f t="shared" si="301"/>
        <v>1</v>
      </c>
      <c r="O298" s="2">
        <f t="shared" si="301"/>
        <v>1</v>
      </c>
      <c r="P298" s="2">
        <f t="shared" si="301"/>
        <v>1</v>
      </c>
      <c r="Q298" s="2">
        <f t="shared" si="3"/>
        <v>1</v>
      </c>
      <c r="R298" s="2">
        <f>IF(ISERROR(VLOOKUP(A298, 'Project Reference'!A:A, 1, FALSE)), 0, 1)</f>
        <v>1</v>
      </c>
      <c r="S298" s="2">
        <f>IFERROR(__xludf.DUMMYFUNCTION("IF(AND(REGEXMATCH(D298, B298), REGEXMATCH(D298, C298)), 1, 0)
"),1.0)</f>
        <v>1</v>
      </c>
      <c r="T298" s="2">
        <f t="shared" si="4"/>
        <v>1</v>
      </c>
      <c r="U298" s="2">
        <f t="shared" si="5"/>
        <v>1</v>
      </c>
      <c r="V298" s="2">
        <f t="shared" si="6"/>
        <v>1</v>
      </c>
    </row>
    <row r="299" ht="14.25" customHeight="1">
      <c r="A299" s="2" t="s">
        <v>341</v>
      </c>
      <c r="B299" s="2" t="s">
        <v>12</v>
      </c>
      <c r="C299" s="2" t="s">
        <v>13</v>
      </c>
      <c r="D299" s="8" t="s">
        <v>605</v>
      </c>
      <c r="E299" s="6">
        <v>45131.0</v>
      </c>
      <c r="F299" s="6">
        <v>45228.0</v>
      </c>
      <c r="G299" s="7">
        <v>6.60225526E8</v>
      </c>
      <c r="H299" s="2" t="s">
        <v>33</v>
      </c>
      <c r="I299" s="2">
        <f t="shared" ref="I299:P299" si="302">IF(ISBLANK(A299)=TRUE,0,1)</f>
        <v>1</v>
      </c>
      <c r="J299" s="2">
        <f t="shared" si="302"/>
        <v>1</v>
      </c>
      <c r="K299" s="2">
        <f t="shared" si="302"/>
        <v>1</v>
      </c>
      <c r="L299" s="2">
        <f t="shared" si="302"/>
        <v>1</v>
      </c>
      <c r="M299" s="2">
        <f t="shared" si="302"/>
        <v>1</v>
      </c>
      <c r="N299" s="2">
        <f t="shared" si="302"/>
        <v>1</v>
      </c>
      <c r="O299" s="2">
        <f t="shared" si="302"/>
        <v>1</v>
      </c>
      <c r="P299" s="2">
        <f t="shared" si="302"/>
        <v>1</v>
      </c>
      <c r="Q299" s="2">
        <f t="shared" si="3"/>
        <v>1</v>
      </c>
      <c r="R299" s="2">
        <f>IF(ISERROR(VLOOKUP(A299, 'Project Reference'!A:A, 1, FALSE)), 0, 1)</f>
        <v>1</v>
      </c>
      <c r="S299" s="2">
        <f>IFERROR(__xludf.DUMMYFUNCTION("IF(AND(REGEXMATCH(D299, B299), REGEXMATCH(D299, C299)), 1, 0)
"),1.0)</f>
        <v>1</v>
      </c>
      <c r="T299" s="2">
        <f t="shared" si="4"/>
        <v>1</v>
      </c>
      <c r="U299" s="2">
        <f t="shared" si="5"/>
        <v>1</v>
      </c>
      <c r="V299" s="2">
        <f t="shared" si="6"/>
        <v>1</v>
      </c>
    </row>
    <row r="300" ht="14.25" customHeight="1">
      <c r="A300" s="2" t="s">
        <v>342</v>
      </c>
      <c r="B300" s="2" t="s">
        <v>30</v>
      </c>
      <c r="C300" s="2" t="s">
        <v>24</v>
      </c>
      <c r="D300" s="8" t="s">
        <v>612</v>
      </c>
      <c r="E300" s="6">
        <v>45131.0</v>
      </c>
      <c r="F300" s="6">
        <v>45411.0</v>
      </c>
      <c r="G300" s="7">
        <v>6.255723631E9</v>
      </c>
      <c r="H300" s="2" t="s">
        <v>33</v>
      </c>
      <c r="I300" s="2">
        <f t="shared" ref="I300:P300" si="303">IF(ISBLANK(A300)=TRUE,0,1)</f>
        <v>1</v>
      </c>
      <c r="J300" s="2">
        <f t="shared" si="303"/>
        <v>1</v>
      </c>
      <c r="K300" s="2">
        <f t="shared" si="303"/>
        <v>1</v>
      </c>
      <c r="L300" s="2">
        <f t="shared" si="303"/>
        <v>1</v>
      </c>
      <c r="M300" s="2">
        <f t="shared" si="303"/>
        <v>1</v>
      </c>
      <c r="N300" s="2">
        <f t="shared" si="303"/>
        <v>1</v>
      </c>
      <c r="O300" s="2">
        <f t="shared" si="303"/>
        <v>1</v>
      </c>
      <c r="P300" s="2">
        <f t="shared" si="303"/>
        <v>1</v>
      </c>
      <c r="Q300" s="2">
        <f t="shared" si="3"/>
        <v>1</v>
      </c>
      <c r="R300" s="2">
        <f>IF(ISERROR(VLOOKUP(A300, 'Project Reference'!A:A, 1, FALSE)), 0, 1)</f>
        <v>1</v>
      </c>
      <c r="S300" s="2">
        <f>IFERROR(__xludf.DUMMYFUNCTION("IF(AND(REGEXMATCH(D300, B300), REGEXMATCH(D300, C300)), 1, 0)
"),1.0)</f>
        <v>1</v>
      </c>
      <c r="T300" s="2">
        <f t="shared" si="4"/>
        <v>1</v>
      </c>
      <c r="U300" s="2">
        <f t="shared" si="5"/>
        <v>1</v>
      </c>
      <c r="V300" s="2">
        <f t="shared" si="6"/>
        <v>1</v>
      </c>
    </row>
    <row r="301" ht="14.25" customHeight="1">
      <c r="A301" s="2" t="s">
        <v>343</v>
      </c>
      <c r="B301" s="2" t="s">
        <v>60</v>
      </c>
      <c r="C301" s="2" t="s">
        <v>39</v>
      </c>
      <c r="D301" s="8" t="s">
        <v>626</v>
      </c>
      <c r="E301" s="6">
        <v>45131.0</v>
      </c>
      <c r="F301" s="6">
        <v>45271.0</v>
      </c>
      <c r="G301" s="7">
        <v>1.935087556E9</v>
      </c>
      <c r="H301" s="2" t="s">
        <v>44</v>
      </c>
      <c r="I301" s="2">
        <f t="shared" ref="I301:P301" si="304">IF(ISBLANK(A301)=TRUE,0,1)</f>
        <v>1</v>
      </c>
      <c r="J301" s="2">
        <f t="shared" si="304"/>
        <v>1</v>
      </c>
      <c r="K301" s="2">
        <f t="shared" si="304"/>
        <v>1</v>
      </c>
      <c r="L301" s="2">
        <f t="shared" si="304"/>
        <v>1</v>
      </c>
      <c r="M301" s="2">
        <f t="shared" si="304"/>
        <v>1</v>
      </c>
      <c r="N301" s="2">
        <f t="shared" si="304"/>
        <v>1</v>
      </c>
      <c r="O301" s="2">
        <f t="shared" si="304"/>
        <v>1</v>
      </c>
      <c r="P301" s="2">
        <f t="shared" si="304"/>
        <v>1</v>
      </c>
      <c r="Q301" s="2">
        <f t="shared" si="3"/>
        <v>1</v>
      </c>
      <c r="R301" s="2">
        <f>IF(ISERROR(VLOOKUP(A301, 'Project Reference'!A:A, 1, FALSE)), 0, 1)</f>
        <v>1</v>
      </c>
      <c r="S301" s="2">
        <f>IFERROR(__xludf.DUMMYFUNCTION("IF(AND(REGEXMATCH(D301, B301), REGEXMATCH(D301, C301)), 1, 0)
"),1.0)</f>
        <v>1</v>
      </c>
      <c r="T301" s="2">
        <f t="shared" si="4"/>
        <v>1</v>
      </c>
      <c r="U301" s="2">
        <f t="shared" si="5"/>
        <v>1</v>
      </c>
      <c r="V301" s="2">
        <f t="shared" si="6"/>
        <v>1</v>
      </c>
    </row>
    <row r="302" ht="14.25" customHeight="1">
      <c r="A302" s="2" t="s">
        <v>344</v>
      </c>
      <c r="B302" s="2" t="s">
        <v>30</v>
      </c>
      <c r="C302" s="2" t="s">
        <v>19</v>
      </c>
      <c r="D302" s="8" t="s">
        <v>624</v>
      </c>
      <c r="E302" s="6">
        <v>45133.0</v>
      </c>
      <c r="F302" s="6">
        <v>45384.0</v>
      </c>
      <c r="G302" s="7">
        <v>6.639282641E9</v>
      </c>
      <c r="H302" s="2" t="s">
        <v>21</v>
      </c>
      <c r="I302" s="2">
        <f t="shared" ref="I302:P302" si="305">IF(ISBLANK(A302)=TRUE,0,1)</f>
        <v>1</v>
      </c>
      <c r="J302" s="2">
        <f t="shared" si="305"/>
        <v>1</v>
      </c>
      <c r="K302" s="2">
        <f t="shared" si="305"/>
        <v>1</v>
      </c>
      <c r="L302" s="2">
        <f t="shared" si="305"/>
        <v>1</v>
      </c>
      <c r="M302" s="2">
        <f t="shared" si="305"/>
        <v>1</v>
      </c>
      <c r="N302" s="2">
        <f t="shared" si="305"/>
        <v>1</v>
      </c>
      <c r="O302" s="2">
        <f t="shared" si="305"/>
        <v>1</v>
      </c>
      <c r="P302" s="2">
        <f t="shared" si="305"/>
        <v>1</v>
      </c>
      <c r="Q302" s="2">
        <f t="shared" si="3"/>
        <v>1</v>
      </c>
      <c r="R302" s="2">
        <f>IF(ISERROR(VLOOKUP(A302, 'Project Reference'!A:A, 1, FALSE)), 0, 1)</f>
        <v>1</v>
      </c>
      <c r="S302" s="2">
        <f>IFERROR(__xludf.DUMMYFUNCTION("IF(AND(REGEXMATCH(D302, B302), REGEXMATCH(D302, C302)), 1, 0)
"),1.0)</f>
        <v>1</v>
      </c>
      <c r="T302" s="2">
        <f t="shared" si="4"/>
        <v>1</v>
      </c>
      <c r="U302" s="2">
        <f t="shared" si="5"/>
        <v>1</v>
      </c>
      <c r="V302" s="2">
        <f t="shared" si="6"/>
        <v>1</v>
      </c>
    </row>
    <row r="303" ht="14.25" customHeight="1">
      <c r="A303" s="2" t="s">
        <v>345</v>
      </c>
      <c r="B303" s="2" t="s">
        <v>18</v>
      </c>
      <c r="C303" s="2" t="s">
        <v>48</v>
      </c>
      <c r="D303" s="8" t="s">
        <v>629</v>
      </c>
      <c r="E303" s="6">
        <v>45133.0</v>
      </c>
      <c r="F303" s="6">
        <v>45429.0</v>
      </c>
      <c r="G303" s="7">
        <v>1.341304566E9</v>
      </c>
      <c r="H303" s="2" t="s">
        <v>67</v>
      </c>
      <c r="I303" s="2">
        <f t="shared" ref="I303:P303" si="306">IF(ISBLANK(A303)=TRUE,0,1)</f>
        <v>1</v>
      </c>
      <c r="J303" s="2">
        <f t="shared" si="306"/>
        <v>1</v>
      </c>
      <c r="K303" s="2">
        <f t="shared" si="306"/>
        <v>1</v>
      </c>
      <c r="L303" s="2">
        <f t="shared" si="306"/>
        <v>1</v>
      </c>
      <c r="M303" s="2">
        <f t="shared" si="306"/>
        <v>1</v>
      </c>
      <c r="N303" s="2">
        <f t="shared" si="306"/>
        <v>1</v>
      </c>
      <c r="O303" s="2">
        <f t="shared" si="306"/>
        <v>1</v>
      </c>
      <c r="P303" s="2">
        <f t="shared" si="306"/>
        <v>1</v>
      </c>
      <c r="Q303" s="2">
        <f t="shared" si="3"/>
        <v>1</v>
      </c>
      <c r="R303" s="2">
        <f>IF(ISERROR(VLOOKUP(A303, 'Project Reference'!A:A, 1, FALSE)), 0, 1)</f>
        <v>1</v>
      </c>
      <c r="S303" s="2">
        <f>IFERROR(__xludf.DUMMYFUNCTION("IF(AND(REGEXMATCH(D303, B303), REGEXMATCH(D303, C303)), 1, 0)
"),1.0)</f>
        <v>1</v>
      </c>
      <c r="T303" s="2">
        <f t="shared" si="4"/>
        <v>1</v>
      </c>
      <c r="U303" s="2">
        <f t="shared" si="5"/>
        <v>1</v>
      </c>
      <c r="V303" s="2">
        <f t="shared" si="6"/>
        <v>1</v>
      </c>
    </row>
    <row r="304" ht="14.25" customHeight="1">
      <c r="A304" s="2" t="s">
        <v>346</v>
      </c>
      <c r="B304" s="2" t="s">
        <v>30</v>
      </c>
      <c r="C304" s="2" t="s">
        <v>42</v>
      </c>
      <c r="D304" s="8" t="s">
        <v>632</v>
      </c>
      <c r="E304" s="6">
        <v>45135.0</v>
      </c>
      <c r="F304" s="6">
        <v>45168.0</v>
      </c>
      <c r="G304" s="7">
        <v>1.482129947E9</v>
      </c>
      <c r="H304" s="2" t="s">
        <v>50</v>
      </c>
      <c r="I304" s="2">
        <f t="shared" ref="I304:P304" si="307">IF(ISBLANK(A304)=TRUE,0,1)</f>
        <v>1</v>
      </c>
      <c r="J304" s="2">
        <f t="shared" si="307"/>
        <v>1</v>
      </c>
      <c r="K304" s="2">
        <f t="shared" si="307"/>
        <v>1</v>
      </c>
      <c r="L304" s="2">
        <f t="shared" si="307"/>
        <v>1</v>
      </c>
      <c r="M304" s="2">
        <f t="shared" si="307"/>
        <v>1</v>
      </c>
      <c r="N304" s="2">
        <f t="shared" si="307"/>
        <v>1</v>
      </c>
      <c r="O304" s="2">
        <f t="shared" si="307"/>
        <v>1</v>
      </c>
      <c r="P304" s="2">
        <f t="shared" si="307"/>
        <v>1</v>
      </c>
      <c r="Q304" s="2">
        <f t="shared" si="3"/>
        <v>1</v>
      </c>
      <c r="R304" s="2">
        <f>IF(ISERROR(VLOOKUP(A304, 'Project Reference'!A:A, 1, FALSE)), 0, 1)</f>
        <v>1</v>
      </c>
      <c r="S304" s="2">
        <f>IFERROR(__xludf.DUMMYFUNCTION("IF(AND(REGEXMATCH(D304, B304), REGEXMATCH(D304, C304)), 1, 0)
"),1.0)</f>
        <v>1</v>
      </c>
      <c r="T304" s="2">
        <f t="shared" si="4"/>
        <v>1</v>
      </c>
      <c r="U304" s="2">
        <f t="shared" si="5"/>
        <v>1</v>
      </c>
      <c r="V304" s="2">
        <f t="shared" si="6"/>
        <v>1</v>
      </c>
    </row>
    <row r="305" ht="14.25" customHeight="1">
      <c r="A305" s="2" t="s">
        <v>347</v>
      </c>
      <c r="B305" s="2" t="s">
        <v>30</v>
      </c>
      <c r="C305" s="2" t="s">
        <v>42</v>
      </c>
      <c r="D305" s="8" t="s">
        <v>632</v>
      </c>
      <c r="E305" s="6">
        <v>45135.0</v>
      </c>
      <c r="F305" s="6">
        <v>45240.0</v>
      </c>
      <c r="G305" s="7">
        <v>5.13461094E9</v>
      </c>
      <c r="H305" s="2" t="s">
        <v>44</v>
      </c>
      <c r="I305" s="2">
        <f t="shared" ref="I305:P305" si="308">IF(ISBLANK(A305)=TRUE,0,1)</f>
        <v>1</v>
      </c>
      <c r="J305" s="2">
        <f t="shared" si="308"/>
        <v>1</v>
      </c>
      <c r="K305" s="2">
        <f t="shared" si="308"/>
        <v>1</v>
      </c>
      <c r="L305" s="2">
        <f t="shared" si="308"/>
        <v>1</v>
      </c>
      <c r="M305" s="2">
        <f t="shared" si="308"/>
        <v>1</v>
      </c>
      <c r="N305" s="2">
        <f t="shared" si="308"/>
        <v>1</v>
      </c>
      <c r="O305" s="2">
        <f t="shared" si="308"/>
        <v>1</v>
      </c>
      <c r="P305" s="2">
        <f t="shared" si="308"/>
        <v>1</v>
      </c>
      <c r="Q305" s="2">
        <f t="shared" si="3"/>
        <v>1</v>
      </c>
      <c r="R305" s="2">
        <f>IF(ISERROR(VLOOKUP(A305, 'Project Reference'!A:A, 1, FALSE)), 0, 1)</f>
        <v>1</v>
      </c>
      <c r="S305" s="2">
        <f>IFERROR(__xludf.DUMMYFUNCTION("IF(AND(REGEXMATCH(D305, B305), REGEXMATCH(D305, C305)), 1, 0)
"),1.0)</f>
        <v>1</v>
      </c>
      <c r="T305" s="2">
        <f t="shared" si="4"/>
        <v>1</v>
      </c>
      <c r="U305" s="2">
        <f t="shared" si="5"/>
        <v>1</v>
      </c>
      <c r="V305" s="2">
        <f t="shared" si="6"/>
        <v>1</v>
      </c>
    </row>
    <row r="306" ht="14.25" customHeight="1">
      <c r="A306" s="2" t="s">
        <v>348</v>
      </c>
      <c r="B306" s="2" t="s">
        <v>12</v>
      </c>
      <c r="C306" s="2" t="s">
        <v>42</v>
      </c>
      <c r="D306" s="8" t="s">
        <v>603</v>
      </c>
      <c r="E306" s="6">
        <v>45135.0</v>
      </c>
      <c r="F306" s="6">
        <v>45357.0</v>
      </c>
      <c r="G306" s="7">
        <v>3.44333067E8</v>
      </c>
      <c r="H306" s="2" t="s">
        <v>33</v>
      </c>
      <c r="I306" s="2">
        <f t="shared" ref="I306:P306" si="309">IF(ISBLANK(A306)=TRUE,0,1)</f>
        <v>1</v>
      </c>
      <c r="J306" s="2">
        <f t="shared" si="309"/>
        <v>1</v>
      </c>
      <c r="K306" s="2">
        <f t="shared" si="309"/>
        <v>1</v>
      </c>
      <c r="L306" s="2">
        <f t="shared" si="309"/>
        <v>1</v>
      </c>
      <c r="M306" s="2">
        <f t="shared" si="309"/>
        <v>1</v>
      </c>
      <c r="N306" s="2">
        <f t="shared" si="309"/>
        <v>1</v>
      </c>
      <c r="O306" s="2">
        <f t="shared" si="309"/>
        <v>1</v>
      </c>
      <c r="P306" s="2">
        <f t="shared" si="309"/>
        <v>1</v>
      </c>
      <c r="Q306" s="2">
        <f t="shared" si="3"/>
        <v>1</v>
      </c>
      <c r="R306" s="2">
        <f>IF(ISERROR(VLOOKUP(A306, 'Project Reference'!A:A, 1, FALSE)), 0, 1)</f>
        <v>1</v>
      </c>
      <c r="S306" s="2">
        <f>IFERROR(__xludf.DUMMYFUNCTION("IF(AND(REGEXMATCH(D306, B306), REGEXMATCH(D306, C306)), 1, 0)
"),1.0)</f>
        <v>1</v>
      </c>
      <c r="T306" s="2">
        <f t="shared" si="4"/>
        <v>1</v>
      </c>
      <c r="U306" s="2">
        <f t="shared" si="5"/>
        <v>1</v>
      </c>
      <c r="V306" s="2">
        <f t="shared" si="6"/>
        <v>1</v>
      </c>
    </row>
    <row r="307" ht="14.25" customHeight="1">
      <c r="A307" s="2" t="s">
        <v>349</v>
      </c>
      <c r="B307" s="2" t="s">
        <v>18</v>
      </c>
      <c r="C307" s="2" t="s">
        <v>31</v>
      </c>
      <c r="D307" s="8" t="s">
        <v>636</v>
      </c>
      <c r="E307" s="6">
        <v>45136.0</v>
      </c>
      <c r="F307" s="6">
        <v>45177.0</v>
      </c>
      <c r="G307" s="7">
        <v>2.34761931E9</v>
      </c>
      <c r="H307" s="2" t="s">
        <v>50</v>
      </c>
      <c r="I307" s="2">
        <f t="shared" ref="I307:P307" si="310">IF(ISBLANK(A307)=TRUE,0,1)</f>
        <v>1</v>
      </c>
      <c r="J307" s="2">
        <f t="shared" si="310"/>
        <v>1</v>
      </c>
      <c r="K307" s="2">
        <f t="shared" si="310"/>
        <v>1</v>
      </c>
      <c r="L307" s="2">
        <f t="shared" si="310"/>
        <v>1</v>
      </c>
      <c r="M307" s="2">
        <f t="shared" si="310"/>
        <v>1</v>
      </c>
      <c r="N307" s="2">
        <f t="shared" si="310"/>
        <v>1</v>
      </c>
      <c r="O307" s="2">
        <f t="shared" si="310"/>
        <v>1</v>
      </c>
      <c r="P307" s="2">
        <f t="shared" si="310"/>
        <v>1</v>
      </c>
      <c r="Q307" s="2">
        <f t="shared" si="3"/>
        <v>1</v>
      </c>
      <c r="R307" s="2">
        <f>IF(ISERROR(VLOOKUP(A307, 'Project Reference'!A:A, 1, FALSE)), 0, 1)</f>
        <v>1</v>
      </c>
      <c r="S307" s="2">
        <f>IFERROR(__xludf.DUMMYFUNCTION("IF(AND(REGEXMATCH(D307, B307), REGEXMATCH(D307, C307)), 1, 0)
"),1.0)</f>
        <v>1</v>
      </c>
      <c r="T307" s="2">
        <f t="shared" si="4"/>
        <v>1</v>
      </c>
      <c r="U307" s="2">
        <f t="shared" si="5"/>
        <v>1</v>
      </c>
      <c r="V307" s="2">
        <f t="shared" si="6"/>
        <v>1</v>
      </c>
    </row>
    <row r="308" ht="14.25" customHeight="1">
      <c r="A308" s="2" t="s">
        <v>350</v>
      </c>
      <c r="B308" s="2" t="s">
        <v>60</v>
      </c>
      <c r="C308" s="2" t="s">
        <v>13</v>
      </c>
      <c r="D308" s="8" t="s">
        <v>619</v>
      </c>
      <c r="E308" s="6">
        <v>45136.0</v>
      </c>
      <c r="F308" s="6">
        <v>45380.0</v>
      </c>
      <c r="G308" s="7">
        <v>2.42239766E9</v>
      </c>
      <c r="H308" s="2" t="s">
        <v>21</v>
      </c>
      <c r="I308" s="2">
        <f t="shared" ref="I308:P308" si="311">IF(ISBLANK(A308)=TRUE,0,1)</f>
        <v>1</v>
      </c>
      <c r="J308" s="2">
        <f t="shared" si="311"/>
        <v>1</v>
      </c>
      <c r="K308" s="2">
        <f t="shared" si="311"/>
        <v>1</v>
      </c>
      <c r="L308" s="2">
        <f t="shared" si="311"/>
        <v>1</v>
      </c>
      <c r="M308" s="2">
        <f t="shared" si="311"/>
        <v>1</v>
      </c>
      <c r="N308" s="2">
        <f t="shared" si="311"/>
        <v>1</v>
      </c>
      <c r="O308" s="2">
        <f t="shared" si="311"/>
        <v>1</v>
      </c>
      <c r="P308" s="2">
        <f t="shared" si="311"/>
        <v>1</v>
      </c>
      <c r="Q308" s="2">
        <f t="shared" si="3"/>
        <v>1</v>
      </c>
      <c r="R308" s="2">
        <f>IF(ISERROR(VLOOKUP(A308, 'Project Reference'!A:A, 1, FALSE)), 0, 1)</f>
        <v>1</v>
      </c>
      <c r="S308" s="2">
        <f>IFERROR(__xludf.DUMMYFUNCTION("IF(AND(REGEXMATCH(D308, B308), REGEXMATCH(D308, C308)), 1, 0)
"),1.0)</f>
        <v>1</v>
      </c>
      <c r="T308" s="2">
        <f t="shared" si="4"/>
        <v>1</v>
      </c>
      <c r="U308" s="2">
        <f t="shared" si="5"/>
        <v>1</v>
      </c>
      <c r="V308" s="2">
        <f t="shared" si="6"/>
        <v>1</v>
      </c>
    </row>
    <row r="309" ht="14.25" customHeight="1">
      <c r="A309" s="2" t="s">
        <v>351</v>
      </c>
      <c r="B309" s="2" t="s">
        <v>35</v>
      </c>
      <c r="C309" s="2" t="s">
        <v>36</v>
      </c>
      <c r="D309" s="2" t="s">
        <v>37</v>
      </c>
      <c r="E309" s="6">
        <v>45137.0</v>
      </c>
      <c r="F309" s="6">
        <v>45306.0</v>
      </c>
      <c r="G309" s="7">
        <v>5.93562614E8</v>
      </c>
      <c r="H309" s="2" t="s">
        <v>44</v>
      </c>
      <c r="I309" s="2">
        <f t="shared" ref="I309:P309" si="312">IF(ISBLANK(A309)=TRUE,0,1)</f>
        <v>1</v>
      </c>
      <c r="J309" s="2">
        <f t="shared" si="312"/>
        <v>1</v>
      </c>
      <c r="K309" s="2">
        <f t="shared" si="312"/>
        <v>1</v>
      </c>
      <c r="L309" s="2">
        <f t="shared" si="312"/>
        <v>1</v>
      </c>
      <c r="M309" s="2">
        <f t="shared" si="312"/>
        <v>1</v>
      </c>
      <c r="N309" s="2">
        <f t="shared" si="312"/>
        <v>1</v>
      </c>
      <c r="O309" s="2">
        <f t="shared" si="312"/>
        <v>1</v>
      </c>
      <c r="P309" s="2">
        <f t="shared" si="312"/>
        <v>1</v>
      </c>
      <c r="Q309" s="2">
        <f t="shared" si="3"/>
        <v>1</v>
      </c>
      <c r="R309" s="2">
        <f>IF(ISERROR(VLOOKUP(A309, 'Project Reference'!A:A, 1, FALSE)), 0, 1)</f>
        <v>1</v>
      </c>
      <c r="S309" s="2">
        <f>IFERROR(__xludf.DUMMYFUNCTION("IF(AND(REGEXMATCH(D309, B309), REGEXMATCH(D309, C309)), 1, 0)
"),1.0)</f>
        <v>1</v>
      </c>
      <c r="T309" s="2">
        <f t="shared" si="4"/>
        <v>1</v>
      </c>
      <c r="U309" s="2">
        <f t="shared" si="5"/>
        <v>1</v>
      </c>
      <c r="V309" s="2">
        <f t="shared" si="6"/>
        <v>1</v>
      </c>
    </row>
    <row r="310" ht="14.25" customHeight="1">
      <c r="A310" s="2" t="s">
        <v>352</v>
      </c>
      <c r="B310" s="2" t="s">
        <v>60</v>
      </c>
      <c r="C310" s="2" t="s">
        <v>13</v>
      </c>
      <c r="D310" s="8" t="s">
        <v>582</v>
      </c>
      <c r="E310" s="6">
        <v>45137.0</v>
      </c>
      <c r="F310" s="6">
        <v>45248.0</v>
      </c>
      <c r="G310" s="7">
        <v>3.507077254E9</v>
      </c>
      <c r="H310" s="2" t="s">
        <v>21</v>
      </c>
      <c r="I310" s="2">
        <f t="shared" ref="I310:P310" si="313">IF(ISBLANK(A310)=TRUE,0,1)</f>
        <v>1</v>
      </c>
      <c r="J310" s="2">
        <f t="shared" si="313"/>
        <v>1</v>
      </c>
      <c r="K310" s="2">
        <f t="shared" si="313"/>
        <v>1</v>
      </c>
      <c r="L310" s="2">
        <f t="shared" si="313"/>
        <v>1</v>
      </c>
      <c r="M310" s="2">
        <f t="shared" si="313"/>
        <v>1</v>
      </c>
      <c r="N310" s="2">
        <f t="shared" si="313"/>
        <v>1</v>
      </c>
      <c r="O310" s="2">
        <f t="shared" si="313"/>
        <v>1</v>
      </c>
      <c r="P310" s="2">
        <f t="shared" si="313"/>
        <v>1</v>
      </c>
      <c r="Q310" s="2">
        <f t="shared" si="3"/>
        <v>1</v>
      </c>
      <c r="R310" s="2">
        <f>IF(ISERROR(VLOOKUP(A310, 'Project Reference'!A:A, 1, FALSE)), 0, 1)</f>
        <v>1</v>
      </c>
      <c r="S310" s="2">
        <f>IFERROR(__xludf.DUMMYFUNCTION("IF(AND(REGEXMATCH(D310, B310), REGEXMATCH(D310, C310)), 1, 0)
"),1.0)</f>
        <v>1</v>
      </c>
      <c r="T310" s="2">
        <f t="shared" si="4"/>
        <v>1</v>
      </c>
      <c r="U310" s="2">
        <f t="shared" si="5"/>
        <v>1</v>
      </c>
      <c r="V310" s="2">
        <f t="shared" si="6"/>
        <v>1</v>
      </c>
    </row>
    <row r="311" ht="14.25" customHeight="1">
      <c r="A311" s="2" t="s">
        <v>353</v>
      </c>
      <c r="B311" s="2" t="s">
        <v>18</v>
      </c>
      <c r="C311" s="2" t="s">
        <v>24</v>
      </c>
      <c r="D311" s="8" t="s">
        <v>618</v>
      </c>
      <c r="E311" s="6">
        <v>45138.0</v>
      </c>
      <c r="F311" s="6">
        <v>45446.0</v>
      </c>
      <c r="G311" s="7">
        <v>7.83003102E9</v>
      </c>
      <c r="H311" s="8" t="s">
        <v>581</v>
      </c>
      <c r="I311" s="2">
        <f t="shared" ref="I311:P311" si="314">IF(ISBLANK(A311)=TRUE,0,1)</f>
        <v>1</v>
      </c>
      <c r="J311" s="2">
        <f t="shared" si="314"/>
        <v>1</v>
      </c>
      <c r="K311" s="2">
        <f t="shared" si="314"/>
        <v>1</v>
      </c>
      <c r="L311" s="2">
        <f t="shared" si="314"/>
        <v>1</v>
      </c>
      <c r="M311" s="2">
        <f t="shared" si="314"/>
        <v>1</v>
      </c>
      <c r="N311" s="2">
        <f t="shared" si="314"/>
        <v>1</v>
      </c>
      <c r="O311" s="2">
        <f t="shared" si="314"/>
        <v>1</v>
      </c>
      <c r="P311" s="2">
        <f t="shared" si="314"/>
        <v>1</v>
      </c>
      <c r="Q311" s="2">
        <f t="shared" si="3"/>
        <v>1</v>
      </c>
      <c r="R311" s="2">
        <f>IF(ISERROR(VLOOKUP(A311, 'Project Reference'!A:A, 1, FALSE)), 0, 1)</f>
        <v>1</v>
      </c>
      <c r="S311" s="2">
        <f>IFERROR(__xludf.DUMMYFUNCTION("IF(AND(REGEXMATCH(D311, B311), REGEXMATCH(D311, C311)), 1, 0)
"),1.0)</f>
        <v>1</v>
      </c>
      <c r="T311" s="2">
        <f t="shared" si="4"/>
        <v>1</v>
      </c>
      <c r="U311" s="2">
        <f t="shared" si="5"/>
        <v>1</v>
      </c>
      <c r="V311" s="2">
        <f t="shared" si="6"/>
        <v>1</v>
      </c>
    </row>
    <row r="312" ht="14.25" customHeight="1">
      <c r="A312" s="2" t="s">
        <v>354</v>
      </c>
      <c r="B312" s="2" t="s">
        <v>60</v>
      </c>
      <c r="C312" s="2" t="s">
        <v>19</v>
      </c>
      <c r="D312" s="8" t="s">
        <v>616</v>
      </c>
      <c r="E312" s="6">
        <v>45138.0</v>
      </c>
      <c r="F312" s="6">
        <v>45260.0</v>
      </c>
      <c r="G312" s="7">
        <v>3.76787596E9</v>
      </c>
      <c r="H312" s="22"/>
      <c r="I312" s="2">
        <f t="shared" ref="I312:P312" si="315">IF(ISBLANK(A312)=TRUE,0,1)</f>
        <v>1</v>
      </c>
      <c r="J312" s="2">
        <f t="shared" si="315"/>
        <v>1</v>
      </c>
      <c r="K312" s="2">
        <f t="shared" si="315"/>
        <v>1</v>
      </c>
      <c r="L312" s="2">
        <f t="shared" si="315"/>
        <v>1</v>
      </c>
      <c r="M312" s="2">
        <f t="shared" si="315"/>
        <v>1</v>
      </c>
      <c r="N312" s="2">
        <f t="shared" si="315"/>
        <v>1</v>
      </c>
      <c r="O312" s="2">
        <f t="shared" si="315"/>
        <v>1</v>
      </c>
      <c r="P312" s="2">
        <f t="shared" si="315"/>
        <v>0</v>
      </c>
      <c r="Q312" s="2">
        <f t="shared" si="3"/>
        <v>1</v>
      </c>
      <c r="R312" s="2">
        <f>IF(ISERROR(VLOOKUP(A312, 'Project Reference'!A:A, 1, FALSE)), 0, 1)</f>
        <v>1</v>
      </c>
      <c r="S312" s="2">
        <f>IFERROR(__xludf.DUMMYFUNCTION("IF(AND(REGEXMATCH(D312, B312), REGEXMATCH(D312, C312)), 1, 0)
"),1.0)</f>
        <v>1</v>
      </c>
      <c r="T312" s="2">
        <f t="shared" si="4"/>
        <v>1</v>
      </c>
      <c r="U312" s="2">
        <f t="shared" si="5"/>
        <v>1</v>
      </c>
      <c r="V312" s="2">
        <f t="shared" si="6"/>
        <v>1</v>
      </c>
    </row>
    <row r="313" ht="14.25" customHeight="1">
      <c r="A313" s="2" t="s">
        <v>356</v>
      </c>
      <c r="B313" s="2" t="s">
        <v>60</v>
      </c>
      <c r="C313" s="2" t="s">
        <v>36</v>
      </c>
      <c r="D313" s="8" t="s">
        <v>628</v>
      </c>
      <c r="E313" s="6">
        <v>45140.0</v>
      </c>
      <c r="F313" s="6">
        <v>45473.0</v>
      </c>
      <c r="G313" s="7">
        <v>4.381657926E9</v>
      </c>
      <c r="H313" s="8" t="s">
        <v>581</v>
      </c>
      <c r="I313" s="2">
        <f t="shared" ref="I313:P313" si="316">IF(ISBLANK(A313)=TRUE,0,1)</f>
        <v>1</v>
      </c>
      <c r="J313" s="2">
        <f t="shared" si="316"/>
        <v>1</v>
      </c>
      <c r="K313" s="2">
        <f t="shared" si="316"/>
        <v>1</v>
      </c>
      <c r="L313" s="2">
        <f t="shared" si="316"/>
        <v>1</v>
      </c>
      <c r="M313" s="2">
        <f t="shared" si="316"/>
        <v>1</v>
      </c>
      <c r="N313" s="2">
        <f t="shared" si="316"/>
        <v>1</v>
      </c>
      <c r="O313" s="2">
        <f t="shared" si="316"/>
        <v>1</v>
      </c>
      <c r="P313" s="2">
        <f t="shared" si="316"/>
        <v>1</v>
      </c>
      <c r="Q313" s="2">
        <f t="shared" si="3"/>
        <v>1</v>
      </c>
      <c r="R313" s="2">
        <f>IF(ISERROR(VLOOKUP(A313, 'Project Reference'!A:A, 1, FALSE)), 0, 1)</f>
        <v>1</v>
      </c>
      <c r="S313" s="2">
        <f>IFERROR(__xludf.DUMMYFUNCTION("IF(AND(REGEXMATCH(D313, B313), REGEXMATCH(D313, C313)), 1, 0)
"),1.0)</f>
        <v>1</v>
      </c>
      <c r="T313" s="2">
        <f t="shared" si="4"/>
        <v>1</v>
      </c>
      <c r="U313" s="2">
        <f t="shared" si="5"/>
        <v>1</v>
      </c>
      <c r="V313" s="2">
        <f t="shared" si="6"/>
        <v>1</v>
      </c>
    </row>
    <row r="314" ht="14.25" customHeight="1">
      <c r="A314" s="2" t="s">
        <v>357</v>
      </c>
      <c r="B314" s="2" t="s">
        <v>30</v>
      </c>
      <c r="C314" s="2" t="s">
        <v>42</v>
      </c>
      <c r="D314" s="8" t="s">
        <v>632</v>
      </c>
      <c r="E314" s="6">
        <v>45140.0</v>
      </c>
      <c r="F314" s="6">
        <v>45487.0</v>
      </c>
      <c r="G314" s="7">
        <v>1.717899076E9</v>
      </c>
      <c r="H314" s="2" t="s">
        <v>44</v>
      </c>
      <c r="I314" s="2">
        <f t="shared" ref="I314:P314" si="317">IF(ISBLANK(A314)=TRUE,0,1)</f>
        <v>1</v>
      </c>
      <c r="J314" s="2">
        <f t="shared" si="317"/>
        <v>1</v>
      </c>
      <c r="K314" s="2">
        <f t="shared" si="317"/>
        <v>1</v>
      </c>
      <c r="L314" s="2">
        <f t="shared" si="317"/>
        <v>1</v>
      </c>
      <c r="M314" s="2">
        <f t="shared" si="317"/>
        <v>1</v>
      </c>
      <c r="N314" s="2">
        <f t="shared" si="317"/>
        <v>1</v>
      </c>
      <c r="O314" s="2">
        <f t="shared" si="317"/>
        <v>1</v>
      </c>
      <c r="P314" s="2">
        <f t="shared" si="317"/>
        <v>1</v>
      </c>
      <c r="Q314" s="2">
        <f t="shared" si="3"/>
        <v>1</v>
      </c>
      <c r="R314" s="2">
        <f>IF(ISERROR(VLOOKUP(A314, 'Project Reference'!A:A, 1, FALSE)), 0, 1)</f>
        <v>1</v>
      </c>
      <c r="S314" s="2">
        <f>IFERROR(__xludf.DUMMYFUNCTION("IF(AND(REGEXMATCH(D314, B314), REGEXMATCH(D314, C314)), 1, 0)
"),1.0)</f>
        <v>1</v>
      </c>
      <c r="T314" s="2">
        <f t="shared" si="4"/>
        <v>1</v>
      </c>
      <c r="U314" s="2">
        <f t="shared" si="5"/>
        <v>1</v>
      </c>
      <c r="V314" s="2">
        <f t="shared" si="6"/>
        <v>1</v>
      </c>
    </row>
    <row r="315" ht="14.25" customHeight="1">
      <c r="A315" s="2" t="s">
        <v>358</v>
      </c>
      <c r="B315" s="2" t="s">
        <v>12</v>
      </c>
      <c r="C315" s="2" t="s">
        <v>48</v>
      </c>
      <c r="D315" s="8" t="s">
        <v>602</v>
      </c>
      <c r="E315" s="6">
        <v>45143.0</v>
      </c>
      <c r="F315" s="6">
        <v>45201.0</v>
      </c>
      <c r="G315" s="7">
        <v>2.31308784E8</v>
      </c>
      <c r="H315" s="2" t="s">
        <v>33</v>
      </c>
      <c r="I315" s="2">
        <f t="shared" ref="I315:P315" si="318">IF(ISBLANK(A315)=TRUE,0,1)</f>
        <v>1</v>
      </c>
      <c r="J315" s="2">
        <f t="shared" si="318"/>
        <v>1</v>
      </c>
      <c r="K315" s="2">
        <f t="shared" si="318"/>
        <v>1</v>
      </c>
      <c r="L315" s="2">
        <f t="shared" si="318"/>
        <v>1</v>
      </c>
      <c r="M315" s="2">
        <f t="shared" si="318"/>
        <v>1</v>
      </c>
      <c r="N315" s="2">
        <f t="shared" si="318"/>
        <v>1</v>
      </c>
      <c r="O315" s="2">
        <f t="shared" si="318"/>
        <v>1</v>
      </c>
      <c r="P315" s="2">
        <f t="shared" si="318"/>
        <v>1</v>
      </c>
      <c r="Q315" s="2">
        <f t="shared" si="3"/>
        <v>1</v>
      </c>
      <c r="R315" s="2">
        <f>IF(ISERROR(VLOOKUP(A315, 'Project Reference'!A:A, 1, FALSE)), 0, 1)</f>
        <v>1</v>
      </c>
      <c r="S315" s="2">
        <f>IFERROR(__xludf.DUMMYFUNCTION("IF(AND(REGEXMATCH(D315, B315), REGEXMATCH(D315, C315)), 1, 0)
"),1.0)</f>
        <v>1</v>
      </c>
      <c r="T315" s="2">
        <f t="shared" si="4"/>
        <v>1</v>
      </c>
      <c r="U315" s="2">
        <f t="shared" si="5"/>
        <v>1</v>
      </c>
      <c r="V315" s="2">
        <f t="shared" si="6"/>
        <v>1</v>
      </c>
    </row>
    <row r="316" ht="14.25" customHeight="1">
      <c r="A316" s="2" t="s">
        <v>359</v>
      </c>
      <c r="B316" s="2" t="s">
        <v>18</v>
      </c>
      <c r="C316" s="2" t="s">
        <v>24</v>
      </c>
      <c r="D316" s="8" t="s">
        <v>618</v>
      </c>
      <c r="E316" s="6">
        <v>45143.0</v>
      </c>
      <c r="F316" s="6">
        <v>45254.0</v>
      </c>
      <c r="G316" s="7">
        <v>1.694502492E9</v>
      </c>
      <c r="H316" s="8" t="s">
        <v>573</v>
      </c>
      <c r="I316" s="2">
        <f t="shared" ref="I316:P316" si="319">IF(ISBLANK(A316)=TRUE,0,1)</f>
        <v>1</v>
      </c>
      <c r="J316" s="2">
        <f t="shared" si="319"/>
        <v>1</v>
      </c>
      <c r="K316" s="2">
        <f t="shared" si="319"/>
        <v>1</v>
      </c>
      <c r="L316" s="2">
        <f t="shared" si="319"/>
        <v>1</v>
      </c>
      <c r="M316" s="2">
        <f t="shared" si="319"/>
        <v>1</v>
      </c>
      <c r="N316" s="2">
        <f t="shared" si="319"/>
        <v>1</v>
      </c>
      <c r="O316" s="2">
        <f t="shared" si="319"/>
        <v>1</v>
      </c>
      <c r="P316" s="2">
        <f t="shared" si="319"/>
        <v>1</v>
      </c>
      <c r="Q316" s="2">
        <f t="shared" si="3"/>
        <v>1</v>
      </c>
      <c r="R316" s="2">
        <f>IF(ISERROR(VLOOKUP(A316, 'Project Reference'!A:A, 1, FALSE)), 0, 1)</f>
        <v>1</v>
      </c>
      <c r="S316" s="2">
        <f>IFERROR(__xludf.DUMMYFUNCTION("IF(AND(REGEXMATCH(D316, B316), REGEXMATCH(D316, C316)), 1, 0)
"),1.0)</f>
        <v>1</v>
      </c>
      <c r="T316" s="2">
        <f t="shared" si="4"/>
        <v>1</v>
      </c>
      <c r="U316" s="2">
        <f t="shared" si="5"/>
        <v>1</v>
      </c>
      <c r="V316" s="2">
        <f t="shared" si="6"/>
        <v>1</v>
      </c>
    </row>
    <row r="317" ht="14.25" customHeight="1">
      <c r="A317" s="2" t="s">
        <v>360</v>
      </c>
      <c r="B317" s="2" t="s">
        <v>18</v>
      </c>
      <c r="C317" s="2" t="s">
        <v>24</v>
      </c>
      <c r="D317" s="8" t="s">
        <v>618</v>
      </c>
      <c r="E317" s="6">
        <v>45144.0</v>
      </c>
      <c r="F317" s="6">
        <v>45215.0</v>
      </c>
      <c r="G317" s="7">
        <v>6.044403214E9</v>
      </c>
      <c r="H317" s="2" t="s">
        <v>33</v>
      </c>
      <c r="I317" s="2">
        <f t="shared" ref="I317:P317" si="320">IF(ISBLANK(A317)=TRUE,0,1)</f>
        <v>1</v>
      </c>
      <c r="J317" s="2">
        <f t="shared" si="320"/>
        <v>1</v>
      </c>
      <c r="K317" s="2">
        <f t="shared" si="320"/>
        <v>1</v>
      </c>
      <c r="L317" s="2">
        <f t="shared" si="320"/>
        <v>1</v>
      </c>
      <c r="M317" s="2">
        <f t="shared" si="320"/>
        <v>1</v>
      </c>
      <c r="N317" s="2">
        <f t="shared" si="320"/>
        <v>1</v>
      </c>
      <c r="O317" s="2">
        <f t="shared" si="320"/>
        <v>1</v>
      </c>
      <c r="P317" s="2">
        <f t="shared" si="320"/>
        <v>1</v>
      </c>
      <c r="Q317" s="2">
        <f t="shared" si="3"/>
        <v>1</v>
      </c>
      <c r="R317" s="2">
        <f>IF(ISERROR(VLOOKUP(A317, 'Project Reference'!A:A, 1, FALSE)), 0, 1)</f>
        <v>1</v>
      </c>
      <c r="S317" s="2">
        <f>IFERROR(__xludf.DUMMYFUNCTION("IF(AND(REGEXMATCH(D317, B317), REGEXMATCH(D317, C317)), 1, 0)
"),1.0)</f>
        <v>1</v>
      </c>
      <c r="T317" s="2">
        <f t="shared" si="4"/>
        <v>1</v>
      </c>
      <c r="U317" s="2">
        <f t="shared" si="5"/>
        <v>1</v>
      </c>
      <c r="V317" s="2">
        <f t="shared" si="6"/>
        <v>1</v>
      </c>
    </row>
    <row r="318" ht="14.25" customHeight="1">
      <c r="A318" s="2" t="s">
        <v>361</v>
      </c>
      <c r="B318" s="2" t="s">
        <v>60</v>
      </c>
      <c r="C318" s="2" t="s">
        <v>39</v>
      </c>
      <c r="D318" s="8" t="s">
        <v>626</v>
      </c>
      <c r="E318" s="6">
        <v>45144.0</v>
      </c>
      <c r="F318" s="6">
        <v>45187.0</v>
      </c>
      <c r="G318" s="7">
        <v>4.486128429E9</v>
      </c>
      <c r="H318" s="22"/>
      <c r="I318" s="2">
        <f t="shared" ref="I318:P318" si="321">IF(ISBLANK(A318)=TRUE,0,1)</f>
        <v>1</v>
      </c>
      <c r="J318" s="2">
        <f t="shared" si="321"/>
        <v>1</v>
      </c>
      <c r="K318" s="2">
        <f t="shared" si="321"/>
        <v>1</v>
      </c>
      <c r="L318" s="2">
        <f t="shared" si="321"/>
        <v>1</v>
      </c>
      <c r="M318" s="2">
        <f t="shared" si="321"/>
        <v>1</v>
      </c>
      <c r="N318" s="2">
        <f t="shared" si="321"/>
        <v>1</v>
      </c>
      <c r="O318" s="2">
        <f t="shared" si="321"/>
        <v>1</v>
      </c>
      <c r="P318" s="2">
        <f t="shared" si="321"/>
        <v>0</v>
      </c>
      <c r="Q318" s="2">
        <f t="shared" si="3"/>
        <v>1</v>
      </c>
      <c r="R318" s="2">
        <f>IF(ISERROR(VLOOKUP(A318, 'Project Reference'!A:A, 1, FALSE)), 0, 1)</f>
        <v>1</v>
      </c>
      <c r="S318" s="2">
        <f>IFERROR(__xludf.DUMMYFUNCTION("IF(AND(REGEXMATCH(D318, B318), REGEXMATCH(D318, C318)), 1, 0)
"),1.0)</f>
        <v>1</v>
      </c>
      <c r="T318" s="2">
        <f t="shared" si="4"/>
        <v>1</v>
      </c>
      <c r="U318" s="2">
        <f t="shared" si="5"/>
        <v>1</v>
      </c>
      <c r="V318" s="2">
        <f t="shared" si="6"/>
        <v>1</v>
      </c>
    </row>
    <row r="319" ht="14.25" customHeight="1">
      <c r="A319" s="2" t="s">
        <v>362</v>
      </c>
      <c r="B319" s="2" t="s">
        <v>12</v>
      </c>
      <c r="C319" s="2" t="s">
        <v>42</v>
      </c>
      <c r="D319" s="8" t="s">
        <v>603</v>
      </c>
      <c r="E319" s="6">
        <v>45145.0</v>
      </c>
      <c r="F319" s="6">
        <v>45397.0</v>
      </c>
      <c r="G319" s="7">
        <v>8.73718114E8</v>
      </c>
      <c r="H319" s="2" t="s">
        <v>44</v>
      </c>
      <c r="I319" s="2">
        <f t="shared" ref="I319:P319" si="322">IF(ISBLANK(A319)=TRUE,0,1)</f>
        <v>1</v>
      </c>
      <c r="J319" s="2">
        <f t="shared" si="322"/>
        <v>1</v>
      </c>
      <c r="K319" s="2">
        <f t="shared" si="322"/>
        <v>1</v>
      </c>
      <c r="L319" s="2">
        <f t="shared" si="322"/>
        <v>1</v>
      </c>
      <c r="M319" s="2">
        <f t="shared" si="322"/>
        <v>1</v>
      </c>
      <c r="N319" s="2">
        <f t="shared" si="322"/>
        <v>1</v>
      </c>
      <c r="O319" s="2">
        <f t="shared" si="322"/>
        <v>1</v>
      </c>
      <c r="P319" s="2">
        <f t="shared" si="322"/>
        <v>1</v>
      </c>
      <c r="Q319" s="2">
        <f t="shared" si="3"/>
        <v>1</v>
      </c>
      <c r="R319" s="2">
        <f>IF(ISERROR(VLOOKUP(A319, 'Project Reference'!A:A, 1, FALSE)), 0, 1)</f>
        <v>1</v>
      </c>
      <c r="S319" s="2">
        <f>IFERROR(__xludf.DUMMYFUNCTION("IF(AND(REGEXMATCH(D319, B319), REGEXMATCH(D319, C319)), 1, 0)
"),1.0)</f>
        <v>1</v>
      </c>
      <c r="T319" s="2">
        <f t="shared" si="4"/>
        <v>1</v>
      </c>
      <c r="U319" s="2">
        <f t="shared" si="5"/>
        <v>1</v>
      </c>
      <c r="V319" s="2">
        <f t="shared" si="6"/>
        <v>1</v>
      </c>
    </row>
    <row r="320" ht="14.25" customHeight="1">
      <c r="A320" s="2" t="s">
        <v>363</v>
      </c>
      <c r="B320" s="2" t="s">
        <v>35</v>
      </c>
      <c r="C320" s="2" t="s">
        <v>39</v>
      </c>
      <c r="D320" s="2" t="s">
        <v>145</v>
      </c>
      <c r="E320" s="6">
        <v>45147.0</v>
      </c>
      <c r="F320" s="6">
        <v>45343.0</v>
      </c>
      <c r="G320" s="7">
        <v>2.30467768E8</v>
      </c>
      <c r="H320" s="2" t="s">
        <v>67</v>
      </c>
      <c r="I320" s="2">
        <f t="shared" ref="I320:P320" si="323">IF(ISBLANK(A320)=TRUE,0,1)</f>
        <v>1</v>
      </c>
      <c r="J320" s="2">
        <f t="shared" si="323"/>
        <v>1</v>
      </c>
      <c r="K320" s="2">
        <f t="shared" si="323"/>
        <v>1</v>
      </c>
      <c r="L320" s="2">
        <f t="shared" si="323"/>
        <v>1</v>
      </c>
      <c r="M320" s="2">
        <f t="shared" si="323"/>
        <v>1</v>
      </c>
      <c r="N320" s="2">
        <f t="shared" si="323"/>
        <v>1</v>
      </c>
      <c r="O320" s="2">
        <f t="shared" si="323"/>
        <v>1</v>
      </c>
      <c r="P320" s="2">
        <f t="shared" si="323"/>
        <v>1</v>
      </c>
      <c r="Q320" s="2">
        <f t="shared" si="3"/>
        <v>1</v>
      </c>
      <c r="R320" s="2">
        <f>IF(ISERROR(VLOOKUP(A320, 'Project Reference'!A:A, 1, FALSE)), 0, 1)</f>
        <v>1</v>
      </c>
      <c r="S320" s="2">
        <f>IFERROR(__xludf.DUMMYFUNCTION("IF(AND(REGEXMATCH(D320, B320), REGEXMATCH(D320, C320)), 1, 0)
"),1.0)</f>
        <v>1</v>
      </c>
      <c r="T320" s="2">
        <f t="shared" si="4"/>
        <v>1</v>
      </c>
      <c r="U320" s="2">
        <f t="shared" si="5"/>
        <v>1</v>
      </c>
      <c r="V320" s="2">
        <f t="shared" si="6"/>
        <v>1</v>
      </c>
    </row>
    <row r="321" ht="14.25" customHeight="1">
      <c r="A321" s="2" t="s">
        <v>364</v>
      </c>
      <c r="B321" s="2" t="s">
        <v>12</v>
      </c>
      <c r="C321" s="2" t="s">
        <v>36</v>
      </c>
      <c r="D321" s="8" t="s">
        <v>578</v>
      </c>
      <c r="E321" s="6">
        <v>45148.0</v>
      </c>
      <c r="F321" s="6">
        <v>45259.0</v>
      </c>
      <c r="G321" s="7">
        <v>6.88191398E8</v>
      </c>
      <c r="H321" s="2" t="s">
        <v>44</v>
      </c>
      <c r="I321" s="2">
        <f t="shared" ref="I321:P321" si="324">IF(ISBLANK(A321)=TRUE,0,1)</f>
        <v>1</v>
      </c>
      <c r="J321" s="2">
        <f t="shared" si="324"/>
        <v>1</v>
      </c>
      <c r="K321" s="2">
        <f t="shared" si="324"/>
        <v>1</v>
      </c>
      <c r="L321" s="2">
        <f t="shared" si="324"/>
        <v>1</v>
      </c>
      <c r="M321" s="2">
        <f t="shared" si="324"/>
        <v>1</v>
      </c>
      <c r="N321" s="2">
        <f t="shared" si="324"/>
        <v>1</v>
      </c>
      <c r="O321" s="2">
        <f t="shared" si="324"/>
        <v>1</v>
      </c>
      <c r="P321" s="2">
        <f t="shared" si="324"/>
        <v>1</v>
      </c>
      <c r="Q321" s="2">
        <f t="shared" si="3"/>
        <v>1</v>
      </c>
      <c r="R321" s="2">
        <f>IF(ISERROR(VLOOKUP(A321, 'Project Reference'!A:A, 1, FALSE)), 0, 1)</f>
        <v>1</v>
      </c>
      <c r="S321" s="2">
        <f>IFERROR(__xludf.DUMMYFUNCTION("IF(AND(REGEXMATCH(D321, B321), REGEXMATCH(D321, C321)), 1, 0)
"),1.0)</f>
        <v>1</v>
      </c>
      <c r="T321" s="2">
        <f t="shared" si="4"/>
        <v>1</v>
      </c>
      <c r="U321" s="2">
        <f t="shared" si="5"/>
        <v>1</v>
      </c>
      <c r="V321" s="2">
        <f t="shared" si="6"/>
        <v>1</v>
      </c>
    </row>
    <row r="322" ht="14.25" customHeight="1">
      <c r="A322" s="2" t="s">
        <v>365</v>
      </c>
      <c r="B322" s="2" t="s">
        <v>18</v>
      </c>
      <c r="C322" s="2" t="s">
        <v>36</v>
      </c>
      <c r="D322" s="8" t="s">
        <v>634</v>
      </c>
      <c r="E322" s="6">
        <v>45149.0</v>
      </c>
      <c r="F322" s="6">
        <v>45285.0</v>
      </c>
      <c r="G322" s="7">
        <v>2.697606072E9</v>
      </c>
      <c r="H322" s="2" t="s">
        <v>44</v>
      </c>
      <c r="I322" s="2">
        <f t="shared" ref="I322:P322" si="325">IF(ISBLANK(A322)=TRUE,0,1)</f>
        <v>1</v>
      </c>
      <c r="J322" s="2">
        <f t="shared" si="325"/>
        <v>1</v>
      </c>
      <c r="K322" s="2">
        <f t="shared" si="325"/>
        <v>1</v>
      </c>
      <c r="L322" s="2">
        <f t="shared" si="325"/>
        <v>1</v>
      </c>
      <c r="M322" s="2">
        <f t="shared" si="325"/>
        <v>1</v>
      </c>
      <c r="N322" s="2">
        <f t="shared" si="325"/>
        <v>1</v>
      </c>
      <c r="O322" s="2">
        <f t="shared" si="325"/>
        <v>1</v>
      </c>
      <c r="P322" s="2">
        <f t="shared" si="325"/>
        <v>1</v>
      </c>
      <c r="Q322" s="2">
        <f t="shared" si="3"/>
        <v>1</v>
      </c>
      <c r="R322" s="2">
        <f>IF(ISERROR(VLOOKUP(A322, 'Project Reference'!A:A, 1, FALSE)), 0, 1)</f>
        <v>1</v>
      </c>
      <c r="S322" s="2">
        <f>IFERROR(__xludf.DUMMYFUNCTION("IF(AND(REGEXMATCH(D322, B322), REGEXMATCH(D322, C322)), 1, 0)
"),1.0)</f>
        <v>1</v>
      </c>
      <c r="T322" s="2">
        <f t="shared" si="4"/>
        <v>1</v>
      </c>
      <c r="U322" s="2">
        <f t="shared" si="5"/>
        <v>1</v>
      </c>
      <c r="V322" s="2">
        <f t="shared" si="6"/>
        <v>1</v>
      </c>
    </row>
    <row r="323" ht="14.25" customHeight="1">
      <c r="A323" s="2" t="s">
        <v>366</v>
      </c>
      <c r="B323" s="2" t="s">
        <v>12</v>
      </c>
      <c r="C323" s="2" t="s">
        <v>39</v>
      </c>
      <c r="D323" s="8" t="s">
        <v>591</v>
      </c>
      <c r="E323" s="6">
        <v>45151.0</v>
      </c>
      <c r="F323" s="6">
        <v>45311.0</v>
      </c>
      <c r="G323" s="7">
        <v>9.90744889E8</v>
      </c>
      <c r="H323" s="8" t="s">
        <v>573</v>
      </c>
      <c r="I323" s="2">
        <f t="shared" ref="I323:P323" si="326">IF(ISBLANK(A323)=TRUE,0,1)</f>
        <v>1</v>
      </c>
      <c r="J323" s="2">
        <f t="shared" si="326"/>
        <v>1</v>
      </c>
      <c r="K323" s="2">
        <f t="shared" si="326"/>
        <v>1</v>
      </c>
      <c r="L323" s="2">
        <f t="shared" si="326"/>
        <v>1</v>
      </c>
      <c r="M323" s="2">
        <f t="shared" si="326"/>
        <v>1</v>
      </c>
      <c r="N323" s="2">
        <f t="shared" si="326"/>
        <v>1</v>
      </c>
      <c r="O323" s="2">
        <f t="shared" si="326"/>
        <v>1</v>
      </c>
      <c r="P323" s="2">
        <f t="shared" si="326"/>
        <v>1</v>
      </c>
      <c r="Q323" s="2">
        <f t="shared" si="3"/>
        <v>1</v>
      </c>
      <c r="R323" s="2">
        <f>IF(ISERROR(VLOOKUP(A323, 'Project Reference'!A:A, 1, FALSE)), 0, 1)</f>
        <v>1</v>
      </c>
      <c r="S323" s="2">
        <f>IFERROR(__xludf.DUMMYFUNCTION("IF(AND(REGEXMATCH(D323, B323), REGEXMATCH(D323, C323)), 1, 0)
"),1.0)</f>
        <v>1</v>
      </c>
      <c r="T323" s="2">
        <f t="shared" si="4"/>
        <v>1</v>
      </c>
      <c r="U323" s="2">
        <f t="shared" si="5"/>
        <v>1</v>
      </c>
      <c r="V323" s="2">
        <f t="shared" si="6"/>
        <v>1</v>
      </c>
    </row>
    <row r="324" ht="14.25" customHeight="1">
      <c r="A324" s="2" t="s">
        <v>367</v>
      </c>
      <c r="B324" s="2" t="s">
        <v>30</v>
      </c>
      <c r="C324" s="2" t="s">
        <v>36</v>
      </c>
      <c r="D324" s="8" t="s">
        <v>639</v>
      </c>
      <c r="E324" s="6">
        <v>45153.0</v>
      </c>
      <c r="F324" s="6">
        <v>45342.0</v>
      </c>
      <c r="G324" s="7">
        <v>3.212613392E9</v>
      </c>
      <c r="H324" s="2" t="s">
        <v>21</v>
      </c>
      <c r="I324" s="2">
        <f t="shared" ref="I324:P324" si="327">IF(ISBLANK(A324)=TRUE,0,1)</f>
        <v>1</v>
      </c>
      <c r="J324" s="2">
        <f t="shared" si="327"/>
        <v>1</v>
      </c>
      <c r="K324" s="2">
        <f t="shared" si="327"/>
        <v>1</v>
      </c>
      <c r="L324" s="2">
        <f t="shared" si="327"/>
        <v>1</v>
      </c>
      <c r="M324" s="2">
        <f t="shared" si="327"/>
        <v>1</v>
      </c>
      <c r="N324" s="2">
        <f t="shared" si="327"/>
        <v>1</v>
      </c>
      <c r="O324" s="2">
        <f t="shared" si="327"/>
        <v>1</v>
      </c>
      <c r="P324" s="2">
        <f t="shared" si="327"/>
        <v>1</v>
      </c>
      <c r="Q324" s="2">
        <f t="shared" si="3"/>
        <v>1</v>
      </c>
      <c r="R324" s="2">
        <f>IF(ISERROR(VLOOKUP(A324, 'Project Reference'!A:A, 1, FALSE)), 0, 1)</f>
        <v>1</v>
      </c>
      <c r="S324" s="2">
        <f>IFERROR(__xludf.DUMMYFUNCTION("IF(AND(REGEXMATCH(D324, B324), REGEXMATCH(D324, C324)), 1, 0)
"),1.0)</f>
        <v>1</v>
      </c>
      <c r="T324" s="2">
        <f t="shared" si="4"/>
        <v>1</v>
      </c>
      <c r="U324" s="2">
        <f t="shared" si="5"/>
        <v>1</v>
      </c>
      <c r="V324" s="2">
        <f t="shared" si="6"/>
        <v>1</v>
      </c>
    </row>
    <row r="325" ht="14.25" customHeight="1">
      <c r="A325" s="2" t="s">
        <v>368</v>
      </c>
      <c r="B325" s="2" t="s">
        <v>30</v>
      </c>
      <c r="C325" s="2" t="s">
        <v>19</v>
      </c>
      <c r="D325" s="8" t="s">
        <v>623</v>
      </c>
      <c r="E325" s="6">
        <v>45154.0</v>
      </c>
      <c r="F325" s="6">
        <v>45311.0</v>
      </c>
      <c r="G325" s="7">
        <v>8.43044899E8</v>
      </c>
      <c r="H325" s="8" t="s">
        <v>573</v>
      </c>
      <c r="I325" s="2">
        <f t="shared" ref="I325:P325" si="328">IF(ISBLANK(A325)=TRUE,0,1)</f>
        <v>1</v>
      </c>
      <c r="J325" s="2">
        <f t="shared" si="328"/>
        <v>1</v>
      </c>
      <c r="K325" s="2">
        <f t="shared" si="328"/>
        <v>1</v>
      </c>
      <c r="L325" s="2">
        <f t="shared" si="328"/>
        <v>1</v>
      </c>
      <c r="M325" s="2">
        <f t="shared" si="328"/>
        <v>1</v>
      </c>
      <c r="N325" s="2">
        <f t="shared" si="328"/>
        <v>1</v>
      </c>
      <c r="O325" s="2">
        <f t="shared" si="328"/>
        <v>1</v>
      </c>
      <c r="P325" s="2">
        <f t="shared" si="328"/>
        <v>1</v>
      </c>
      <c r="Q325" s="2">
        <f t="shared" si="3"/>
        <v>1</v>
      </c>
      <c r="R325" s="2">
        <f>IF(ISERROR(VLOOKUP(A325, 'Project Reference'!A:A, 1, FALSE)), 0, 1)</f>
        <v>1</v>
      </c>
      <c r="S325" s="2">
        <f>IFERROR(__xludf.DUMMYFUNCTION("IF(AND(REGEXMATCH(D325, B325), REGEXMATCH(D325, C325)), 1, 0)
"),1.0)</f>
        <v>1</v>
      </c>
      <c r="T325" s="2">
        <f t="shared" si="4"/>
        <v>1</v>
      </c>
      <c r="U325" s="2">
        <f t="shared" si="5"/>
        <v>1</v>
      </c>
      <c r="V325" s="2">
        <f t="shared" si="6"/>
        <v>1</v>
      </c>
    </row>
    <row r="326" ht="14.25" customHeight="1">
      <c r="A326" s="2" t="s">
        <v>369</v>
      </c>
      <c r="B326" s="2" t="s">
        <v>35</v>
      </c>
      <c r="C326" s="2" t="s">
        <v>13</v>
      </c>
      <c r="D326" s="2" t="s">
        <v>78</v>
      </c>
      <c r="E326" s="6">
        <v>45154.0</v>
      </c>
      <c r="F326" s="6">
        <v>45341.0</v>
      </c>
      <c r="G326" s="7">
        <v>4.42886883E8</v>
      </c>
      <c r="H326" s="22"/>
      <c r="I326" s="2">
        <f t="shared" ref="I326:P326" si="329">IF(ISBLANK(A326)=TRUE,0,1)</f>
        <v>1</v>
      </c>
      <c r="J326" s="2">
        <f t="shared" si="329"/>
        <v>1</v>
      </c>
      <c r="K326" s="2">
        <f t="shared" si="329"/>
        <v>1</v>
      </c>
      <c r="L326" s="2">
        <f t="shared" si="329"/>
        <v>1</v>
      </c>
      <c r="M326" s="2">
        <f t="shared" si="329"/>
        <v>1</v>
      </c>
      <c r="N326" s="2">
        <f t="shared" si="329"/>
        <v>1</v>
      </c>
      <c r="O326" s="2">
        <f t="shared" si="329"/>
        <v>1</v>
      </c>
      <c r="P326" s="2">
        <f t="shared" si="329"/>
        <v>0</v>
      </c>
      <c r="Q326" s="2">
        <f t="shared" si="3"/>
        <v>1</v>
      </c>
      <c r="R326" s="2">
        <f>IF(ISERROR(VLOOKUP(A326, 'Project Reference'!A:A, 1, FALSE)), 0, 1)</f>
        <v>1</v>
      </c>
      <c r="S326" s="2">
        <f>IFERROR(__xludf.DUMMYFUNCTION("IF(AND(REGEXMATCH(D326, B326), REGEXMATCH(D326, C326)), 1, 0)
"),1.0)</f>
        <v>1</v>
      </c>
      <c r="T326" s="2">
        <f t="shared" si="4"/>
        <v>1</v>
      </c>
      <c r="U326" s="2">
        <f t="shared" si="5"/>
        <v>1</v>
      </c>
      <c r="V326" s="2">
        <f t="shared" si="6"/>
        <v>1</v>
      </c>
    </row>
    <row r="327" ht="14.25" customHeight="1">
      <c r="A327" s="2" t="s">
        <v>370</v>
      </c>
      <c r="B327" s="2" t="s">
        <v>18</v>
      </c>
      <c r="C327" s="2" t="s">
        <v>24</v>
      </c>
      <c r="D327" s="8" t="s">
        <v>618</v>
      </c>
      <c r="E327" s="6">
        <v>45155.0</v>
      </c>
      <c r="F327" s="6">
        <v>45382.0</v>
      </c>
      <c r="G327" s="7">
        <v>8.993425036E9</v>
      </c>
      <c r="H327" s="2" t="s">
        <v>50</v>
      </c>
      <c r="I327" s="2">
        <f t="shared" ref="I327:P327" si="330">IF(ISBLANK(A327)=TRUE,0,1)</f>
        <v>1</v>
      </c>
      <c r="J327" s="2">
        <f t="shared" si="330"/>
        <v>1</v>
      </c>
      <c r="K327" s="2">
        <f t="shared" si="330"/>
        <v>1</v>
      </c>
      <c r="L327" s="2">
        <f t="shared" si="330"/>
        <v>1</v>
      </c>
      <c r="M327" s="2">
        <f t="shared" si="330"/>
        <v>1</v>
      </c>
      <c r="N327" s="2">
        <f t="shared" si="330"/>
        <v>1</v>
      </c>
      <c r="O327" s="2">
        <f t="shared" si="330"/>
        <v>1</v>
      </c>
      <c r="P327" s="2">
        <f t="shared" si="330"/>
        <v>1</v>
      </c>
      <c r="Q327" s="2">
        <f t="shared" si="3"/>
        <v>1</v>
      </c>
      <c r="R327" s="2">
        <f>IF(ISERROR(VLOOKUP(A327, 'Project Reference'!A:A, 1, FALSE)), 0, 1)</f>
        <v>1</v>
      </c>
      <c r="S327" s="2">
        <f>IFERROR(__xludf.DUMMYFUNCTION("IF(AND(REGEXMATCH(D327, B327), REGEXMATCH(D327, C327)), 1, 0)
"),1.0)</f>
        <v>1</v>
      </c>
      <c r="T327" s="2">
        <f t="shared" si="4"/>
        <v>1</v>
      </c>
      <c r="U327" s="2">
        <f t="shared" si="5"/>
        <v>1</v>
      </c>
      <c r="V327" s="2">
        <f t="shared" si="6"/>
        <v>1</v>
      </c>
    </row>
    <row r="328" ht="14.25" customHeight="1">
      <c r="A328" s="2" t="s">
        <v>371</v>
      </c>
      <c r="B328" s="2" t="s">
        <v>18</v>
      </c>
      <c r="C328" s="2" t="s">
        <v>36</v>
      </c>
      <c r="D328" s="8" t="s">
        <v>634</v>
      </c>
      <c r="E328" s="6">
        <v>45157.0</v>
      </c>
      <c r="F328" s="6">
        <v>45222.0</v>
      </c>
      <c r="G328" s="7">
        <v>4.764842863E9</v>
      </c>
      <c r="H328" s="2" t="s">
        <v>21</v>
      </c>
      <c r="I328" s="2">
        <f t="shared" ref="I328:P328" si="331">IF(ISBLANK(A328)=TRUE,0,1)</f>
        <v>1</v>
      </c>
      <c r="J328" s="2">
        <f t="shared" si="331"/>
        <v>1</v>
      </c>
      <c r="K328" s="2">
        <f t="shared" si="331"/>
        <v>1</v>
      </c>
      <c r="L328" s="2">
        <f t="shared" si="331"/>
        <v>1</v>
      </c>
      <c r="M328" s="2">
        <f t="shared" si="331"/>
        <v>1</v>
      </c>
      <c r="N328" s="2">
        <f t="shared" si="331"/>
        <v>1</v>
      </c>
      <c r="O328" s="2">
        <f t="shared" si="331"/>
        <v>1</v>
      </c>
      <c r="P328" s="2">
        <f t="shared" si="331"/>
        <v>1</v>
      </c>
      <c r="Q328" s="2">
        <f t="shared" si="3"/>
        <v>1</v>
      </c>
      <c r="R328" s="2">
        <f>IF(ISERROR(VLOOKUP(A328, 'Project Reference'!A:A, 1, FALSE)), 0, 1)</f>
        <v>1</v>
      </c>
      <c r="S328" s="2">
        <f>IFERROR(__xludf.DUMMYFUNCTION("IF(AND(REGEXMATCH(D328, B328), REGEXMATCH(D328, C328)), 1, 0)
"),1.0)</f>
        <v>1</v>
      </c>
      <c r="T328" s="2">
        <f t="shared" si="4"/>
        <v>1</v>
      </c>
      <c r="U328" s="2">
        <f t="shared" si="5"/>
        <v>1</v>
      </c>
      <c r="V328" s="2">
        <f t="shared" si="6"/>
        <v>1</v>
      </c>
    </row>
    <row r="329" ht="14.25" customHeight="1">
      <c r="A329" s="2" t="s">
        <v>372</v>
      </c>
      <c r="B329" s="2" t="s">
        <v>12</v>
      </c>
      <c r="C329" s="2" t="s">
        <v>42</v>
      </c>
      <c r="D329" s="8" t="s">
        <v>603</v>
      </c>
      <c r="E329" s="6">
        <v>45157.0</v>
      </c>
      <c r="F329" s="6">
        <v>45305.0</v>
      </c>
      <c r="G329" s="7">
        <v>6.16245876E8</v>
      </c>
      <c r="H329" s="22"/>
      <c r="I329" s="2">
        <f t="shared" ref="I329:P329" si="332">IF(ISBLANK(A329)=TRUE,0,1)</f>
        <v>1</v>
      </c>
      <c r="J329" s="2">
        <f t="shared" si="332"/>
        <v>1</v>
      </c>
      <c r="K329" s="2">
        <f t="shared" si="332"/>
        <v>1</v>
      </c>
      <c r="L329" s="2">
        <f t="shared" si="332"/>
        <v>1</v>
      </c>
      <c r="M329" s="2">
        <f t="shared" si="332"/>
        <v>1</v>
      </c>
      <c r="N329" s="2">
        <f t="shared" si="332"/>
        <v>1</v>
      </c>
      <c r="O329" s="2">
        <f t="shared" si="332"/>
        <v>1</v>
      </c>
      <c r="P329" s="2">
        <f t="shared" si="332"/>
        <v>0</v>
      </c>
      <c r="Q329" s="2">
        <f t="shared" si="3"/>
        <v>1</v>
      </c>
      <c r="R329" s="2">
        <f>IF(ISERROR(VLOOKUP(A329, 'Project Reference'!A:A, 1, FALSE)), 0, 1)</f>
        <v>1</v>
      </c>
      <c r="S329" s="2">
        <f>IFERROR(__xludf.DUMMYFUNCTION("IF(AND(REGEXMATCH(D329, B329), REGEXMATCH(D329, C329)), 1, 0)
"),1.0)</f>
        <v>1</v>
      </c>
      <c r="T329" s="2">
        <f t="shared" si="4"/>
        <v>1</v>
      </c>
      <c r="U329" s="2">
        <f t="shared" si="5"/>
        <v>1</v>
      </c>
      <c r="V329" s="2">
        <f t="shared" si="6"/>
        <v>1</v>
      </c>
    </row>
    <row r="330" ht="14.25" customHeight="1">
      <c r="A330" s="2" t="s">
        <v>373</v>
      </c>
      <c r="B330" s="2" t="s">
        <v>60</v>
      </c>
      <c r="C330" s="2" t="s">
        <v>19</v>
      </c>
      <c r="D330" s="8" t="s">
        <v>616</v>
      </c>
      <c r="E330" s="6">
        <v>45158.0</v>
      </c>
      <c r="F330" s="6">
        <v>45284.0</v>
      </c>
      <c r="G330" s="7">
        <v>2.466228274E9</v>
      </c>
      <c r="H330" s="8" t="s">
        <v>581</v>
      </c>
      <c r="I330" s="2">
        <f t="shared" ref="I330:P330" si="333">IF(ISBLANK(A330)=TRUE,0,1)</f>
        <v>1</v>
      </c>
      <c r="J330" s="2">
        <f t="shared" si="333"/>
        <v>1</v>
      </c>
      <c r="K330" s="2">
        <f t="shared" si="333"/>
        <v>1</v>
      </c>
      <c r="L330" s="2">
        <f t="shared" si="333"/>
        <v>1</v>
      </c>
      <c r="M330" s="2">
        <f t="shared" si="333"/>
        <v>1</v>
      </c>
      <c r="N330" s="2">
        <f t="shared" si="333"/>
        <v>1</v>
      </c>
      <c r="O330" s="2">
        <f t="shared" si="333"/>
        <v>1</v>
      </c>
      <c r="P330" s="2">
        <f t="shared" si="333"/>
        <v>1</v>
      </c>
      <c r="Q330" s="2">
        <f t="shared" si="3"/>
        <v>1</v>
      </c>
      <c r="R330" s="2">
        <f>IF(ISERROR(VLOOKUP(A330, 'Project Reference'!A:A, 1, FALSE)), 0, 1)</f>
        <v>1</v>
      </c>
      <c r="S330" s="2">
        <f>IFERROR(__xludf.DUMMYFUNCTION("IF(AND(REGEXMATCH(D330, B330), REGEXMATCH(D330, C330)), 1, 0)
"),1.0)</f>
        <v>1</v>
      </c>
      <c r="T330" s="2">
        <f t="shared" si="4"/>
        <v>1</v>
      </c>
      <c r="U330" s="2">
        <f t="shared" si="5"/>
        <v>1</v>
      </c>
      <c r="V330" s="2">
        <f t="shared" si="6"/>
        <v>1</v>
      </c>
    </row>
    <row r="331" ht="14.25" customHeight="1">
      <c r="A331" s="2" t="s">
        <v>374</v>
      </c>
      <c r="B331" s="2" t="s">
        <v>60</v>
      </c>
      <c r="C331" s="2" t="s">
        <v>31</v>
      </c>
      <c r="D331" s="8" t="s">
        <v>599</v>
      </c>
      <c r="E331" s="6">
        <v>45159.0</v>
      </c>
      <c r="F331" s="6">
        <v>45378.0</v>
      </c>
      <c r="G331" s="7">
        <v>3.270114898E9</v>
      </c>
      <c r="H331" s="2" t="s">
        <v>50</v>
      </c>
      <c r="I331" s="2">
        <f t="shared" ref="I331:P331" si="334">IF(ISBLANK(A331)=TRUE,0,1)</f>
        <v>1</v>
      </c>
      <c r="J331" s="2">
        <f t="shared" si="334"/>
        <v>1</v>
      </c>
      <c r="K331" s="2">
        <f t="shared" si="334"/>
        <v>1</v>
      </c>
      <c r="L331" s="2">
        <f t="shared" si="334"/>
        <v>1</v>
      </c>
      <c r="M331" s="2">
        <f t="shared" si="334"/>
        <v>1</v>
      </c>
      <c r="N331" s="2">
        <f t="shared" si="334"/>
        <v>1</v>
      </c>
      <c r="O331" s="2">
        <f t="shared" si="334"/>
        <v>1</v>
      </c>
      <c r="P331" s="2">
        <f t="shared" si="334"/>
        <v>1</v>
      </c>
      <c r="Q331" s="2">
        <f t="shared" si="3"/>
        <v>1</v>
      </c>
      <c r="R331" s="2">
        <f>IF(ISERROR(VLOOKUP(A331, 'Project Reference'!A:A, 1, FALSE)), 0, 1)</f>
        <v>1</v>
      </c>
      <c r="S331" s="2">
        <f>IFERROR(__xludf.DUMMYFUNCTION("IF(AND(REGEXMATCH(D331, B331), REGEXMATCH(D331, C331)), 1, 0)
"),1.0)</f>
        <v>1</v>
      </c>
      <c r="T331" s="2">
        <f t="shared" si="4"/>
        <v>1</v>
      </c>
      <c r="U331" s="2">
        <f t="shared" si="5"/>
        <v>1</v>
      </c>
      <c r="V331" s="2">
        <f t="shared" si="6"/>
        <v>1</v>
      </c>
    </row>
    <row r="332" ht="14.25" customHeight="1">
      <c r="A332" s="2" t="s">
        <v>375</v>
      </c>
      <c r="B332" s="2" t="s">
        <v>60</v>
      </c>
      <c r="C332" s="2" t="s">
        <v>24</v>
      </c>
      <c r="D332" s="8" t="s">
        <v>640</v>
      </c>
      <c r="E332" s="6">
        <v>45159.0</v>
      </c>
      <c r="F332" s="6">
        <v>45272.0</v>
      </c>
      <c r="G332" s="7">
        <v>2.841617618E9</v>
      </c>
      <c r="H332" s="2" t="s">
        <v>50</v>
      </c>
      <c r="I332" s="2">
        <f t="shared" ref="I332:P332" si="335">IF(ISBLANK(A332)=TRUE,0,1)</f>
        <v>1</v>
      </c>
      <c r="J332" s="2">
        <f t="shared" si="335"/>
        <v>1</v>
      </c>
      <c r="K332" s="2">
        <f t="shared" si="335"/>
        <v>1</v>
      </c>
      <c r="L332" s="2">
        <f t="shared" si="335"/>
        <v>1</v>
      </c>
      <c r="M332" s="2">
        <f t="shared" si="335"/>
        <v>1</v>
      </c>
      <c r="N332" s="2">
        <f t="shared" si="335"/>
        <v>1</v>
      </c>
      <c r="O332" s="2">
        <f t="shared" si="335"/>
        <v>1</v>
      </c>
      <c r="P332" s="2">
        <f t="shared" si="335"/>
        <v>1</v>
      </c>
      <c r="Q332" s="2">
        <f t="shared" si="3"/>
        <v>1</v>
      </c>
      <c r="R332" s="2">
        <f>IF(ISERROR(VLOOKUP(A332, 'Project Reference'!A:A, 1, FALSE)), 0, 1)</f>
        <v>1</v>
      </c>
      <c r="S332" s="2">
        <f>IFERROR(__xludf.DUMMYFUNCTION("IF(AND(REGEXMATCH(D332, B332), REGEXMATCH(D332, C332)), 1, 0)
"),1.0)</f>
        <v>1</v>
      </c>
      <c r="T332" s="2">
        <f t="shared" si="4"/>
        <v>1</v>
      </c>
      <c r="U332" s="2">
        <f t="shared" si="5"/>
        <v>1</v>
      </c>
      <c r="V332" s="2">
        <f t="shared" si="6"/>
        <v>1</v>
      </c>
    </row>
    <row r="333" ht="14.25" customHeight="1">
      <c r="A333" s="2" t="s">
        <v>376</v>
      </c>
      <c r="B333" s="2" t="s">
        <v>60</v>
      </c>
      <c r="C333" s="2" t="s">
        <v>24</v>
      </c>
      <c r="D333" s="8" t="s">
        <v>640</v>
      </c>
      <c r="E333" s="6">
        <v>45160.0</v>
      </c>
      <c r="F333" s="6">
        <v>45415.0</v>
      </c>
      <c r="G333" s="7">
        <v>2.178901994E9</v>
      </c>
      <c r="H333" s="22"/>
      <c r="I333" s="2">
        <f t="shared" ref="I333:P333" si="336">IF(ISBLANK(A333)=TRUE,0,1)</f>
        <v>1</v>
      </c>
      <c r="J333" s="2">
        <f t="shared" si="336"/>
        <v>1</v>
      </c>
      <c r="K333" s="2">
        <f t="shared" si="336"/>
        <v>1</v>
      </c>
      <c r="L333" s="2">
        <f t="shared" si="336"/>
        <v>1</v>
      </c>
      <c r="M333" s="2">
        <f t="shared" si="336"/>
        <v>1</v>
      </c>
      <c r="N333" s="2">
        <f t="shared" si="336"/>
        <v>1</v>
      </c>
      <c r="O333" s="2">
        <f t="shared" si="336"/>
        <v>1</v>
      </c>
      <c r="P333" s="2">
        <f t="shared" si="336"/>
        <v>0</v>
      </c>
      <c r="Q333" s="2">
        <f t="shared" si="3"/>
        <v>1</v>
      </c>
      <c r="R333" s="2">
        <f>IF(ISERROR(VLOOKUP(A333, 'Project Reference'!A:A, 1, FALSE)), 0, 1)</f>
        <v>1</v>
      </c>
      <c r="S333" s="2">
        <f>IFERROR(__xludf.DUMMYFUNCTION("IF(AND(REGEXMATCH(D333, B333), REGEXMATCH(D333, C333)), 1, 0)
"),1.0)</f>
        <v>1</v>
      </c>
      <c r="T333" s="2">
        <f t="shared" si="4"/>
        <v>1</v>
      </c>
      <c r="U333" s="2">
        <f t="shared" si="5"/>
        <v>1</v>
      </c>
      <c r="V333" s="2">
        <f t="shared" si="6"/>
        <v>1</v>
      </c>
    </row>
    <row r="334" ht="14.25" customHeight="1">
      <c r="A334" s="2" t="s">
        <v>377</v>
      </c>
      <c r="B334" s="2" t="s">
        <v>18</v>
      </c>
      <c r="C334" s="2" t="s">
        <v>31</v>
      </c>
      <c r="D334" s="8" t="s">
        <v>636</v>
      </c>
      <c r="E334" s="6">
        <v>45160.0</v>
      </c>
      <c r="F334" s="6">
        <v>45496.0</v>
      </c>
      <c r="G334" s="7">
        <v>4.033563886E9</v>
      </c>
      <c r="H334" s="22"/>
      <c r="I334" s="2">
        <f t="shared" ref="I334:P334" si="337">IF(ISBLANK(A334)=TRUE,0,1)</f>
        <v>1</v>
      </c>
      <c r="J334" s="2">
        <f t="shared" si="337"/>
        <v>1</v>
      </c>
      <c r="K334" s="2">
        <f t="shared" si="337"/>
        <v>1</v>
      </c>
      <c r="L334" s="2">
        <f t="shared" si="337"/>
        <v>1</v>
      </c>
      <c r="M334" s="2">
        <f t="shared" si="337"/>
        <v>1</v>
      </c>
      <c r="N334" s="2">
        <f t="shared" si="337"/>
        <v>1</v>
      </c>
      <c r="O334" s="2">
        <f t="shared" si="337"/>
        <v>1</v>
      </c>
      <c r="P334" s="2">
        <f t="shared" si="337"/>
        <v>0</v>
      </c>
      <c r="Q334" s="2">
        <f t="shared" si="3"/>
        <v>1</v>
      </c>
      <c r="R334" s="2">
        <f>IF(ISERROR(VLOOKUP(A334, 'Project Reference'!A:A, 1, FALSE)), 0, 1)</f>
        <v>1</v>
      </c>
      <c r="S334" s="2">
        <f>IFERROR(__xludf.DUMMYFUNCTION("IF(AND(REGEXMATCH(D334, B334), REGEXMATCH(D334, C334)), 1, 0)
"),1.0)</f>
        <v>1</v>
      </c>
      <c r="T334" s="2">
        <f t="shared" si="4"/>
        <v>1</v>
      </c>
      <c r="U334" s="2">
        <f t="shared" si="5"/>
        <v>1</v>
      </c>
      <c r="V334" s="2">
        <f t="shared" si="6"/>
        <v>1</v>
      </c>
    </row>
    <row r="335" ht="14.25" customHeight="1">
      <c r="A335" s="2" t="s">
        <v>378</v>
      </c>
      <c r="B335" s="2" t="s">
        <v>30</v>
      </c>
      <c r="C335" s="2" t="s">
        <v>24</v>
      </c>
      <c r="D335" s="8" t="s">
        <v>637</v>
      </c>
      <c r="E335" s="6">
        <v>45160.0</v>
      </c>
      <c r="F335" s="6">
        <v>45197.0</v>
      </c>
      <c r="G335" s="7">
        <v>9.65725164E8</v>
      </c>
      <c r="H335" s="22"/>
      <c r="I335" s="2">
        <f t="shared" ref="I335:P335" si="338">IF(ISBLANK(A335)=TRUE,0,1)</f>
        <v>1</v>
      </c>
      <c r="J335" s="2">
        <f t="shared" si="338"/>
        <v>1</v>
      </c>
      <c r="K335" s="2">
        <f t="shared" si="338"/>
        <v>1</v>
      </c>
      <c r="L335" s="2">
        <f t="shared" si="338"/>
        <v>1</v>
      </c>
      <c r="M335" s="2">
        <f t="shared" si="338"/>
        <v>1</v>
      </c>
      <c r="N335" s="2">
        <f t="shared" si="338"/>
        <v>1</v>
      </c>
      <c r="O335" s="2">
        <f t="shared" si="338"/>
        <v>1</v>
      </c>
      <c r="P335" s="2">
        <f t="shared" si="338"/>
        <v>0</v>
      </c>
      <c r="Q335" s="2">
        <f t="shared" si="3"/>
        <v>1</v>
      </c>
      <c r="R335" s="2">
        <f>IF(ISERROR(VLOOKUP(A335, 'Project Reference'!A:A, 1, FALSE)), 0, 1)</f>
        <v>1</v>
      </c>
      <c r="S335" s="2">
        <f>IFERROR(__xludf.DUMMYFUNCTION("IF(AND(REGEXMATCH(D335, B335), REGEXMATCH(D335, C335)), 1, 0)
"),1.0)</f>
        <v>1</v>
      </c>
      <c r="T335" s="2">
        <f t="shared" si="4"/>
        <v>1</v>
      </c>
      <c r="U335" s="2">
        <f t="shared" si="5"/>
        <v>1</v>
      </c>
      <c r="V335" s="2">
        <f t="shared" si="6"/>
        <v>1</v>
      </c>
    </row>
    <row r="336" ht="14.25" customHeight="1">
      <c r="A336" s="2" t="s">
        <v>379</v>
      </c>
      <c r="B336" s="2" t="s">
        <v>12</v>
      </c>
      <c r="C336" s="2" t="s">
        <v>24</v>
      </c>
      <c r="D336" s="8" t="s">
        <v>610</v>
      </c>
      <c r="E336" s="6">
        <v>45161.0</v>
      </c>
      <c r="F336" s="6">
        <v>45199.0</v>
      </c>
      <c r="G336" s="7">
        <v>6.47397365E8</v>
      </c>
      <c r="H336" s="2" t="s">
        <v>50</v>
      </c>
      <c r="I336" s="2">
        <f t="shared" ref="I336:P336" si="339">IF(ISBLANK(A336)=TRUE,0,1)</f>
        <v>1</v>
      </c>
      <c r="J336" s="2">
        <f t="shared" si="339"/>
        <v>1</v>
      </c>
      <c r="K336" s="2">
        <f t="shared" si="339"/>
        <v>1</v>
      </c>
      <c r="L336" s="2">
        <f t="shared" si="339"/>
        <v>1</v>
      </c>
      <c r="M336" s="2">
        <f t="shared" si="339"/>
        <v>1</v>
      </c>
      <c r="N336" s="2">
        <f t="shared" si="339"/>
        <v>1</v>
      </c>
      <c r="O336" s="2">
        <f t="shared" si="339"/>
        <v>1</v>
      </c>
      <c r="P336" s="2">
        <f t="shared" si="339"/>
        <v>1</v>
      </c>
      <c r="Q336" s="2">
        <f t="shared" si="3"/>
        <v>1</v>
      </c>
      <c r="R336" s="2">
        <f>IF(ISERROR(VLOOKUP(A336, 'Project Reference'!A:A, 1, FALSE)), 0, 1)</f>
        <v>1</v>
      </c>
      <c r="S336" s="2">
        <f>IFERROR(__xludf.DUMMYFUNCTION("IF(AND(REGEXMATCH(D336, B336), REGEXMATCH(D336, C336)), 1, 0)
"),1.0)</f>
        <v>1</v>
      </c>
      <c r="T336" s="2">
        <f t="shared" si="4"/>
        <v>1</v>
      </c>
      <c r="U336" s="2">
        <f t="shared" si="5"/>
        <v>1</v>
      </c>
      <c r="V336" s="2">
        <f t="shared" si="6"/>
        <v>1</v>
      </c>
    </row>
    <row r="337" ht="14.25" customHeight="1">
      <c r="A337" s="2" t="s">
        <v>381</v>
      </c>
      <c r="B337" s="2" t="s">
        <v>18</v>
      </c>
      <c r="C337" s="2" t="s">
        <v>39</v>
      </c>
      <c r="D337" s="8" t="s">
        <v>577</v>
      </c>
      <c r="E337" s="6">
        <v>45162.0</v>
      </c>
      <c r="F337" s="6">
        <v>45516.0</v>
      </c>
      <c r="G337" s="7">
        <v>7.165201683E9</v>
      </c>
      <c r="H337" s="2" t="s">
        <v>44</v>
      </c>
      <c r="I337" s="2">
        <f t="shared" ref="I337:P337" si="340">IF(ISBLANK(A337)=TRUE,0,1)</f>
        <v>1</v>
      </c>
      <c r="J337" s="2">
        <f t="shared" si="340"/>
        <v>1</v>
      </c>
      <c r="K337" s="2">
        <f t="shared" si="340"/>
        <v>1</v>
      </c>
      <c r="L337" s="2">
        <f t="shared" si="340"/>
        <v>1</v>
      </c>
      <c r="M337" s="2">
        <f t="shared" si="340"/>
        <v>1</v>
      </c>
      <c r="N337" s="2">
        <f t="shared" si="340"/>
        <v>1</v>
      </c>
      <c r="O337" s="2">
        <f t="shared" si="340"/>
        <v>1</v>
      </c>
      <c r="P337" s="2">
        <f t="shared" si="340"/>
        <v>1</v>
      </c>
      <c r="Q337" s="2">
        <f t="shared" si="3"/>
        <v>1</v>
      </c>
      <c r="R337" s="2">
        <f>IF(ISERROR(VLOOKUP(A337, 'Project Reference'!A:A, 1, FALSE)), 0, 1)</f>
        <v>1</v>
      </c>
      <c r="S337" s="2">
        <f>IFERROR(__xludf.DUMMYFUNCTION("IF(AND(REGEXMATCH(D337, B337), REGEXMATCH(D337, C337)), 1, 0)
"),1.0)</f>
        <v>1</v>
      </c>
      <c r="T337" s="2">
        <f t="shared" si="4"/>
        <v>1</v>
      </c>
      <c r="U337" s="2">
        <f t="shared" si="5"/>
        <v>1</v>
      </c>
      <c r="V337" s="2">
        <f t="shared" si="6"/>
        <v>1</v>
      </c>
    </row>
    <row r="338" ht="14.25" customHeight="1">
      <c r="A338" s="2" t="s">
        <v>382</v>
      </c>
      <c r="B338" s="2" t="s">
        <v>35</v>
      </c>
      <c r="C338" s="2" t="s">
        <v>48</v>
      </c>
      <c r="D338" s="2" t="s">
        <v>49</v>
      </c>
      <c r="E338" s="6">
        <v>45162.0</v>
      </c>
      <c r="F338" s="6">
        <v>45254.0</v>
      </c>
      <c r="G338" s="7">
        <v>5.57418865E8</v>
      </c>
      <c r="H338" s="22"/>
      <c r="I338" s="2">
        <f t="shared" ref="I338:P338" si="341">IF(ISBLANK(A338)=TRUE,0,1)</f>
        <v>1</v>
      </c>
      <c r="J338" s="2">
        <f t="shared" si="341"/>
        <v>1</v>
      </c>
      <c r="K338" s="2">
        <f t="shared" si="341"/>
        <v>1</v>
      </c>
      <c r="L338" s="2">
        <f t="shared" si="341"/>
        <v>1</v>
      </c>
      <c r="M338" s="2">
        <f t="shared" si="341"/>
        <v>1</v>
      </c>
      <c r="N338" s="2">
        <f t="shared" si="341"/>
        <v>1</v>
      </c>
      <c r="O338" s="2">
        <f t="shared" si="341"/>
        <v>1</v>
      </c>
      <c r="P338" s="2">
        <f t="shared" si="341"/>
        <v>0</v>
      </c>
      <c r="Q338" s="2">
        <f t="shared" si="3"/>
        <v>1</v>
      </c>
      <c r="R338" s="2">
        <f>IF(ISERROR(VLOOKUP(A338, 'Project Reference'!A:A, 1, FALSE)), 0, 1)</f>
        <v>1</v>
      </c>
      <c r="S338" s="2">
        <f>IFERROR(__xludf.DUMMYFUNCTION("IF(AND(REGEXMATCH(D338, B338), REGEXMATCH(D338, C338)), 1, 0)
"),1.0)</f>
        <v>1</v>
      </c>
      <c r="T338" s="2">
        <f t="shared" si="4"/>
        <v>1</v>
      </c>
      <c r="U338" s="2">
        <f t="shared" si="5"/>
        <v>1</v>
      </c>
      <c r="V338" s="2">
        <f t="shared" si="6"/>
        <v>1</v>
      </c>
    </row>
    <row r="339" ht="14.25" customHeight="1">
      <c r="A339" s="2" t="s">
        <v>383</v>
      </c>
      <c r="B339" s="2" t="s">
        <v>18</v>
      </c>
      <c r="C339" s="2" t="s">
        <v>48</v>
      </c>
      <c r="D339" s="8" t="s">
        <v>629</v>
      </c>
      <c r="E339" s="6">
        <v>45163.0</v>
      </c>
      <c r="F339" s="6">
        <v>45219.0</v>
      </c>
      <c r="G339" s="7">
        <v>4.732793482E9</v>
      </c>
      <c r="H339" s="2" t="s">
        <v>67</v>
      </c>
      <c r="I339" s="2">
        <f t="shared" ref="I339:P339" si="342">IF(ISBLANK(A339)=TRUE,0,1)</f>
        <v>1</v>
      </c>
      <c r="J339" s="2">
        <f t="shared" si="342"/>
        <v>1</v>
      </c>
      <c r="K339" s="2">
        <f t="shared" si="342"/>
        <v>1</v>
      </c>
      <c r="L339" s="2">
        <f t="shared" si="342"/>
        <v>1</v>
      </c>
      <c r="M339" s="2">
        <f t="shared" si="342"/>
        <v>1</v>
      </c>
      <c r="N339" s="2">
        <f t="shared" si="342"/>
        <v>1</v>
      </c>
      <c r="O339" s="2">
        <f t="shared" si="342"/>
        <v>1</v>
      </c>
      <c r="P339" s="2">
        <f t="shared" si="342"/>
        <v>1</v>
      </c>
      <c r="Q339" s="2">
        <f t="shared" si="3"/>
        <v>1</v>
      </c>
      <c r="R339" s="2">
        <f>IF(ISERROR(VLOOKUP(A339, 'Project Reference'!A:A, 1, FALSE)), 0, 1)</f>
        <v>1</v>
      </c>
      <c r="S339" s="2">
        <f>IFERROR(__xludf.DUMMYFUNCTION("IF(AND(REGEXMATCH(D339, B339), REGEXMATCH(D339, C339)), 1, 0)
"),1.0)</f>
        <v>1</v>
      </c>
      <c r="T339" s="2">
        <f t="shared" si="4"/>
        <v>1</v>
      </c>
      <c r="U339" s="2">
        <f t="shared" si="5"/>
        <v>1</v>
      </c>
      <c r="V339" s="2">
        <f t="shared" si="6"/>
        <v>1</v>
      </c>
    </row>
    <row r="340" ht="14.25" customHeight="1">
      <c r="A340" s="2" t="s">
        <v>384</v>
      </c>
      <c r="B340" s="2" t="s">
        <v>30</v>
      </c>
      <c r="C340" s="2" t="s">
        <v>39</v>
      </c>
      <c r="D340" s="8" t="s">
        <v>590</v>
      </c>
      <c r="E340" s="6">
        <v>45163.0</v>
      </c>
      <c r="F340" s="6">
        <v>45258.0</v>
      </c>
      <c r="G340" s="7">
        <v>2.993133974E9</v>
      </c>
      <c r="H340" s="2" t="s">
        <v>67</v>
      </c>
      <c r="I340" s="2">
        <f t="shared" ref="I340:P340" si="343">IF(ISBLANK(A340)=TRUE,0,1)</f>
        <v>1</v>
      </c>
      <c r="J340" s="2">
        <f t="shared" si="343"/>
        <v>1</v>
      </c>
      <c r="K340" s="2">
        <f t="shared" si="343"/>
        <v>1</v>
      </c>
      <c r="L340" s="2">
        <f t="shared" si="343"/>
        <v>1</v>
      </c>
      <c r="M340" s="2">
        <f t="shared" si="343"/>
        <v>1</v>
      </c>
      <c r="N340" s="2">
        <f t="shared" si="343"/>
        <v>1</v>
      </c>
      <c r="O340" s="2">
        <f t="shared" si="343"/>
        <v>1</v>
      </c>
      <c r="P340" s="2">
        <f t="shared" si="343"/>
        <v>1</v>
      </c>
      <c r="Q340" s="2">
        <f t="shared" si="3"/>
        <v>1</v>
      </c>
      <c r="R340" s="2">
        <f>IF(ISERROR(VLOOKUP(A340, 'Project Reference'!A:A, 1, FALSE)), 0, 1)</f>
        <v>1</v>
      </c>
      <c r="S340" s="2">
        <f>IFERROR(__xludf.DUMMYFUNCTION("IF(AND(REGEXMATCH(D340, B340), REGEXMATCH(D340, C340)), 1, 0)
"),1.0)</f>
        <v>1</v>
      </c>
      <c r="T340" s="2">
        <f t="shared" si="4"/>
        <v>1</v>
      </c>
      <c r="U340" s="2">
        <f t="shared" si="5"/>
        <v>1</v>
      </c>
      <c r="V340" s="2">
        <f t="shared" si="6"/>
        <v>1</v>
      </c>
    </row>
    <row r="341" ht="14.25" customHeight="1">
      <c r="A341" s="2" t="s">
        <v>385</v>
      </c>
      <c r="B341" s="2" t="s">
        <v>60</v>
      </c>
      <c r="C341" s="2" t="s">
        <v>13</v>
      </c>
      <c r="D341" s="8" t="s">
        <v>582</v>
      </c>
      <c r="E341" s="6">
        <v>45164.0</v>
      </c>
      <c r="F341" s="6">
        <v>45456.0</v>
      </c>
      <c r="G341" s="7">
        <v>4.720470438E9</v>
      </c>
      <c r="H341" s="2" t="s">
        <v>33</v>
      </c>
      <c r="I341" s="2">
        <f t="shared" ref="I341:P341" si="344">IF(ISBLANK(A341)=TRUE,0,1)</f>
        <v>1</v>
      </c>
      <c r="J341" s="2">
        <f t="shared" si="344"/>
        <v>1</v>
      </c>
      <c r="K341" s="2">
        <f t="shared" si="344"/>
        <v>1</v>
      </c>
      <c r="L341" s="2">
        <f t="shared" si="344"/>
        <v>1</v>
      </c>
      <c r="M341" s="2">
        <f t="shared" si="344"/>
        <v>1</v>
      </c>
      <c r="N341" s="2">
        <f t="shared" si="344"/>
        <v>1</v>
      </c>
      <c r="O341" s="2">
        <f t="shared" si="344"/>
        <v>1</v>
      </c>
      <c r="P341" s="2">
        <f t="shared" si="344"/>
        <v>1</v>
      </c>
      <c r="Q341" s="2">
        <f t="shared" si="3"/>
        <v>1</v>
      </c>
      <c r="R341" s="2">
        <f>IF(ISERROR(VLOOKUP(A341, 'Project Reference'!A:A, 1, FALSE)), 0, 1)</f>
        <v>1</v>
      </c>
      <c r="S341" s="2">
        <f>IFERROR(__xludf.DUMMYFUNCTION("IF(AND(REGEXMATCH(D341, B341), REGEXMATCH(D341, C341)), 1, 0)
"),1.0)</f>
        <v>1</v>
      </c>
      <c r="T341" s="2">
        <f t="shared" si="4"/>
        <v>1</v>
      </c>
      <c r="U341" s="2">
        <f t="shared" si="5"/>
        <v>1</v>
      </c>
      <c r="V341" s="2">
        <f t="shared" si="6"/>
        <v>1</v>
      </c>
    </row>
    <row r="342" ht="14.25" customHeight="1">
      <c r="A342" s="2" t="s">
        <v>386</v>
      </c>
      <c r="B342" s="2" t="s">
        <v>30</v>
      </c>
      <c r="C342" s="2" t="s">
        <v>31</v>
      </c>
      <c r="D342" s="8" t="s">
        <v>585</v>
      </c>
      <c r="E342" s="6">
        <v>45167.0</v>
      </c>
      <c r="F342" s="6">
        <v>45453.0</v>
      </c>
      <c r="G342" s="7">
        <v>3.999421618E9</v>
      </c>
      <c r="H342" s="2" t="s">
        <v>67</v>
      </c>
      <c r="I342" s="2">
        <f t="shared" ref="I342:P342" si="345">IF(ISBLANK(A342)=TRUE,0,1)</f>
        <v>1</v>
      </c>
      <c r="J342" s="2">
        <f t="shared" si="345"/>
        <v>1</v>
      </c>
      <c r="K342" s="2">
        <f t="shared" si="345"/>
        <v>1</v>
      </c>
      <c r="L342" s="2">
        <f t="shared" si="345"/>
        <v>1</v>
      </c>
      <c r="M342" s="2">
        <f t="shared" si="345"/>
        <v>1</v>
      </c>
      <c r="N342" s="2">
        <f t="shared" si="345"/>
        <v>1</v>
      </c>
      <c r="O342" s="2">
        <f t="shared" si="345"/>
        <v>1</v>
      </c>
      <c r="P342" s="2">
        <f t="shared" si="345"/>
        <v>1</v>
      </c>
      <c r="Q342" s="2">
        <f t="shared" si="3"/>
        <v>1</v>
      </c>
      <c r="R342" s="2">
        <f>IF(ISERROR(VLOOKUP(A342, 'Project Reference'!A:A, 1, FALSE)), 0, 1)</f>
        <v>1</v>
      </c>
      <c r="S342" s="2">
        <f>IFERROR(__xludf.DUMMYFUNCTION("IF(AND(REGEXMATCH(D342, B342), REGEXMATCH(D342, C342)), 1, 0)
"),1.0)</f>
        <v>1</v>
      </c>
      <c r="T342" s="2">
        <f t="shared" si="4"/>
        <v>1</v>
      </c>
      <c r="U342" s="2">
        <f t="shared" si="5"/>
        <v>1</v>
      </c>
      <c r="V342" s="2">
        <f t="shared" si="6"/>
        <v>1</v>
      </c>
    </row>
    <row r="343" ht="14.25" customHeight="1">
      <c r="A343" s="2" t="s">
        <v>387</v>
      </c>
      <c r="B343" s="2" t="s">
        <v>30</v>
      </c>
      <c r="C343" s="2" t="s">
        <v>19</v>
      </c>
      <c r="D343" s="8" t="s">
        <v>624</v>
      </c>
      <c r="E343" s="6">
        <v>45168.0</v>
      </c>
      <c r="F343" s="6">
        <v>45511.0</v>
      </c>
      <c r="G343" s="7">
        <v>1.118159098E9</v>
      </c>
      <c r="H343" s="2" t="s">
        <v>21</v>
      </c>
      <c r="I343" s="2">
        <f t="shared" ref="I343:P343" si="346">IF(ISBLANK(A343)=TRUE,0,1)</f>
        <v>1</v>
      </c>
      <c r="J343" s="2">
        <f t="shared" si="346"/>
        <v>1</v>
      </c>
      <c r="K343" s="2">
        <f t="shared" si="346"/>
        <v>1</v>
      </c>
      <c r="L343" s="2">
        <f t="shared" si="346"/>
        <v>1</v>
      </c>
      <c r="M343" s="2">
        <f t="shared" si="346"/>
        <v>1</v>
      </c>
      <c r="N343" s="2">
        <f t="shared" si="346"/>
        <v>1</v>
      </c>
      <c r="O343" s="2">
        <f t="shared" si="346"/>
        <v>1</v>
      </c>
      <c r="P343" s="2">
        <f t="shared" si="346"/>
        <v>1</v>
      </c>
      <c r="Q343" s="2">
        <f t="shared" si="3"/>
        <v>1</v>
      </c>
      <c r="R343" s="2">
        <f>IF(ISERROR(VLOOKUP(A343, 'Project Reference'!A:A, 1, FALSE)), 0, 1)</f>
        <v>1</v>
      </c>
      <c r="S343" s="2">
        <f>IFERROR(__xludf.DUMMYFUNCTION("IF(AND(REGEXMATCH(D343, B343), REGEXMATCH(D343, C343)), 1, 0)
"),1.0)</f>
        <v>1</v>
      </c>
      <c r="T343" s="2">
        <f t="shared" si="4"/>
        <v>1</v>
      </c>
      <c r="U343" s="2">
        <f t="shared" si="5"/>
        <v>1</v>
      </c>
      <c r="V343" s="2">
        <f t="shared" si="6"/>
        <v>1</v>
      </c>
    </row>
    <row r="344" ht="14.25" customHeight="1">
      <c r="A344" s="2" t="s">
        <v>388</v>
      </c>
      <c r="B344" s="2" t="s">
        <v>18</v>
      </c>
      <c r="C344" s="2" t="s">
        <v>13</v>
      </c>
      <c r="D344" s="8" t="s">
        <v>580</v>
      </c>
      <c r="E344" s="6">
        <v>45168.0</v>
      </c>
      <c r="F344" s="6">
        <v>45530.0</v>
      </c>
      <c r="G344" s="7">
        <v>9.891638971E9</v>
      </c>
      <c r="H344" s="22"/>
      <c r="I344" s="2">
        <f t="shared" ref="I344:P344" si="347">IF(ISBLANK(A344)=TRUE,0,1)</f>
        <v>1</v>
      </c>
      <c r="J344" s="2">
        <f t="shared" si="347"/>
        <v>1</v>
      </c>
      <c r="K344" s="2">
        <f t="shared" si="347"/>
        <v>1</v>
      </c>
      <c r="L344" s="2">
        <f t="shared" si="347"/>
        <v>1</v>
      </c>
      <c r="M344" s="2">
        <f t="shared" si="347"/>
        <v>1</v>
      </c>
      <c r="N344" s="2">
        <f t="shared" si="347"/>
        <v>1</v>
      </c>
      <c r="O344" s="2">
        <f t="shared" si="347"/>
        <v>1</v>
      </c>
      <c r="P344" s="2">
        <f t="shared" si="347"/>
        <v>0</v>
      </c>
      <c r="Q344" s="2">
        <f t="shared" si="3"/>
        <v>1</v>
      </c>
      <c r="R344" s="2">
        <f>IF(ISERROR(VLOOKUP(A344, 'Project Reference'!A:A, 1, FALSE)), 0, 1)</f>
        <v>1</v>
      </c>
      <c r="S344" s="2">
        <f>IFERROR(__xludf.DUMMYFUNCTION("IF(AND(REGEXMATCH(D344, B344), REGEXMATCH(D344, C344)), 1, 0)
"),1.0)</f>
        <v>1</v>
      </c>
      <c r="T344" s="2">
        <f t="shared" si="4"/>
        <v>1</v>
      </c>
      <c r="U344" s="2">
        <f t="shared" si="5"/>
        <v>1</v>
      </c>
      <c r="V344" s="2">
        <f t="shared" si="6"/>
        <v>1</v>
      </c>
    </row>
    <row r="345" ht="14.25" customHeight="1">
      <c r="A345" s="2" t="s">
        <v>389</v>
      </c>
      <c r="B345" s="2" t="s">
        <v>35</v>
      </c>
      <c r="C345" s="2" t="s">
        <v>39</v>
      </c>
      <c r="D345" s="2" t="s">
        <v>145</v>
      </c>
      <c r="E345" s="6">
        <v>45168.0</v>
      </c>
      <c r="F345" s="6">
        <v>45236.0</v>
      </c>
      <c r="G345" s="7">
        <v>2.46997207E8</v>
      </c>
      <c r="H345" s="2" t="s">
        <v>50</v>
      </c>
      <c r="I345" s="2">
        <f t="shared" ref="I345:P345" si="348">IF(ISBLANK(A345)=TRUE,0,1)</f>
        <v>1</v>
      </c>
      <c r="J345" s="2">
        <f t="shared" si="348"/>
        <v>1</v>
      </c>
      <c r="K345" s="2">
        <f t="shared" si="348"/>
        <v>1</v>
      </c>
      <c r="L345" s="2">
        <f t="shared" si="348"/>
        <v>1</v>
      </c>
      <c r="M345" s="2">
        <f t="shared" si="348"/>
        <v>1</v>
      </c>
      <c r="N345" s="2">
        <f t="shared" si="348"/>
        <v>1</v>
      </c>
      <c r="O345" s="2">
        <f t="shared" si="348"/>
        <v>1</v>
      </c>
      <c r="P345" s="2">
        <f t="shared" si="348"/>
        <v>1</v>
      </c>
      <c r="Q345" s="2">
        <f t="shared" si="3"/>
        <v>1</v>
      </c>
      <c r="R345" s="2">
        <f>IF(ISERROR(VLOOKUP(A345, 'Project Reference'!A:A, 1, FALSE)), 0, 1)</f>
        <v>1</v>
      </c>
      <c r="S345" s="2">
        <f>IFERROR(__xludf.DUMMYFUNCTION("IF(AND(REGEXMATCH(D345, B345), REGEXMATCH(D345, C345)), 1, 0)
"),1.0)</f>
        <v>1</v>
      </c>
      <c r="T345" s="2">
        <f t="shared" si="4"/>
        <v>1</v>
      </c>
      <c r="U345" s="2">
        <f t="shared" si="5"/>
        <v>1</v>
      </c>
      <c r="V345" s="2">
        <f t="shared" si="6"/>
        <v>1</v>
      </c>
    </row>
    <row r="346" ht="14.25" customHeight="1">
      <c r="A346" s="2" t="s">
        <v>390</v>
      </c>
      <c r="B346" s="2" t="s">
        <v>60</v>
      </c>
      <c r="C346" s="2" t="s">
        <v>36</v>
      </c>
      <c r="D346" s="8" t="s">
        <v>628</v>
      </c>
      <c r="E346" s="6">
        <v>45169.0</v>
      </c>
      <c r="F346" s="6">
        <v>45200.0</v>
      </c>
      <c r="G346" s="7">
        <v>4.163473786E9</v>
      </c>
      <c r="H346" s="2" t="s">
        <v>33</v>
      </c>
      <c r="I346" s="2">
        <f t="shared" ref="I346:P346" si="349">IF(ISBLANK(A346)=TRUE,0,1)</f>
        <v>1</v>
      </c>
      <c r="J346" s="2">
        <f t="shared" si="349"/>
        <v>1</v>
      </c>
      <c r="K346" s="2">
        <f t="shared" si="349"/>
        <v>1</v>
      </c>
      <c r="L346" s="2">
        <f t="shared" si="349"/>
        <v>1</v>
      </c>
      <c r="M346" s="2">
        <f t="shared" si="349"/>
        <v>1</v>
      </c>
      <c r="N346" s="2">
        <f t="shared" si="349"/>
        <v>1</v>
      </c>
      <c r="O346" s="2">
        <f t="shared" si="349"/>
        <v>1</v>
      </c>
      <c r="P346" s="2">
        <f t="shared" si="349"/>
        <v>1</v>
      </c>
      <c r="Q346" s="2">
        <f t="shared" si="3"/>
        <v>1</v>
      </c>
      <c r="R346" s="2">
        <f>IF(ISERROR(VLOOKUP(A346, 'Project Reference'!A:A, 1, FALSE)), 0, 1)</f>
        <v>1</v>
      </c>
      <c r="S346" s="2">
        <f>IFERROR(__xludf.DUMMYFUNCTION("IF(AND(REGEXMATCH(D346, B346), REGEXMATCH(D346, C346)), 1, 0)
"),1.0)</f>
        <v>1</v>
      </c>
      <c r="T346" s="2">
        <f t="shared" si="4"/>
        <v>1</v>
      </c>
      <c r="U346" s="2">
        <f t="shared" si="5"/>
        <v>1</v>
      </c>
      <c r="V346" s="2">
        <f t="shared" si="6"/>
        <v>1</v>
      </c>
    </row>
    <row r="347" ht="14.25" customHeight="1">
      <c r="A347" s="2" t="s">
        <v>391</v>
      </c>
      <c r="B347" s="2" t="s">
        <v>18</v>
      </c>
      <c r="C347" s="2" t="s">
        <v>19</v>
      </c>
      <c r="D347" s="8" t="s">
        <v>633</v>
      </c>
      <c r="E347" s="6">
        <v>45169.0</v>
      </c>
      <c r="F347" s="6">
        <v>45267.0</v>
      </c>
      <c r="G347" s="7">
        <v>2.007900262E9</v>
      </c>
      <c r="H347" s="8" t="s">
        <v>581</v>
      </c>
      <c r="I347" s="2">
        <f t="shared" ref="I347:P347" si="350">IF(ISBLANK(A347)=TRUE,0,1)</f>
        <v>1</v>
      </c>
      <c r="J347" s="2">
        <f t="shared" si="350"/>
        <v>1</v>
      </c>
      <c r="K347" s="2">
        <f t="shared" si="350"/>
        <v>1</v>
      </c>
      <c r="L347" s="2">
        <f t="shared" si="350"/>
        <v>1</v>
      </c>
      <c r="M347" s="2">
        <f t="shared" si="350"/>
        <v>1</v>
      </c>
      <c r="N347" s="2">
        <f t="shared" si="350"/>
        <v>1</v>
      </c>
      <c r="O347" s="2">
        <f t="shared" si="350"/>
        <v>1</v>
      </c>
      <c r="P347" s="2">
        <f t="shared" si="350"/>
        <v>1</v>
      </c>
      <c r="Q347" s="2">
        <f t="shared" si="3"/>
        <v>1</v>
      </c>
      <c r="R347" s="2">
        <f>IF(ISERROR(VLOOKUP(A347, 'Project Reference'!A:A, 1, FALSE)), 0, 1)</f>
        <v>1</v>
      </c>
      <c r="S347" s="2">
        <f>IFERROR(__xludf.DUMMYFUNCTION("IF(AND(REGEXMATCH(D347, B347), REGEXMATCH(D347, C347)), 1, 0)
"),1.0)</f>
        <v>1</v>
      </c>
      <c r="T347" s="2">
        <f t="shared" si="4"/>
        <v>1</v>
      </c>
      <c r="U347" s="2">
        <f t="shared" si="5"/>
        <v>1</v>
      </c>
      <c r="V347" s="2">
        <f t="shared" si="6"/>
        <v>1</v>
      </c>
    </row>
    <row r="348" ht="14.25" customHeight="1">
      <c r="A348" s="2" t="s">
        <v>392</v>
      </c>
      <c r="B348" s="2" t="s">
        <v>18</v>
      </c>
      <c r="C348" s="2" t="s">
        <v>31</v>
      </c>
      <c r="D348" s="8" t="s">
        <v>636</v>
      </c>
      <c r="E348" s="6">
        <v>45170.0</v>
      </c>
      <c r="F348" s="6">
        <v>45454.0</v>
      </c>
      <c r="G348" s="7">
        <v>9.92149876E9</v>
      </c>
      <c r="H348" s="2" t="s">
        <v>50</v>
      </c>
      <c r="I348" s="2">
        <f t="shared" ref="I348:P348" si="351">IF(ISBLANK(A348)=TRUE,0,1)</f>
        <v>1</v>
      </c>
      <c r="J348" s="2">
        <f t="shared" si="351"/>
        <v>1</v>
      </c>
      <c r="K348" s="2">
        <f t="shared" si="351"/>
        <v>1</v>
      </c>
      <c r="L348" s="2">
        <f t="shared" si="351"/>
        <v>1</v>
      </c>
      <c r="M348" s="2">
        <f t="shared" si="351"/>
        <v>1</v>
      </c>
      <c r="N348" s="2">
        <f t="shared" si="351"/>
        <v>1</v>
      </c>
      <c r="O348" s="2">
        <f t="shared" si="351"/>
        <v>1</v>
      </c>
      <c r="P348" s="2">
        <f t="shared" si="351"/>
        <v>1</v>
      </c>
      <c r="Q348" s="2">
        <f t="shared" si="3"/>
        <v>1</v>
      </c>
      <c r="R348" s="2">
        <f>IF(ISERROR(VLOOKUP(A348, 'Project Reference'!A:A, 1, FALSE)), 0, 1)</f>
        <v>1</v>
      </c>
      <c r="S348" s="2">
        <f>IFERROR(__xludf.DUMMYFUNCTION("IF(AND(REGEXMATCH(D348, B348), REGEXMATCH(D348, C348)), 1, 0)
"),1.0)</f>
        <v>1</v>
      </c>
      <c r="T348" s="2">
        <f t="shared" si="4"/>
        <v>1</v>
      </c>
      <c r="U348" s="2">
        <f t="shared" si="5"/>
        <v>1</v>
      </c>
      <c r="V348" s="2">
        <f t="shared" si="6"/>
        <v>1</v>
      </c>
    </row>
    <row r="349" ht="14.25" customHeight="1">
      <c r="A349" s="2" t="s">
        <v>393</v>
      </c>
      <c r="B349" s="2" t="s">
        <v>60</v>
      </c>
      <c r="C349" s="2" t="s">
        <v>36</v>
      </c>
      <c r="D349" s="8" t="s">
        <v>628</v>
      </c>
      <c r="E349" s="6">
        <v>45171.0</v>
      </c>
      <c r="F349" s="6">
        <v>45288.0</v>
      </c>
      <c r="G349" s="7">
        <v>2.56273331E9</v>
      </c>
      <c r="H349" s="2" t="s">
        <v>67</v>
      </c>
      <c r="I349" s="2">
        <f t="shared" ref="I349:P349" si="352">IF(ISBLANK(A349)=TRUE,0,1)</f>
        <v>1</v>
      </c>
      <c r="J349" s="2">
        <f t="shared" si="352"/>
        <v>1</v>
      </c>
      <c r="K349" s="2">
        <f t="shared" si="352"/>
        <v>1</v>
      </c>
      <c r="L349" s="2">
        <f t="shared" si="352"/>
        <v>1</v>
      </c>
      <c r="M349" s="2">
        <f t="shared" si="352"/>
        <v>1</v>
      </c>
      <c r="N349" s="2">
        <f t="shared" si="352"/>
        <v>1</v>
      </c>
      <c r="O349" s="2">
        <f t="shared" si="352"/>
        <v>1</v>
      </c>
      <c r="P349" s="2">
        <f t="shared" si="352"/>
        <v>1</v>
      </c>
      <c r="Q349" s="2">
        <f t="shared" si="3"/>
        <v>1</v>
      </c>
      <c r="R349" s="2">
        <f>IF(ISERROR(VLOOKUP(A349, 'Project Reference'!A:A, 1, FALSE)), 0, 1)</f>
        <v>1</v>
      </c>
      <c r="S349" s="2">
        <f>IFERROR(__xludf.DUMMYFUNCTION("IF(AND(REGEXMATCH(D349, B349), REGEXMATCH(D349, C349)), 1, 0)
"),1.0)</f>
        <v>1</v>
      </c>
      <c r="T349" s="2">
        <f t="shared" si="4"/>
        <v>1</v>
      </c>
      <c r="U349" s="2">
        <f t="shared" si="5"/>
        <v>1</v>
      </c>
      <c r="V349" s="2">
        <f t="shared" si="6"/>
        <v>1</v>
      </c>
    </row>
    <row r="350" ht="14.25" customHeight="1">
      <c r="A350" s="2" t="s">
        <v>394</v>
      </c>
      <c r="B350" s="2" t="s">
        <v>12</v>
      </c>
      <c r="C350" s="2" t="s">
        <v>48</v>
      </c>
      <c r="D350" s="8" t="s">
        <v>602</v>
      </c>
      <c r="E350" s="6">
        <v>45172.0</v>
      </c>
      <c r="F350" s="6">
        <v>45435.0</v>
      </c>
      <c r="G350" s="7">
        <v>8.94294565E8</v>
      </c>
      <c r="H350" s="2" t="s">
        <v>50</v>
      </c>
      <c r="I350" s="2">
        <f t="shared" ref="I350:P350" si="353">IF(ISBLANK(A350)=TRUE,0,1)</f>
        <v>1</v>
      </c>
      <c r="J350" s="2">
        <f t="shared" si="353"/>
        <v>1</v>
      </c>
      <c r="K350" s="2">
        <f t="shared" si="353"/>
        <v>1</v>
      </c>
      <c r="L350" s="2">
        <f t="shared" si="353"/>
        <v>1</v>
      </c>
      <c r="M350" s="2">
        <f t="shared" si="353"/>
        <v>1</v>
      </c>
      <c r="N350" s="2">
        <f t="shared" si="353"/>
        <v>1</v>
      </c>
      <c r="O350" s="2">
        <f t="shared" si="353"/>
        <v>1</v>
      </c>
      <c r="P350" s="2">
        <f t="shared" si="353"/>
        <v>1</v>
      </c>
      <c r="Q350" s="2">
        <f t="shared" si="3"/>
        <v>1</v>
      </c>
      <c r="R350" s="2">
        <f>IF(ISERROR(VLOOKUP(A350, 'Project Reference'!A:A, 1, FALSE)), 0, 1)</f>
        <v>1</v>
      </c>
      <c r="S350" s="2">
        <f>IFERROR(__xludf.DUMMYFUNCTION("IF(AND(REGEXMATCH(D350, B350), REGEXMATCH(D350, C350)), 1, 0)
"),1.0)</f>
        <v>1</v>
      </c>
      <c r="T350" s="2">
        <f t="shared" si="4"/>
        <v>1</v>
      </c>
      <c r="U350" s="2">
        <f t="shared" si="5"/>
        <v>1</v>
      </c>
      <c r="V350" s="2">
        <f t="shared" si="6"/>
        <v>1</v>
      </c>
    </row>
    <row r="351" ht="14.25" customHeight="1">
      <c r="A351" s="2" t="s">
        <v>395</v>
      </c>
      <c r="B351" s="2" t="s">
        <v>30</v>
      </c>
      <c r="C351" s="2" t="s">
        <v>19</v>
      </c>
      <c r="D351" s="8" t="s">
        <v>624</v>
      </c>
      <c r="E351" s="6">
        <v>45173.0</v>
      </c>
      <c r="F351" s="6">
        <v>45340.0</v>
      </c>
      <c r="G351" s="7">
        <v>6.61378979E8</v>
      </c>
      <c r="H351" s="8" t="s">
        <v>581</v>
      </c>
      <c r="I351" s="2">
        <f t="shared" ref="I351:P351" si="354">IF(ISBLANK(A351)=TRUE,0,1)</f>
        <v>1</v>
      </c>
      <c r="J351" s="2">
        <f t="shared" si="354"/>
        <v>1</v>
      </c>
      <c r="K351" s="2">
        <f t="shared" si="354"/>
        <v>1</v>
      </c>
      <c r="L351" s="2">
        <f t="shared" si="354"/>
        <v>1</v>
      </c>
      <c r="M351" s="2">
        <f t="shared" si="354"/>
        <v>1</v>
      </c>
      <c r="N351" s="2">
        <f t="shared" si="354"/>
        <v>1</v>
      </c>
      <c r="O351" s="2">
        <f t="shared" si="354"/>
        <v>1</v>
      </c>
      <c r="P351" s="2">
        <f t="shared" si="354"/>
        <v>1</v>
      </c>
      <c r="Q351" s="2">
        <f t="shared" si="3"/>
        <v>1</v>
      </c>
      <c r="R351" s="2">
        <f>IF(ISERROR(VLOOKUP(A351, 'Project Reference'!A:A, 1, FALSE)), 0, 1)</f>
        <v>1</v>
      </c>
      <c r="S351" s="2">
        <f>IFERROR(__xludf.DUMMYFUNCTION("IF(AND(REGEXMATCH(D351, B351), REGEXMATCH(D351, C351)), 1, 0)
"),1.0)</f>
        <v>1</v>
      </c>
      <c r="T351" s="2">
        <f t="shared" si="4"/>
        <v>1</v>
      </c>
      <c r="U351" s="2">
        <f t="shared" si="5"/>
        <v>1</v>
      </c>
      <c r="V351" s="2">
        <f t="shared" si="6"/>
        <v>1</v>
      </c>
    </row>
    <row r="352" ht="14.25" customHeight="1">
      <c r="A352" s="2" t="s">
        <v>396</v>
      </c>
      <c r="B352" s="2" t="s">
        <v>60</v>
      </c>
      <c r="C352" s="2" t="s">
        <v>36</v>
      </c>
      <c r="D352" s="8" t="s">
        <v>628</v>
      </c>
      <c r="E352" s="6">
        <v>45175.0</v>
      </c>
      <c r="F352" s="6">
        <v>45316.0</v>
      </c>
      <c r="G352" s="7">
        <v>2.081376801E9</v>
      </c>
      <c r="H352" s="22"/>
      <c r="I352" s="2">
        <f t="shared" ref="I352:P352" si="355">IF(ISBLANK(A352)=TRUE,0,1)</f>
        <v>1</v>
      </c>
      <c r="J352" s="2">
        <f t="shared" si="355"/>
        <v>1</v>
      </c>
      <c r="K352" s="2">
        <f t="shared" si="355"/>
        <v>1</v>
      </c>
      <c r="L352" s="2">
        <f t="shared" si="355"/>
        <v>1</v>
      </c>
      <c r="M352" s="2">
        <f t="shared" si="355"/>
        <v>1</v>
      </c>
      <c r="N352" s="2">
        <f t="shared" si="355"/>
        <v>1</v>
      </c>
      <c r="O352" s="2">
        <f t="shared" si="355"/>
        <v>1</v>
      </c>
      <c r="P352" s="2">
        <f t="shared" si="355"/>
        <v>0</v>
      </c>
      <c r="Q352" s="2">
        <f t="shared" si="3"/>
        <v>1</v>
      </c>
      <c r="R352" s="2">
        <f>IF(ISERROR(VLOOKUP(A352, 'Project Reference'!A:A, 1, FALSE)), 0, 1)</f>
        <v>1</v>
      </c>
      <c r="S352" s="2">
        <f>IFERROR(__xludf.DUMMYFUNCTION("IF(AND(REGEXMATCH(D352, B352), REGEXMATCH(D352, C352)), 1, 0)
"),1.0)</f>
        <v>1</v>
      </c>
      <c r="T352" s="2">
        <f t="shared" si="4"/>
        <v>1</v>
      </c>
      <c r="U352" s="2">
        <f t="shared" si="5"/>
        <v>1</v>
      </c>
      <c r="V352" s="2">
        <f t="shared" si="6"/>
        <v>1</v>
      </c>
    </row>
    <row r="353" ht="14.25" customHeight="1">
      <c r="A353" s="2" t="s">
        <v>397</v>
      </c>
      <c r="B353" s="2" t="s">
        <v>35</v>
      </c>
      <c r="C353" s="2" t="s">
        <v>31</v>
      </c>
      <c r="D353" s="2" t="s">
        <v>91</v>
      </c>
      <c r="E353" s="6">
        <v>45177.0</v>
      </c>
      <c r="F353" s="6">
        <v>45477.0</v>
      </c>
      <c r="G353" s="7">
        <v>6.09956841E8</v>
      </c>
      <c r="H353" s="2" t="s">
        <v>67</v>
      </c>
      <c r="I353" s="2">
        <f t="shared" ref="I353:P353" si="356">IF(ISBLANK(A353)=TRUE,0,1)</f>
        <v>1</v>
      </c>
      <c r="J353" s="2">
        <f t="shared" si="356"/>
        <v>1</v>
      </c>
      <c r="K353" s="2">
        <f t="shared" si="356"/>
        <v>1</v>
      </c>
      <c r="L353" s="2">
        <f t="shared" si="356"/>
        <v>1</v>
      </c>
      <c r="M353" s="2">
        <f t="shared" si="356"/>
        <v>1</v>
      </c>
      <c r="N353" s="2">
        <f t="shared" si="356"/>
        <v>1</v>
      </c>
      <c r="O353" s="2">
        <f t="shared" si="356"/>
        <v>1</v>
      </c>
      <c r="P353" s="2">
        <f t="shared" si="356"/>
        <v>1</v>
      </c>
      <c r="Q353" s="2">
        <f t="shared" si="3"/>
        <v>1</v>
      </c>
      <c r="R353" s="2">
        <f>IF(ISERROR(VLOOKUP(A353, 'Project Reference'!A:A, 1, FALSE)), 0, 1)</f>
        <v>1</v>
      </c>
      <c r="S353" s="2">
        <f>IFERROR(__xludf.DUMMYFUNCTION("IF(AND(REGEXMATCH(D353, B353), REGEXMATCH(D353, C353)), 1, 0)
"),1.0)</f>
        <v>1</v>
      </c>
      <c r="T353" s="2">
        <f t="shared" si="4"/>
        <v>1</v>
      </c>
      <c r="U353" s="2">
        <f t="shared" si="5"/>
        <v>1</v>
      </c>
      <c r="V353" s="2">
        <f t="shared" si="6"/>
        <v>1</v>
      </c>
    </row>
    <row r="354" ht="14.25" customHeight="1">
      <c r="A354" s="2" t="s">
        <v>398</v>
      </c>
      <c r="B354" s="2" t="s">
        <v>18</v>
      </c>
      <c r="C354" s="2" t="s">
        <v>48</v>
      </c>
      <c r="D354" s="8" t="s">
        <v>629</v>
      </c>
      <c r="E354" s="6">
        <v>45178.0</v>
      </c>
      <c r="F354" s="6">
        <v>45449.0</v>
      </c>
      <c r="G354" s="7">
        <v>4.372183615E9</v>
      </c>
      <c r="H354" s="2" t="s">
        <v>50</v>
      </c>
      <c r="I354" s="2">
        <f t="shared" ref="I354:P354" si="357">IF(ISBLANK(A354)=TRUE,0,1)</f>
        <v>1</v>
      </c>
      <c r="J354" s="2">
        <f t="shared" si="357"/>
        <v>1</v>
      </c>
      <c r="K354" s="2">
        <f t="shared" si="357"/>
        <v>1</v>
      </c>
      <c r="L354" s="2">
        <f t="shared" si="357"/>
        <v>1</v>
      </c>
      <c r="M354" s="2">
        <f t="shared" si="357"/>
        <v>1</v>
      </c>
      <c r="N354" s="2">
        <f t="shared" si="357"/>
        <v>1</v>
      </c>
      <c r="O354" s="2">
        <f t="shared" si="357"/>
        <v>1</v>
      </c>
      <c r="P354" s="2">
        <f t="shared" si="357"/>
        <v>1</v>
      </c>
      <c r="Q354" s="2">
        <f t="shared" si="3"/>
        <v>1</v>
      </c>
      <c r="R354" s="2">
        <f>IF(ISERROR(VLOOKUP(A354, 'Project Reference'!A:A, 1, FALSE)), 0, 1)</f>
        <v>1</v>
      </c>
      <c r="S354" s="2">
        <f>IFERROR(__xludf.DUMMYFUNCTION("IF(AND(REGEXMATCH(D354, B354), REGEXMATCH(D354, C354)), 1, 0)
"),1.0)</f>
        <v>1</v>
      </c>
      <c r="T354" s="2">
        <f t="shared" si="4"/>
        <v>1</v>
      </c>
      <c r="U354" s="2">
        <f t="shared" si="5"/>
        <v>1</v>
      </c>
      <c r="V354" s="2">
        <f t="shared" si="6"/>
        <v>1</v>
      </c>
    </row>
    <row r="355" ht="14.25" customHeight="1">
      <c r="A355" s="2" t="s">
        <v>399</v>
      </c>
      <c r="B355" s="2" t="s">
        <v>18</v>
      </c>
      <c r="C355" s="2" t="s">
        <v>13</v>
      </c>
      <c r="D355" s="8" t="s">
        <v>580</v>
      </c>
      <c r="E355" s="6">
        <v>45178.0</v>
      </c>
      <c r="F355" s="6">
        <v>45540.0</v>
      </c>
      <c r="G355" s="7">
        <v>7.734024053E9</v>
      </c>
      <c r="H355" s="8" t="s">
        <v>581</v>
      </c>
      <c r="I355" s="2">
        <f t="shared" ref="I355:P355" si="358">IF(ISBLANK(A355)=TRUE,0,1)</f>
        <v>1</v>
      </c>
      <c r="J355" s="2">
        <f t="shared" si="358"/>
        <v>1</v>
      </c>
      <c r="K355" s="2">
        <f t="shared" si="358"/>
        <v>1</v>
      </c>
      <c r="L355" s="2">
        <f t="shared" si="358"/>
        <v>1</v>
      </c>
      <c r="M355" s="2">
        <f t="shared" si="358"/>
        <v>1</v>
      </c>
      <c r="N355" s="2">
        <f t="shared" si="358"/>
        <v>1</v>
      </c>
      <c r="O355" s="2">
        <f t="shared" si="358"/>
        <v>1</v>
      </c>
      <c r="P355" s="2">
        <f t="shared" si="358"/>
        <v>1</v>
      </c>
      <c r="Q355" s="2">
        <f t="shared" si="3"/>
        <v>1</v>
      </c>
      <c r="R355" s="2">
        <f>IF(ISERROR(VLOOKUP(A355, 'Project Reference'!A:A, 1, FALSE)), 0, 1)</f>
        <v>1</v>
      </c>
      <c r="S355" s="2">
        <f>IFERROR(__xludf.DUMMYFUNCTION("IF(AND(REGEXMATCH(D355, B355), REGEXMATCH(D355, C355)), 1, 0)
"),1.0)</f>
        <v>1</v>
      </c>
      <c r="T355" s="2">
        <f t="shared" si="4"/>
        <v>1</v>
      </c>
      <c r="U355" s="2">
        <f t="shared" si="5"/>
        <v>1</v>
      </c>
      <c r="V355" s="2">
        <f t="shared" si="6"/>
        <v>1</v>
      </c>
    </row>
    <row r="356" ht="14.25" customHeight="1">
      <c r="A356" s="2" t="s">
        <v>400</v>
      </c>
      <c r="B356" s="2" t="s">
        <v>60</v>
      </c>
      <c r="C356" s="2" t="s">
        <v>13</v>
      </c>
      <c r="D356" s="8" t="s">
        <v>582</v>
      </c>
      <c r="E356" s="6">
        <v>45178.0</v>
      </c>
      <c r="F356" s="6">
        <v>45457.0</v>
      </c>
      <c r="G356" s="7">
        <v>2.23729528E9</v>
      </c>
      <c r="H356" s="8" t="s">
        <v>573</v>
      </c>
      <c r="I356" s="2">
        <f t="shared" ref="I356:P356" si="359">IF(ISBLANK(A356)=TRUE,0,1)</f>
        <v>1</v>
      </c>
      <c r="J356" s="2">
        <f t="shared" si="359"/>
        <v>1</v>
      </c>
      <c r="K356" s="2">
        <f t="shared" si="359"/>
        <v>1</v>
      </c>
      <c r="L356" s="2">
        <f t="shared" si="359"/>
        <v>1</v>
      </c>
      <c r="M356" s="2">
        <f t="shared" si="359"/>
        <v>1</v>
      </c>
      <c r="N356" s="2">
        <f t="shared" si="359"/>
        <v>1</v>
      </c>
      <c r="O356" s="2">
        <f t="shared" si="359"/>
        <v>1</v>
      </c>
      <c r="P356" s="2">
        <f t="shared" si="359"/>
        <v>1</v>
      </c>
      <c r="Q356" s="2">
        <f t="shared" si="3"/>
        <v>1</v>
      </c>
      <c r="R356" s="2">
        <f>IF(ISERROR(VLOOKUP(A356, 'Project Reference'!A:A, 1, FALSE)), 0, 1)</f>
        <v>1</v>
      </c>
      <c r="S356" s="2">
        <f>IFERROR(__xludf.DUMMYFUNCTION("IF(AND(REGEXMATCH(D356, B356), REGEXMATCH(D356, C356)), 1, 0)
"),1.0)</f>
        <v>1</v>
      </c>
      <c r="T356" s="2">
        <f t="shared" si="4"/>
        <v>1</v>
      </c>
      <c r="U356" s="2">
        <f t="shared" si="5"/>
        <v>1</v>
      </c>
      <c r="V356" s="2">
        <f t="shared" si="6"/>
        <v>1</v>
      </c>
    </row>
    <row r="357" ht="14.25" customHeight="1">
      <c r="A357" s="2" t="s">
        <v>401</v>
      </c>
      <c r="B357" s="2" t="s">
        <v>30</v>
      </c>
      <c r="C357" s="2" t="s">
        <v>36</v>
      </c>
      <c r="D357" s="8" t="s">
        <v>639</v>
      </c>
      <c r="E357" s="6">
        <v>45178.0</v>
      </c>
      <c r="F357" s="6">
        <v>45279.0</v>
      </c>
      <c r="G357" s="7">
        <v>4.595910673E9</v>
      </c>
      <c r="H357" s="2" t="s">
        <v>33</v>
      </c>
      <c r="I357" s="2">
        <f t="shared" ref="I357:P357" si="360">IF(ISBLANK(A357)=TRUE,0,1)</f>
        <v>1</v>
      </c>
      <c r="J357" s="2">
        <f t="shared" si="360"/>
        <v>1</v>
      </c>
      <c r="K357" s="2">
        <f t="shared" si="360"/>
        <v>1</v>
      </c>
      <c r="L357" s="2">
        <f t="shared" si="360"/>
        <v>1</v>
      </c>
      <c r="M357" s="2">
        <f t="shared" si="360"/>
        <v>1</v>
      </c>
      <c r="N357" s="2">
        <f t="shared" si="360"/>
        <v>1</v>
      </c>
      <c r="O357" s="2">
        <f t="shared" si="360"/>
        <v>1</v>
      </c>
      <c r="P357" s="2">
        <f t="shared" si="360"/>
        <v>1</v>
      </c>
      <c r="Q357" s="2">
        <f t="shared" si="3"/>
        <v>1</v>
      </c>
      <c r="R357" s="2">
        <f>IF(ISERROR(VLOOKUP(A357, 'Project Reference'!A:A, 1, FALSE)), 0, 1)</f>
        <v>1</v>
      </c>
      <c r="S357" s="2">
        <f>IFERROR(__xludf.DUMMYFUNCTION("IF(AND(REGEXMATCH(D357, B357), REGEXMATCH(D357, C357)), 1, 0)
"),1.0)</f>
        <v>1</v>
      </c>
      <c r="T357" s="2">
        <f t="shared" si="4"/>
        <v>1</v>
      </c>
      <c r="U357" s="2">
        <f t="shared" si="5"/>
        <v>1</v>
      </c>
      <c r="V357" s="2">
        <f t="shared" si="6"/>
        <v>1</v>
      </c>
    </row>
    <row r="358" ht="14.25" customHeight="1">
      <c r="A358" s="2" t="s">
        <v>402</v>
      </c>
      <c r="B358" s="2" t="s">
        <v>30</v>
      </c>
      <c r="C358" s="2" t="s">
        <v>19</v>
      </c>
      <c r="D358" s="8" t="s">
        <v>624</v>
      </c>
      <c r="E358" s="6">
        <v>45179.0</v>
      </c>
      <c r="F358" s="6">
        <v>45400.0</v>
      </c>
      <c r="G358" s="7">
        <v>5.159672072E9</v>
      </c>
      <c r="H358" s="2" t="s">
        <v>44</v>
      </c>
      <c r="I358" s="2">
        <f t="shared" ref="I358:P358" si="361">IF(ISBLANK(A358)=TRUE,0,1)</f>
        <v>1</v>
      </c>
      <c r="J358" s="2">
        <f t="shared" si="361"/>
        <v>1</v>
      </c>
      <c r="K358" s="2">
        <f t="shared" si="361"/>
        <v>1</v>
      </c>
      <c r="L358" s="2">
        <f t="shared" si="361"/>
        <v>1</v>
      </c>
      <c r="M358" s="2">
        <f t="shared" si="361"/>
        <v>1</v>
      </c>
      <c r="N358" s="2">
        <f t="shared" si="361"/>
        <v>1</v>
      </c>
      <c r="O358" s="2">
        <f t="shared" si="361"/>
        <v>1</v>
      </c>
      <c r="P358" s="2">
        <f t="shared" si="361"/>
        <v>1</v>
      </c>
      <c r="Q358" s="2">
        <f t="shared" si="3"/>
        <v>1</v>
      </c>
      <c r="R358" s="2">
        <f>IF(ISERROR(VLOOKUP(A358, 'Project Reference'!A:A, 1, FALSE)), 0, 1)</f>
        <v>1</v>
      </c>
      <c r="S358" s="2">
        <f>IFERROR(__xludf.DUMMYFUNCTION("IF(AND(REGEXMATCH(D358, B358), REGEXMATCH(D358, C358)), 1, 0)
"),1.0)</f>
        <v>1</v>
      </c>
      <c r="T358" s="2">
        <f t="shared" si="4"/>
        <v>1</v>
      </c>
      <c r="U358" s="2">
        <f t="shared" si="5"/>
        <v>1</v>
      </c>
      <c r="V358" s="2">
        <f t="shared" si="6"/>
        <v>1</v>
      </c>
    </row>
    <row r="359" ht="14.25" customHeight="1">
      <c r="A359" s="2" t="s">
        <v>403</v>
      </c>
      <c r="B359" s="2" t="s">
        <v>18</v>
      </c>
      <c r="C359" s="2" t="s">
        <v>31</v>
      </c>
      <c r="D359" s="8" t="s">
        <v>636</v>
      </c>
      <c r="E359" s="6">
        <v>45180.0</v>
      </c>
      <c r="F359" s="6">
        <v>45270.0</v>
      </c>
      <c r="G359" s="7">
        <v>6.721798052E9</v>
      </c>
      <c r="H359" s="22"/>
      <c r="I359" s="2">
        <f t="shared" ref="I359:P359" si="362">IF(ISBLANK(A359)=TRUE,0,1)</f>
        <v>1</v>
      </c>
      <c r="J359" s="2">
        <f t="shared" si="362"/>
        <v>1</v>
      </c>
      <c r="K359" s="2">
        <f t="shared" si="362"/>
        <v>1</v>
      </c>
      <c r="L359" s="2">
        <f t="shared" si="362"/>
        <v>1</v>
      </c>
      <c r="M359" s="2">
        <f t="shared" si="362"/>
        <v>1</v>
      </c>
      <c r="N359" s="2">
        <f t="shared" si="362"/>
        <v>1</v>
      </c>
      <c r="O359" s="2">
        <f t="shared" si="362"/>
        <v>1</v>
      </c>
      <c r="P359" s="2">
        <f t="shared" si="362"/>
        <v>0</v>
      </c>
      <c r="Q359" s="2">
        <f t="shared" si="3"/>
        <v>1</v>
      </c>
      <c r="R359" s="2">
        <f>IF(ISERROR(VLOOKUP(A359, 'Project Reference'!A:A, 1, FALSE)), 0, 1)</f>
        <v>1</v>
      </c>
      <c r="S359" s="2">
        <f>IFERROR(__xludf.DUMMYFUNCTION("IF(AND(REGEXMATCH(D359, B359), REGEXMATCH(D359, C359)), 1, 0)
"),1.0)</f>
        <v>1</v>
      </c>
      <c r="T359" s="2">
        <f t="shared" si="4"/>
        <v>1</v>
      </c>
      <c r="U359" s="2">
        <f t="shared" si="5"/>
        <v>1</v>
      </c>
      <c r="V359" s="2">
        <f t="shared" si="6"/>
        <v>1</v>
      </c>
    </row>
    <row r="360" ht="14.25" customHeight="1">
      <c r="A360" s="2" t="s">
        <v>404</v>
      </c>
      <c r="B360" s="2" t="s">
        <v>30</v>
      </c>
      <c r="C360" s="2" t="s">
        <v>31</v>
      </c>
      <c r="D360" s="8" t="s">
        <v>595</v>
      </c>
      <c r="E360" s="6">
        <v>45181.0</v>
      </c>
      <c r="F360" s="6">
        <v>45455.0</v>
      </c>
      <c r="G360" s="7">
        <v>4.769425566E9</v>
      </c>
      <c r="H360" s="2" t="s">
        <v>44</v>
      </c>
      <c r="I360" s="2">
        <f t="shared" ref="I360:P360" si="363">IF(ISBLANK(A360)=TRUE,0,1)</f>
        <v>1</v>
      </c>
      <c r="J360" s="2">
        <f t="shared" si="363"/>
        <v>1</v>
      </c>
      <c r="K360" s="2">
        <f t="shared" si="363"/>
        <v>1</v>
      </c>
      <c r="L360" s="2">
        <f t="shared" si="363"/>
        <v>1</v>
      </c>
      <c r="M360" s="2">
        <f t="shared" si="363"/>
        <v>1</v>
      </c>
      <c r="N360" s="2">
        <f t="shared" si="363"/>
        <v>1</v>
      </c>
      <c r="O360" s="2">
        <f t="shared" si="363"/>
        <v>1</v>
      </c>
      <c r="P360" s="2">
        <f t="shared" si="363"/>
        <v>1</v>
      </c>
      <c r="Q360" s="2">
        <f t="shared" si="3"/>
        <v>1</v>
      </c>
      <c r="R360" s="2">
        <f>IF(ISERROR(VLOOKUP(A360, 'Project Reference'!A:A, 1, FALSE)), 0, 1)</f>
        <v>1</v>
      </c>
      <c r="S360" s="2">
        <f>IFERROR(__xludf.DUMMYFUNCTION("IF(AND(REGEXMATCH(D360, B360), REGEXMATCH(D360, C360)), 1, 0)
"),1.0)</f>
        <v>1</v>
      </c>
      <c r="T360" s="2">
        <f t="shared" si="4"/>
        <v>1</v>
      </c>
      <c r="U360" s="2">
        <f t="shared" si="5"/>
        <v>1</v>
      </c>
      <c r="V360" s="2">
        <f t="shared" si="6"/>
        <v>1</v>
      </c>
    </row>
    <row r="361" ht="14.25" customHeight="1">
      <c r="A361" s="2" t="s">
        <v>405</v>
      </c>
      <c r="B361" s="2" t="s">
        <v>30</v>
      </c>
      <c r="C361" s="2" t="s">
        <v>24</v>
      </c>
      <c r="D361" s="8" t="s">
        <v>612</v>
      </c>
      <c r="E361" s="6">
        <v>45183.0</v>
      </c>
      <c r="F361" s="6">
        <v>45255.0</v>
      </c>
      <c r="G361" s="7">
        <v>1.336819118E9</v>
      </c>
      <c r="H361" s="2" t="s">
        <v>44</v>
      </c>
      <c r="I361" s="2">
        <f t="shared" ref="I361:P361" si="364">IF(ISBLANK(A361)=TRUE,0,1)</f>
        <v>1</v>
      </c>
      <c r="J361" s="2">
        <f t="shared" si="364"/>
        <v>1</v>
      </c>
      <c r="K361" s="2">
        <f t="shared" si="364"/>
        <v>1</v>
      </c>
      <c r="L361" s="2">
        <f t="shared" si="364"/>
        <v>1</v>
      </c>
      <c r="M361" s="2">
        <f t="shared" si="364"/>
        <v>1</v>
      </c>
      <c r="N361" s="2">
        <f t="shared" si="364"/>
        <v>1</v>
      </c>
      <c r="O361" s="2">
        <f t="shared" si="364"/>
        <v>1</v>
      </c>
      <c r="P361" s="2">
        <f t="shared" si="364"/>
        <v>1</v>
      </c>
      <c r="Q361" s="2">
        <f t="shared" si="3"/>
        <v>1</v>
      </c>
      <c r="R361" s="2">
        <f>IF(ISERROR(VLOOKUP(A361, 'Project Reference'!A:A, 1, FALSE)), 0, 1)</f>
        <v>1</v>
      </c>
      <c r="S361" s="2">
        <f>IFERROR(__xludf.DUMMYFUNCTION("IF(AND(REGEXMATCH(D361, B361), REGEXMATCH(D361, C361)), 1, 0)
"),1.0)</f>
        <v>1</v>
      </c>
      <c r="T361" s="2">
        <f t="shared" si="4"/>
        <v>1</v>
      </c>
      <c r="U361" s="2">
        <f t="shared" si="5"/>
        <v>1</v>
      </c>
      <c r="V361" s="2">
        <f t="shared" si="6"/>
        <v>1</v>
      </c>
    </row>
    <row r="362" ht="14.25" customHeight="1">
      <c r="A362" s="2" t="s">
        <v>406</v>
      </c>
      <c r="B362" s="2" t="s">
        <v>35</v>
      </c>
      <c r="C362" s="2" t="s">
        <v>24</v>
      </c>
      <c r="D362" s="2" t="s">
        <v>133</v>
      </c>
      <c r="E362" s="6">
        <v>45184.0</v>
      </c>
      <c r="F362" s="6">
        <v>45534.0</v>
      </c>
      <c r="G362" s="7">
        <v>4.71750376E8</v>
      </c>
      <c r="H362" s="2" t="s">
        <v>33</v>
      </c>
      <c r="I362" s="2">
        <f t="shared" ref="I362:P362" si="365">IF(ISBLANK(A362)=TRUE,0,1)</f>
        <v>1</v>
      </c>
      <c r="J362" s="2">
        <f t="shared" si="365"/>
        <v>1</v>
      </c>
      <c r="K362" s="2">
        <f t="shared" si="365"/>
        <v>1</v>
      </c>
      <c r="L362" s="2">
        <f t="shared" si="365"/>
        <v>1</v>
      </c>
      <c r="M362" s="2">
        <f t="shared" si="365"/>
        <v>1</v>
      </c>
      <c r="N362" s="2">
        <f t="shared" si="365"/>
        <v>1</v>
      </c>
      <c r="O362" s="2">
        <f t="shared" si="365"/>
        <v>1</v>
      </c>
      <c r="P362" s="2">
        <f t="shared" si="365"/>
        <v>1</v>
      </c>
      <c r="Q362" s="2">
        <f t="shared" si="3"/>
        <v>1</v>
      </c>
      <c r="R362" s="2">
        <f>IF(ISERROR(VLOOKUP(A362, 'Project Reference'!A:A, 1, FALSE)), 0, 1)</f>
        <v>1</v>
      </c>
      <c r="S362" s="2">
        <f>IFERROR(__xludf.DUMMYFUNCTION("IF(AND(REGEXMATCH(D362, B362), REGEXMATCH(D362, C362)), 1, 0)
"),1.0)</f>
        <v>1</v>
      </c>
      <c r="T362" s="2">
        <f t="shared" si="4"/>
        <v>1</v>
      </c>
      <c r="U362" s="2">
        <f t="shared" si="5"/>
        <v>1</v>
      </c>
      <c r="V362" s="2">
        <f t="shared" si="6"/>
        <v>1</v>
      </c>
    </row>
    <row r="363" ht="14.25" customHeight="1">
      <c r="A363" s="2" t="s">
        <v>407</v>
      </c>
      <c r="B363" s="2" t="s">
        <v>12</v>
      </c>
      <c r="C363" s="2" t="s">
        <v>31</v>
      </c>
      <c r="D363" s="8" t="s">
        <v>593</v>
      </c>
      <c r="E363" s="6">
        <v>45184.0</v>
      </c>
      <c r="F363" s="6">
        <v>45239.0</v>
      </c>
      <c r="G363" s="7">
        <v>6.28901605E8</v>
      </c>
      <c r="H363" s="2" t="s">
        <v>33</v>
      </c>
      <c r="I363" s="2">
        <f t="shared" ref="I363:P363" si="366">IF(ISBLANK(A363)=TRUE,0,1)</f>
        <v>1</v>
      </c>
      <c r="J363" s="2">
        <f t="shared" si="366"/>
        <v>1</v>
      </c>
      <c r="K363" s="2">
        <f t="shared" si="366"/>
        <v>1</v>
      </c>
      <c r="L363" s="2">
        <f t="shared" si="366"/>
        <v>1</v>
      </c>
      <c r="M363" s="2">
        <f t="shared" si="366"/>
        <v>1</v>
      </c>
      <c r="N363" s="2">
        <f t="shared" si="366"/>
        <v>1</v>
      </c>
      <c r="O363" s="2">
        <f t="shared" si="366"/>
        <v>1</v>
      </c>
      <c r="P363" s="2">
        <f t="shared" si="366"/>
        <v>1</v>
      </c>
      <c r="Q363" s="2">
        <f t="shared" si="3"/>
        <v>1</v>
      </c>
      <c r="R363" s="2">
        <f>IF(ISERROR(VLOOKUP(A363, 'Project Reference'!A:A, 1, FALSE)), 0, 1)</f>
        <v>1</v>
      </c>
      <c r="S363" s="2">
        <f>IFERROR(__xludf.DUMMYFUNCTION("IF(AND(REGEXMATCH(D363, B363), REGEXMATCH(D363, C363)), 1, 0)
"),1.0)</f>
        <v>1</v>
      </c>
      <c r="T363" s="2">
        <f t="shared" si="4"/>
        <v>1</v>
      </c>
      <c r="U363" s="2">
        <f t="shared" si="5"/>
        <v>1</v>
      </c>
      <c r="V363" s="2">
        <f t="shared" si="6"/>
        <v>1</v>
      </c>
    </row>
    <row r="364" ht="14.25" customHeight="1">
      <c r="A364" s="2" t="s">
        <v>408</v>
      </c>
      <c r="B364" s="2" t="s">
        <v>30</v>
      </c>
      <c r="C364" s="2" t="s">
        <v>42</v>
      </c>
      <c r="D364" s="8" t="s">
        <v>627</v>
      </c>
      <c r="E364" s="6">
        <v>45185.0</v>
      </c>
      <c r="F364" s="6">
        <v>45273.0</v>
      </c>
      <c r="G364" s="7">
        <v>1.251866235E9</v>
      </c>
      <c r="H364" s="2" t="s">
        <v>21</v>
      </c>
      <c r="I364" s="2">
        <f t="shared" ref="I364:P364" si="367">IF(ISBLANK(A364)=TRUE,0,1)</f>
        <v>1</v>
      </c>
      <c r="J364" s="2">
        <f t="shared" si="367"/>
        <v>1</v>
      </c>
      <c r="K364" s="2">
        <f t="shared" si="367"/>
        <v>1</v>
      </c>
      <c r="L364" s="2">
        <f t="shared" si="367"/>
        <v>1</v>
      </c>
      <c r="M364" s="2">
        <f t="shared" si="367"/>
        <v>1</v>
      </c>
      <c r="N364" s="2">
        <f t="shared" si="367"/>
        <v>1</v>
      </c>
      <c r="O364" s="2">
        <f t="shared" si="367"/>
        <v>1</v>
      </c>
      <c r="P364" s="2">
        <f t="shared" si="367"/>
        <v>1</v>
      </c>
      <c r="Q364" s="2">
        <f t="shared" si="3"/>
        <v>1</v>
      </c>
      <c r="R364" s="2">
        <f>IF(ISERROR(VLOOKUP(A364, 'Project Reference'!A:A, 1, FALSE)), 0, 1)</f>
        <v>1</v>
      </c>
      <c r="S364" s="2">
        <f>IFERROR(__xludf.DUMMYFUNCTION("IF(AND(REGEXMATCH(D364, B364), REGEXMATCH(D364, C364)), 1, 0)
"),1.0)</f>
        <v>1</v>
      </c>
      <c r="T364" s="2">
        <f t="shared" si="4"/>
        <v>1</v>
      </c>
      <c r="U364" s="2">
        <f t="shared" si="5"/>
        <v>1</v>
      </c>
      <c r="V364" s="2">
        <f t="shared" si="6"/>
        <v>1</v>
      </c>
    </row>
    <row r="365" ht="14.25" customHeight="1">
      <c r="A365" s="2" t="s">
        <v>409</v>
      </c>
      <c r="B365" s="2" t="s">
        <v>12</v>
      </c>
      <c r="C365" s="2" t="s">
        <v>39</v>
      </c>
      <c r="D365" s="8" t="s">
        <v>591</v>
      </c>
      <c r="E365" s="6">
        <v>45185.0</v>
      </c>
      <c r="F365" s="6">
        <v>45404.0</v>
      </c>
      <c r="G365" s="7">
        <v>3.21020182E8</v>
      </c>
      <c r="H365" s="2" t="s">
        <v>50</v>
      </c>
      <c r="I365" s="2">
        <f t="shared" ref="I365:P365" si="368">IF(ISBLANK(A365)=TRUE,0,1)</f>
        <v>1</v>
      </c>
      <c r="J365" s="2">
        <f t="shared" si="368"/>
        <v>1</v>
      </c>
      <c r="K365" s="2">
        <f t="shared" si="368"/>
        <v>1</v>
      </c>
      <c r="L365" s="2">
        <f t="shared" si="368"/>
        <v>1</v>
      </c>
      <c r="M365" s="2">
        <f t="shared" si="368"/>
        <v>1</v>
      </c>
      <c r="N365" s="2">
        <f t="shared" si="368"/>
        <v>1</v>
      </c>
      <c r="O365" s="2">
        <f t="shared" si="368"/>
        <v>1</v>
      </c>
      <c r="P365" s="2">
        <f t="shared" si="368"/>
        <v>1</v>
      </c>
      <c r="Q365" s="2">
        <f t="shared" si="3"/>
        <v>1</v>
      </c>
      <c r="R365" s="2">
        <f>IF(ISERROR(VLOOKUP(A365, 'Project Reference'!A:A, 1, FALSE)), 0, 1)</f>
        <v>1</v>
      </c>
      <c r="S365" s="2">
        <f>IFERROR(__xludf.DUMMYFUNCTION("IF(AND(REGEXMATCH(D365, B365), REGEXMATCH(D365, C365)), 1, 0)
"),1.0)</f>
        <v>1</v>
      </c>
      <c r="T365" s="2">
        <f t="shared" si="4"/>
        <v>1</v>
      </c>
      <c r="U365" s="2">
        <f t="shared" si="5"/>
        <v>1</v>
      </c>
      <c r="V365" s="2">
        <f t="shared" si="6"/>
        <v>1</v>
      </c>
    </row>
    <row r="366" ht="14.25" customHeight="1">
      <c r="A366" s="2" t="s">
        <v>410</v>
      </c>
      <c r="B366" s="2" t="s">
        <v>30</v>
      </c>
      <c r="C366" s="2" t="s">
        <v>13</v>
      </c>
      <c r="D366" s="8" t="s">
        <v>630</v>
      </c>
      <c r="E366" s="6">
        <v>45186.0</v>
      </c>
      <c r="F366" s="6">
        <v>45477.0</v>
      </c>
      <c r="G366" s="7">
        <v>4.533278952E9</v>
      </c>
      <c r="H366" s="8" t="s">
        <v>581</v>
      </c>
      <c r="I366" s="2">
        <f t="shared" ref="I366:P366" si="369">IF(ISBLANK(A366)=TRUE,0,1)</f>
        <v>1</v>
      </c>
      <c r="J366" s="2">
        <f t="shared" si="369"/>
        <v>1</v>
      </c>
      <c r="K366" s="2">
        <f t="shared" si="369"/>
        <v>1</v>
      </c>
      <c r="L366" s="2">
        <f t="shared" si="369"/>
        <v>1</v>
      </c>
      <c r="M366" s="2">
        <f t="shared" si="369"/>
        <v>1</v>
      </c>
      <c r="N366" s="2">
        <f t="shared" si="369"/>
        <v>1</v>
      </c>
      <c r="O366" s="2">
        <f t="shared" si="369"/>
        <v>1</v>
      </c>
      <c r="P366" s="2">
        <f t="shared" si="369"/>
        <v>1</v>
      </c>
      <c r="Q366" s="2">
        <f t="shared" si="3"/>
        <v>1</v>
      </c>
      <c r="R366" s="2">
        <f>IF(ISERROR(VLOOKUP(A366, 'Project Reference'!A:A, 1, FALSE)), 0, 1)</f>
        <v>1</v>
      </c>
      <c r="S366" s="2">
        <f>IFERROR(__xludf.DUMMYFUNCTION("IF(AND(REGEXMATCH(D366, B366), REGEXMATCH(D366, C366)), 1, 0)
"),1.0)</f>
        <v>1</v>
      </c>
      <c r="T366" s="2">
        <f t="shared" si="4"/>
        <v>1</v>
      </c>
      <c r="U366" s="2">
        <f t="shared" si="5"/>
        <v>1</v>
      </c>
      <c r="V366" s="2">
        <f t="shared" si="6"/>
        <v>1</v>
      </c>
    </row>
    <row r="367" ht="14.25" customHeight="1">
      <c r="A367" s="2" t="s">
        <v>411</v>
      </c>
      <c r="B367" s="2" t="s">
        <v>18</v>
      </c>
      <c r="C367" s="2" t="s">
        <v>39</v>
      </c>
      <c r="D367" s="8" t="s">
        <v>577</v>
      </c>
      <c r="E367" s="6">
        <v>45187.0</v>
      </c>
      <c r="F367" s="6">
        <v>45493.0</v>
      </c>
      <c r="G367" s="7">
        <v>4.814287975E9</v>
      </c>
      <c r="H367" s="8" t="s">
        <v>581</v>
      </c>
      <c r="I367" s="2">
        <f t="shared" ref="I367:P367" si="370">IF(ISBLANK(A367)=TRUE,0,1)</f>
        <v>1</v>
      </c>
      <c r="J367" s="2">
        <f t="shared" si="370"/>
        <v>1</v>
      </c>
      <c r="K367" s="2">
        <f t="shared" si="370"/>
        <v>1</v>
      </c>
      <c r="L367" s="2">
        <f t="shared" si="370"/>
        <v>1</v>
      </c>
      <c r="M367" s="2">
        <f t="shared" si="370"/>
        <v>1</v>
      </c>
      <c r="N367" s="2">
        <f t="shared" si="370"/>
        <v>1</v>
      </c>
      <c r="O367" s="2">
        <f t="shared" si="370"/>
        <v>1</v>
      </c>
      <c r="P367" s="2">
        <f t="shared" si="370"/>
        <v>1</v>
      </c>
      <c r="Q367" s="2">
        <f t="shared" si="3"/>
        <v>1</v>
      </c>
      <c r="R367" s="2">
        <f>IF(ISERROR(VLOOKUP(A367, 'Project Reference'!A:A, 1, FALSE)), 0, 1)</f>
        <v>1</v>
      </c>
      <c r="S367" s="2">
        <f>IFERROR(__xludf.DUMMYFUNCTION("IF(AND(REGEXMATCH(D367, B367), REGEXMATCH(D367, C367)), 1, 0)
"),1.0)</f>
        <v>1</v>
      </c>
      <c r="T367" s="2">
        <f t="shared" si="4"/>
        <v>1</v>
      </c>
      <c r="U367" s="2">
        <f t="shared" si="5"/>
        <v>1</v>
      </c>
      <c r="V367" s="2">
        <f t="shared" si="6"/>
        <v>1</v>
      </c>
    </row>
    <row r="368" ht="14.25" customHeight="1">
      <c r="A368" s="2" t="s">
        <v>412</v>
      </c>
      <c r="B368" s="2" t="s">
        <v>30</v>
      </c>
      <c r="C368" s="2" t="s">
        <v>24</v>
      </c>
      <c r="D368" s="8" t="s">
        <v>637</v>
      </c>
      <c r="E368" s="6">
        <v>45188.0</v>
      </c>
      <c r="F368" s="6">
        <v>45328.0</v>
      </c>
      <c r="G368" s="7">
        <v>5.011848562E9</v>
      </c>
      <c r="H368" s="2" t="s">
        <v>67</v>
      </c>
      <c r="I368" s="2">
        <f t="shared" ref="I368:P368" si="371">IF(ISBLANK(A368)=TRUE,0,1)</f>
        <v>1</v>
      </c>
      <c r="J368" s="2">
        <f t="shared" si="371"/>
        <v>1</v>
      </c>
      <c r="K368" s="2">
        <f t="shared" si="371"/>
        <v>1</v>
      </c>
      <c r="L368" s="2">
        <f t="shared" si="371"/>
        <v>1</v>
      </c>
      <c r="M368" s="2">
        <f t="shared" si="371"/>
        <v>1</v>
      </c>
      <c r="N368" s="2">
        <f t="shared" si="371"/>
        <v>1</v>
      </c>
      <c r="O368" s="2">
        <f t="shared" si="371"/>
        <v>1</v>
      </c>
      <c r="P368" s="2">
        <f t="shared" si="371"/>
        <v>1</v>
      </c>
      <c r="Q368" s="2">
        <f t="shared" si="3"/>
        <v>1</v>
      </c>
      <c r="R368" s="2">
        <f>IF(ISERROR(VLOOKUP(A368, 'Project Reference'!A:A, 1, FALSE)), 0, 1)</f>
        <v>1</v>
      </c>
      <c r="S368" s="2">
        <f>IFERROR(__xludf.DUMMYFUNCTION("IF(AND(REGEXMATCH(D368, B368), REGEXMATCH(D368, C368)), 1, 0)
"),1.0)</f>
        <v>1</v>
      </c>
      <c r="T368" s="2">
        <f t="shared" si="4"/>
        <v>1</v>
      </c>
      <c r="U368" s="2">
        <f t="shared" si="5"/>
        <v>1</v>
      </c>
      <c r="V368" s="2">
        <f t="shared" si="6"/>
        <v>1</v>
      </c>
    </row>
    <row r="369" ht="14.25" customHeight="1">
      <c r="A369" s="2" t="s">
        <v>413</v>
      </c>
      <c r="B369" s="2" t="s">
        <v>60</v>
      </c>
      <c r="C369" s="2" t="s">
        <v>36</v>
      </c>
      <c r="D369" s="8" t="s">
        <v>597</v>
      </c>
      <c r="E369" s="6">
        <v>45188.0</v>
      </c>
      <c r="F369" s="6">
        <v>45364.0</v>
      </c>
      <c r="G369" s="7">
        <v>2.187444281E9</v>
      </c>
      <c r="H369" s="2" t="s">
        <v>44</v>
      </c>
      <c r="I369" s="2">
        <f t="shared" ref="I369:P369" si="372">IF(ISBLANK(A369)=TRUE,0,1)</f>
        <v>1</v>
      </c>
      <c r="J369" s="2">
        <f t="shared" si="372"/>
        <v>1</v>
      </c>
      <c r="K369" s="2">
        <f t="shared" si="372"/>
        <v>1</v>
      </c>
      <c r="L369" s="2">
        <f t="shared" si="372"/>
        <v>1</v>
      </c>
      <c r="M369" s="2">
        <f t="shared" si="372"/>
        <v>1</v>
      </c>
      <c r="N369" s="2">
        <f t="shared" si="372"/>
        <v>1</v>
      </c>
      <c r="O369" s="2">
        <f t="shared" si="372"/>
        <v>1</v>
      </c>
      <c r="P369" s="2">
        <f t="shared" si="372"/>
        <v>1</v>
      </c>
      <c r="Q369" s="2">
        <f t="shared" si="3"/>
        <v>1</v>
      </c>
      <c r="R369" s="2">
        <f>IF(ISERROR(VLOOKUP(A369, 'Project Reference'!A:A, 1, FALSE)), 0, 1)</f>
        <v>1</v>
      </c>
      <c r="S369" s="2">
        <f>IFERROR(__xludf.DUMMYFUNCTION("IF(AND(REGEXMATCH(D369, B369), REGEXMATCH(D369, C369)), 1, 0)
"),1.0)</f>
        <v>1</v>
      </c>
      <c r="T369" s="2">
        <f t="shared" si="4"/>
        <v>1</v>
      </c>
      <c r="U369" s="2">
        <f t="shared" si="5"/>
        <v>1</v>
      </c>
      <c r="V369" s="2">
        <f t="shared" si="6"/>
        <v>1</v>
      </c>
    </row>
    <row r="370" ht="14.25" customHeight="1">
      <c r="A370" s="2" t="s">
        <v>414</v>
      </c>
      <c r="B370" s="2" t="s">
        <v>30</v>
      </c>
      <c r="C370" s="2" t="s">
        <v>39</v>
      </c>
      <c r="D370" s="8" t="s">
        <v>638</v>
      </c>
      <c r="E370" s="6">
        <v>45188.0</v>
      </c>
      <c r="F370" s="6">
        <v>45245.0</v>
      </c>
      <c r="G370" s="7">
        <v>3.086567364E9</v>
      </c>
      <c r="H370" s="2" t="s">
        <v>50</v>
      </c>
      <c r="I370" s="2">
        <f t="shared" ref="I370:P370" si="373">IF(ISBLANK(A370)=TRUE,0,1)</f>
        <v>1</v>
      </c>
      <c r="J370" s="2">
        <f t="shared" si="373"/>
        <v>1</v>
      </c>
      <c r="K370" s="2">
        <f t="shared" si="373"/>
        <v>1</v>
      </c>
      <c r="L370" s="2">
        <f t="shared" si="373"/>
        <v>1</v>
      </c>
      <c r="M370" s="2">
        <f t="shared" si="373"/>
        <v>1</v>
      </c>
      <c r="N370" s="2">
        <f t="shared" si="373"/>
        <v>1</v>
      </c>
      <c r="O370" s="2">
        <f t="shared" si="373"/>
        <v>1</v>
      </c>
      <c r="P370" s="2">
        <f t="shared" si="373"/>
        <v>1</v>
      </c>
      <c r="Q370" s="2">
        <f t="shared" si="3"/>
        <v>1</v>
      </c>
      <c r="R370" s="2">
        <f>IF(ISERROR(VLOOKUP(A370, 'Project Reference'!A:A, 1, FALSE)), 0, 1)</f>
        <v>1</v>
      </c>
      <c r="S370" s="2">
        <f>IFERROR(__xludf.DUMMYFUNCTION("IF(AND(REGEXMATCH(D370, B370), REGEXMATCH(D370, C370)), 1, 0)
"),1.0)</f>
        <v>1</v>
      </c>
      <c r="T370" s="2">
        <f t="shared" si="4"/>
        <v>1</v>
      </c>
      <c r="U370" s="2">
        <f t="shared" si="5"/>
        <v>1</v>
      </c>
      <c r="V370" s="2">
        <f t="shared" si="6"/>
        <v>1</v>
      </c>
    </row>
    <row r="371" ht="14.25" customHeight="1">
      <c r="A371" s="2" t="s">
        <v>415</v>
      </c>
      <c r="B371" s="2" t="s">
        <v>30</v>
      </c>
      <c r="C371" s="2" t="s">
        <v>31</v>
      </c>
      <c r="D371" s="8" t="s">
        <v>585</v>
      </c>
      <c r="E371" s="6">
        <v>45191.0</v>
      </c>
      <c r="F371" s="6">
        <v>45375.0</v>
      </c>
      <c r="G371" s="7">
        <v>3.308514312E9</v>
      </c>
      <c r="H371" s="2" t="s">
        <v>21</v>
      </c>
      <c r="I371" s="2">
        <f t="shared" ref="I371:P371" si="374">IF(ISBLANK(A371)=TRUE,0,1)</f>
        <v>1</v>
      </c>
      <c r="J371" s="2">
        <f t="shared" si="374"/>
        <v>1</v>
      </c>
      <c r="K371" s="2">
        <f t="shared" si="374"/>
        <v>1</v>
      </c>
      <c r="L371" s="2">
        <f t="shared" si="374"/>
        <v>1</v>
      </c>
      <c r="M371" s="2">
        <f t="shared" si="374"/>
        <v>1</v>
      </c>
      <c r="N371" s="2">
        <f t="shared" si="374"/>
        <v>1</v>
      </c>
      <c r="O371" s="2">
        <f t="shared" si="374"/>
        <v>1</v>
      </c>
      <c r="P371" s="2">
        <f t="shared" si="374"/>
        <v>1</v>
      </c>
      <c r="Q371" s="2">
        <f t="shared" si="3"/>
        <v>1</v>
      </c>
      <c r="R371" s="2">
        <f>IF(ISERROR(VLOOKUP(A371, 'Project Reference'!A:A, 1, FALSE)), 0, 1)</f>
        <v>1</v>
      </c>
      <c r="S371" s="2">
        <f>IFERROR(__xludf.DUMMYFUNCTION("IF(AND(REGEXMATCH(D371, B371), REGEXMATCH(D371, C371)), 1, 0)
"),1.0)</f>
        <v>1</v>
      </c>
      <c r="T371" s="2">
        <f t="shared" si="4"/>
        <v>1</v>
      </c>
      <c r="U371" s="2">
        <f t="shared" si="5"/>
        <v>1</v>
      </c>
      <c r="V371" s="2">
        <f t="shared" si="6"/>
        <v>1</v>
      </c>
    </row>
    <row r="372" ht="14.25" customHeight="1">
      <c r="A372" s="2" t="s">
        <v>416</v>
      </c>
      <c r="B372" s="2" t="s">
        <v>12</v>
      </c>
      <c r="C372" s="2" t="s">
        <v>42</v>
      </c>
      <c r="D372" s="8" t="s">
        <v>603</v>
      </c>
      <c r="E372" s="6">
        <v>45192.0</v>
      </c>
      <c r="F372" s="6">
        <v>45532.0</v>
      </c>
      <c r="G372" s="7">
        <v>2.83571018E8</v>
      </c>
      <c r="H372" s="8" t="s">
        <v>581</v>
      </c>
      <c r="I372" s="2">
        <f t="shared" ref="I372:P372" si="375">IF(ISBLANK(A372)=TRUE,0,1)</f>
        <v>1</v>
      </c>
      <c r="J372" s="2">
        <f t="shared" si="375"/>
        <v>1</v>
      </c>
      <c r="K372" s="2">
        <f t="shared" si="375"/>
        <v>1</v>
      </c>
      <c r="L372" s="2">
        <f t="shared" si="375"/>
        <v>1</v>
      </c>
      <c r="M372" s="2">
        <f t="shared" si="375"/>
        <v>1</v>
      </c>
      <c r="N372" s="2">
        <f t="shared" si="375"/>
        <v>1</v>
      </c>
      <c r="O372" s="2">
        <f t="shared" si="375"/>
        <v>1</v>
      </c>
      <c r="P372" s="2">
        <f t="shared" si="375"/>
        <v>1</v>
      </c>
      <c r="Q372" s="2">
        <f t="shared" si="3"/>
        <v>1</v>
      </c>
      <c r="R372" s="2">
        <f>IF(ISERROR(VLOOKUP(A372, 'Project Reference'!A:A, 1, FALSE)), 0, 1)</f>
        <v>1</v>
      </c>
      <c r="S372" s="2">
        <f>IFERROR(__xludf.DUMMYFUNCTION("IF(AND(REGEXMATCH(D372, B372), REGEXMATCH(D372, C372)), 1, 0)
"),1.0)</f>
        <v>1</v>
      </c>
      <c r="T372" s="2">
        <f t="shared" si="4"/>
        <v>1</v>
      </c>
      <c r="U372" s="2">
        <f t="shared" si="5"/>
        <v>1</v>
      </c>
      <c r="V372" s="2">
        <f t="shared" si="6"/>
        <v>1</v>
      </c>
    </row>
    <row r="373" ht="14.25" customHeight="1">
      <c r="A373" s="2" t="s">
        <v>417</v>
      </c>
      <c r="B373" s="2" t="s">
        <v>18</v>
      </c>
      <c r="C373" s="2" t="s">
        <v>42</v>
      </c>
      <c r="D373" s="8" t="s">
        <v>621</v>
      </c>
      <c r="E373" s="6">
        <v>45192.0</v>
      </c>
      <c r="F373" s="6">
        <v>45361.0</v>
      </c>
      <c r="G373" s="7">
        <v>7.071217769E9</v>
      </c>
      <c r="H373" s="2" t="s">
        <v>33</v>
      </c>
      <c r="I373" s="2">
        <f t="shared" ref="I373:P373" si="376">IF(ISBLANK(A373)=TRUE,0,1)</f>
        <v>1</v>
      </c>
      <c r="J373" s="2">
        <f t="shared" si="376"/>
        <v>1</v>
      </c>
      <c r="K373" s="2">
        <f t="shared" si="376"/>
        <v>1</v>
      </c>
      <c r="L373" s="2">
        <f t="shared" si="376"/>
        <v>1</v>
      </c>
      <c r="M373" s="2">
        <f t="shared" si="376"/>
        <v>1</v>
      </c>
      <c r="N373" s="2">
        <f t="shared" si="376"/>
        <v>1</v>
      </c>
      <c r="O373" s="2">
        <f t="shared" si="376"/>
        <v>1</v>
      </c>
      <c r="P373" s="2">
        <f t="shared" si="376"/>
        <v>1</v>
      </c>
      <c r="Q373" s="2">
        <f t="shared" si="3"/>
        <v>1</v>
      </c>
      <c r="R373" s="2">
        <f>IF(ISERROR(VLOOKUP(A373, 'Project Reference'!A:A, 1, FALSE)), 0, 1)</f>
        <v>1</v>
      </c>
      <c r="S373" s="2">
        <f>IFERROR(__xludf.DUMMYFUNCTION("IF(AND(REGEXMATCH(D373, B373), REGEXMATCH(D373, C373)), 1, 0)
"),1.0)</f>
        <v>1</v>
      </c>
      <c r="T373" s="2">
        <f t="shared" si="4"/>
        <v>1</v>
      </c>
      <c r="U373" s="2">
        <f t="shared" si="5"/>
        <v>1</v>
      </c>
      <c r="V373" s="2">
        <f t="shared" si="6"/>
        <v>1</v>
      </c>
    </row>
    <row r="374" ht="14.25" customHeight="1">
      <c r="A374" s="2" t="s">
        <v>418</v>
      </c>
      <c r="B374" s="2" t="s">
        <v>30</v>
      </c>
      <c r="C374" s="2" t="s">
        <v>42</v>
      </c>
      <c r="D374" s="8" t="s">
        <v>632</v>
      </c>
      <c r="E374" s="6">
        <v>45193.0</v>
      </c>
      <c r="F374" s="6">
        <v>45267.0</v>
      </c>
      <c r="G374" s="7">
        <v>5.103380941E9</v>
      </c>
      <c r="H374" s="2" t="s">
        <v>33</v>
      </c>
      <c r="I374" s="2">
        <f t="shared" ref="I374:P374" si="377">IF(ISBLANK(A374)=TRUE,0,1)</f>
        <v>1</v>
      </c>
      <c r="J374" s="2">
        <f t="shared" si="377"/>
        <v>1</v>
      </c>
      <c r="K374" s="2">
        <f t="shared" si="377"/>
        <v>1</v>
      </c>
      <c r="L374" s="2">
        <f t="shared" si="377"/>
        <v>1</v>
      </c>
      <c r="M374" s="2">
        <f t="shared" si="377"/>
        <v>1</v>
      </c>
      <c r="N374" s="2">
        <f t="shared" si="377"/>
        <v>1</v>
      </c>
      <c r="O374" s="2">
        <f t="shared" si="377"/>
        <v>1</v>
      </c>
      <c r="P374" s="2">
        <f t="shared" si="377"/>
        <v>1</v>
      </c>
      <c r="Q374" s="2">
        <f t="shared" si="3"/>
        <v>1</v>
      </c>
      <c r="R374" s="2">
        <f>IF(ISERROR(VLOOKUP(A374, 'Project Reference'!A:A, 1, FALSE)), 0, 1)</f>
        <v>1</v>
      </c>
      <c r="S374" s="2">
        <f>IFERROR(__xludf.DUMMYFUNCTION("IF(AND(REGEXMATCH(D374, B374), REGEXMATCH(D374, C374)), 1, 0)
"),1.0)</f>
        <v>1</v>
      </c>
      <c r="T374" s="2">
        <f t="shared" si="4"/>
        <v>1</v>
      </c>
      <c r="U374" s="2">
        <f t="shared" si="5"/>
        <v>1</v>
      </c>
      <c r="V374" s="2">
        <f t="shared" si="6"/>
        <v>1</v>
      </c>
    </row>
    <row r="375" ht="14.25" customHeight="1">
      <c r="A375" s="2" t="s">
        <v>419</v>
      </c>
      <c r="B375" s="2" t="s">
        <v>18</v>
      </c>
      <c r="C375" s="2" t="s">
        <v>39</v>
      </c>
      <c r="D375" s="8" t="s">
        <v>577</v>
      </c>
      <c r="E375" s="6">
        <v>45194.0</v>
      </c>
      <c r="F375" s="6">
        <v>45394.0</v>
      </c>
      <c r="G375" s="7">
        <v>4.342819473E9</v>
      </c>
      <c r="H375" s="2" t="s">
        <v>50</v>
      </c>
      <c r="I375" s="2">
        <f t="shared" ref="I375:P375" si="378">IF(ISBLANK(A375)=TRUE,0,1)</f>
        <v>1</v>
      </c>
      <c r="J375" s="2">
        <f t="shared" si="378"/>
        <v>1</v>
      </c>
      <c r="K375" s="2">
        <f t="shared" si="378"/>
        <v>1</v>
      </c>
      <c r="L375" s="2">
        <f t="shared" si="378"/>
        <v>1</v>
      </c>
      <c r="M375" s="2">
        <f t="shared" si="378"/>
        <v>1</v>
      </c>
      <c r="N375" s="2">
        <f t="shared" si="378"/>
        <v>1</v>
      </c>
      <c r="O375" s="2">
        <f t="shared" si="378"/>
        <v>1</v>
      </c>
      <c r="P375" s="2">
        <f t="shared" si="378"/>
        <v>1</v>
      </c>
      <c r="Q375" s="2">
        <f t="shared" si="3"/>
        <v>1</v>
      </c>
      <c r="R375" s="2">
        <f>IF(ISERROR(VLOOKUP(A375, 'Project Reference'!A:A, 1, FALSE)), 0, 1)</f>
        <v>1</v>
      </c>
      <c r="S375" s="2">
        <f>IFERROR(__xludf.DUMMYFUNCTION("IF(AND(REGEXMATCH(D375, B375), REGEXMATCH(D375, C375)), 1, 0)
"),1.0)</f>
        <v>1</v>
      </c>
      <c r="T375" s="2">
        <f t="shared" si="4"/>
        <v>1</v>
      </c>
      <c r="U375" s="2">
        <f t="shared" si="5"/>
        <v>1</v>
      </c>
      <c r="V375" s="2">
        <f t="shared" si="6"/>
        <v>1</v>
      </c>
    </row>
    <row r="376" ht="14.25" customHeight="1">
      <c r="A376" s="2" t="s">
        <v>420</v>
      </c>
      <c r="B376" s="2" t="s">
        <v>30</v>
      </c>
      <c r="C376" s="2" t="s">
        <v>39</v>
      </c>
      <c r="D376" s="8" t="s">
        <v>638</v>
      </c>
      <c r="E376" s="6">
        <v>45194.0</v>
      </c>
      <c r="F376" s="6">
        <v>45231.0</v>
      </c>
      <c r="G376" s="7">
        <v>6.977377591E9</v>
      </c>
      <c r="H376" s="2" t="s">
        <v>67</v>
      </c>
      <c r="I376" s="2">
        <f t="shared" ref="I376:P376" si="379">IF(ISBLANK(A376)=TRUE,0,1)</f>
        <v>1</v>
      </c>
      <c r="J376" s="2">
        <f t="shared" si="379"/>
        <v>1</v>
      </c>
      <c r="K376" s="2">
        <f t="shared" si="379"/>
        <v>1</v>
      </c>
      <c r="L376" s="2">
        <f t="shared" si="379"/>
        <v>1</v>
      </c>
      <c r="M376" s="2">
        <f t="shared" si="379"/>
        <v>1</v>
      </c>
      <c r="N376" s="2">
        <f t="shared" si="379"/>
        <v>1</v>
      </c>
      <c r="O376" s="2">
        <f t="shared" si="379"/>
        <v>1</v>
      </c>
      <c r="P376" s="2">
        <f t="shared" si="379"/>
        <v>1</v>
      </c>
      <c r="Q376" s="2">
        <f t="shared" si="3"/>
        <v>1</v>
      </c>
      <c r="R376" s="2">
        <f>IF(ISERROR(VLOOKUP(A376, 'Project Reference'!A:A, 1, FALSE)), 0, 1)</f>
        <v>1</v>
      </c>
      <c r="S376" s="2">
        <f>IFERROR(__xludf.DUMMYFUNCTION("IF(AND(REGEXMATCH(D376, B376), REGEXMATCH(D376, C376)), 1, 0)
"),1.0)</f>
        <v>1</v>
      </c>
      <c r="T376" s="2">
        <f t="shared" si="4"/>
        <v>1</v>
      </c>
      <c r="U376" s="2">
        <f t="shared" si="5"/>
        <v>1</v>
      </c>
      <c r="V376" s="2">
        <f t="shared" si="6"/>
        <v>1</v>
      </c>
    </row>
    <row r="377" ht="14.25" customHeight="1">
      <c r="A377" s="2" t="s">
        <v>421</v>
      </c>
      <c r="B377" s="2" t="s">
        <v>30</v>
      </c>
      <c r="C377" s="2" t="s">
        <v>13</v>
      </c>
      <c r="D377" s="8" t="s">
        <v>630</v>
      </c>
      <c r="E377" s="6">
        <v>45195.0</v>
      </c>
      <c r="F377" s="6">
        <v>45460.0</v>
      </c>
      <c r="G377" s="7">
        <v>5.457855102E9</v>
      </c>
      <c r="H377" s="2" t="s">
        <v>21</v>
      </c>
      <c r="I377" s="2">
        <f t="shared" ref="I377:P377" si="380">IF(ISBLANK(A377)=TRUE,0,1)</f>
        <v>1</v>
      </c>
      <c r="J377" s="2">
        <f t="shared" si="380"/>
        <v>1</v>
      </c>
      <c r="K377" s="2">
        <f t="shared" si="380"/>
        <v>1</v>
      </c>
      <c r="L377" s="2">
        <f t="shared" si="380"/>
        <v>1</v>
      </c>
      <c r="M377" s="2">
        <f t="shared" si="380"/>
        <v>1</v>
      </c>
      <c r="N377" s="2">
        <f t="shared" si="380"/>
        <v>1</v>
      </c>
      <c r="O377" s="2">
        <f t="shared" si="380"/>
        <v>1</v>
      </c>
      <c r="P377" s="2">
        <f t="shared" si="380"/>
        <v>1</v>
      </c>
      <c r="Q377" s="2">
        <f t="shared" si="3"/>
        <v>1</v>
      </c>
      <c r="R377" s="2">
        <f>IF(ISERROR(VLOOKUP(A377, 'Project Reference'!A:A, 1, FALSE)), 0, 1)</f>
        <v>1</v>
      </c>
      <c r="S377" s="2">
        <f>IFERROR(__xludf.DUMMYFUNCTION("IF(AND(REGEXMATCH(D377, B377), REGEXMATCH(D377, C377)), 1, 0)
"),1.0)</f>
        <v>1</v>
      </c>
      <c r="T377" s="2">
        <f t="shared" si="4"/>
        <v>1</v>
      </c>
      <c r="U377" s="2">
        <f t="shared" si="5"/>
        <v>1</v>
      </c>
      <c r="V377" s="2">
        <f t="shared" si="6"/>
        <v>1</v>
      </c>
    </row>
    <row r="378" ht="14.25" customHeight="1">
      <c r="A378" s="2" t="s">
        <v>422</v>
      </c>
      <c r="B378" s="2" t="s">
        <v>18</v>
      </c>
      <c r="C378" s="2" t="s">
        <v>31</v>
      </c>
      <c r="D378" s="8" t="s">
        <v>636</v>
      </c>
      <c r="E378" s="6">
        <v>45195.0</v>
      </c>
      <c r="F378" s="6">
        <v>45533.0</v>
      </c>
      <c r="G378" s="7">
        <v>2.054160295E9</v>
      </c>
      <c r="H378" s="2" t="s">
        <v>44</v>
      </c>
      <c r="I378" s="2">
        <f t="shared" ref="I378:P378" si="381">IF(ISBLANK(A378)=TRUE,0,1)</f>
        <v>1</v>
      </c>
      <c r="J378" s="2">
        <f t="shared" si="381"/>
        <v>1</v>
      </c>
      <c r="K378" s="2">
        <f t="shared" si="381"/>
        <v>1</v>
      </c>
      <c r="L378" s="2">
        <f t="shared" si="381"/>
        <v>1</v>
      </c>
      <c r="M378" s="2">
        <f t="shared" si="381"/>
        <v>1</v>
      </c>
      <c r="N378" s="2">
        <f t="shared" si="381"/>
        <v>1</v>
      </c>
      <c r="O378" s="2">
        <f t="shared" si="381"/>
        <v>1</v>
      </c>
      <c r="P378" s="2">
        <f t="shared" si="381"/>
        <v>1</v>
      </c>
      <c r="Q378" s="2">
        <f t="shared" si="3"/>
        <v>1</v>
      </c>
      <c r="R378" s="2">
        <f>IF(ISERROR(VLOOKUP(A378, 'Project Reference'!A:A, 1, FALSE)), 0, 1)</f>
        <v>1</v>
      </c>
      <c r="S378" s="2">
        <f>IFERROR(__xludf.DUMMYFUNCTION("IF(AND(REGEXMATCH(D378, B378), REGEXMATCH(D378, C378)), 1, 0)
"),1.0)</f>
        <v>1</v>
      </c>
      <c r="T378" s="2">
        <f t="shared" si="4"/>
        <v>1</v>
      </c>
      <c r="U378" s="2">
        <f t="shared" si="5"/>
        <v>1</v>
      </c>
      <c r="V378" s="2">
        <f t="shared" si="6"/>
        <v>1</v>
      </c>
    </row>
    <row r="379" ht="14.25" customHeight="1">
      <c r="A379" s="2" t="s">
        <v>423</v>
      </c>
      <c r="B379" s="2" t="s">
        <v>18</v>
      </c>
      <c r="C379" s="2" t="s">
        <v>24</v>
      </c>
      <c r="D379" s="8" t="s">
        <v>618</v>
      </c>
      <c r="E379" s="6">
        <v>45196.0</v>
      </c>
      <c r="F379" s="6">
        <v>45429.0</v>
      </c>
      <c r="G379" s="7">
        <v>2.343750073E9</v>
      </c>
      <c r="H379" s="2" t="s">
        <v>44</v>
      </c>
      <c r="I379" s="2">
        <f t="shared" ref="I379:P379" si="382">IF(ISBLANK(A379)=TRUE,0,1)</f>
        <v>1</v>
      </c>
      <c r="J379" s="2">
        <f t="shared" si="382"/>
        <v>1</v>
      </c>
      <c r="K379" s="2">
        <f t="shared" si="382"/>
        <v>1</v>
      </c>
      <c r="L379" s="2">
        <f t="shared" si="382"/>
        <v>1</v>
      </c>
      <c r="M379" s="2">
        <f t="shared" si="382"/>
        <v>1</v>
      </c>
      <c r="N379" s="2">
        <f t="shared" si="382"/>
        <v>1</v>
      </c>
      <c r="O379" s="2">
        <f t="shared" si="382"/>
        <v>1</v>
      </c>
      <c r="P379" s="2">
        <f t="shared" si="382"/>
        <v>1</v>
      </c>
      <c r="Q379" s="2">
        <f t="shared" si="3"/>
        <v>1</v>
      </c>
      <c r="R379" s="2">
        <f>IF(ISERROR(VLOOKUP(A379, 'Project Reference'!A:A, 1, FALSE)), 0, 1)</f>
        <v>1</v>
      </c>
      <c r="S379" s="2">
        <f>IFERROR(__xludf.DUMMYFUNCTION("IF(AND(REGEXMATCH(D379, B379), REGEXMATCH(D379, C379)), 1, 0)
"),1.0)</f>
        <v>1</v>
      </c>
      <c r="T379" s="2">
        <f t="shared" si="4"/>
        <v>1</v>
      </c>
      <c r="U379" s="2">
        <f t="shared" si="5"/>
        <v>1</v>
      </c>
      <c r="V379" s="2">
        <f t="shared" si="6"/>
        <v>1</v>
      </c>
    </row>
    <row r="380" ht="14.25" customHeight="1">
      <c r="A380" s="2" t="s">
        <v>424</v>
      </c>
      <c r="B380" s="2" t="s">
        <v>18</v>
      </c>
      <c r="C380" s="2" t="s">
        <v>31</v>
      </c>
      <c r="D380" s="8" t="s">
        <v>636</v>
      </c>
      <c r="E380" s="6">
        <v>45197.0</v>
      </c>
      <c r="F380" s="6">
        <v>45426.0</v>
      </c>
      <c r="G380" s="7">
        <v>1.02526981E9</v>
      </c>
      <c r="H380" s="2" t="s">
        <v>33</v>
      </c>
      <c r="I380" s="2">
        <f t="shared" ref="I380:P380" si="383">IF(ISBLANK(A380)=TRUE,0,1)</f>
        <v>1</v>
      </c>
      <c r="J380" s="2">
        <f t="shared" si="383"/>
        <v>1</v>
      </c>
      <c r="K380" s="2">
        <f t="shared" si="383"/>
        <v>1</v>
      </c>
      <c r="L380" s="2">
        <f t="shared" si="383"/>
        <v>1</v>
      </c>
      <c r="M380" s="2">
        <f t="shared" si="383"/>
        <v>1</v>
      </c>
      <c r="N380" s="2">
        <f t="shared" si="383"/>
        <v>1</v>
      </c>
      <c r="O380" s="2">
        <f t="shared" si="383"/>
        <v>1</v>
      </c>
      <c r="P380" s="2">
        <f t="shared" si="383"/>
        <v>1</v>
      </c>
      <c r="Q380" s="2">
        <f t="shared" si="3"/>
        <v>1</v>
      </c>
      <c r="R380" s="2">
        <f>IF(ISERROR(VLOOKUP(A380, 'Project Reference'!A:A, 1, FALSE)), 0, 1)</f>
        <v>1</v>
      </c>
      <c r="S380" s="2">
        <f>IFERROR(__xludf.DUMMYFUNCTION("IF(AND(REGEXMATCH(D380, B380), REGEXMATCH(D380, C380)), 1, 0)
"),1.0)</f>
        <v>1</v>
      </c>
      <c r="T380" s="2">
        <f t="shared" si="4"/>
        <v>1</v>
      </c>
      <c r="U380" s="2">
        <f t="shared" si="5"/>
        <v>1</v>
      </c>
      <c r="V380" s="2">
        <f t="shared" si="6"/>
        <v>1</v>
      </c>
    </row>
    <row r="381" ht="14.25" customHeight="1">
      <c r="A381" s="2" t="s">
        <v>425</v>
      </c>
      <c r="B381" s="2" t="s">
        <v>35</v>
      </c>
      <c r="C381" s="2" t="s">
        <v>13</v>
      </c>
      <c r="D381" s="2" t="s">
        <v>78</v>
      </c>
      <c r="E381" s="6">
        <v>45199.0</v>
      </c>
      <c r="F381" s="6">
        <v>45276.0</v>
      </c>
      <c r="G381" s="7">
        <v>3.50434222E8</v>
      </c>
      <c r="H381" s="2" t="s">
        <v>67</v>
      </c>
      <c r="I381" s="2">
        <f t="shared" ref="I381:P381" si="384">IF(ISBLANK(A381)=TRUE,0,1)</f>
        <v>1</v>
      </c>
      <c r="J381" s="2">
        <f t="shared" si="384"/>
        <v>1</v>
      </c>
      <c r="K381" s="2">
        <f t="shared" si="384"/>
        <v>1</v>
      </c>
      <c r="L381" s="2">
        <f t="shared" si="384"/>
        <v>1</v>
      </c>
      <c r="M381" s="2">
        <f t="shared" si="384"/>
        <v>1</v>
      </c>
      <c r="N381" s="2">
        <f t="shared" si="384"/>
        <v>1</v>
      </c>
      <c r="O381" s="2">
        <f t="shared" si="384"/>
        <v>1</v>
      </c>
      <c r="P381" s="2">
        <f t="shared" si="384"/>
        <v>1</v>
      </c>
      <c r="Q381" s="2">
        <f t="shared" si="3"/>
        <v>1</v>
      </c>
      <c r="R381" s="2">
        <f>IF(ISERROR(VLOOKUP(A381, 'Project Reference'!A:A, 1, FALSE)), 0, 1)</f>
        <v>1</v>
      </c>
      <c r="S381" s="2">
        <f>IFERROR(__xludf.DUMMYFUNCTION("IF(AND(REGEXMATCH(D381, B381), REGEXMATCH(D381, C381)), 1, 0)
"),1.0)</f>
        <v>1</v>
      </c>
      <c r="T381" s="2">
        <f t="shared" si="4"/>
        <v>1</v>
      </c>
      <c r="U381" s="2">
        <f t="shared" si="5"/>
        <v>1</v>
      </c>
      <c r="V381" s="2">
        <f t="shared" si="6"/>
        <v>1</v>
      </c>
    </row>
    <row r="382" ht="14.25" customHeight="1">
      <c r="A382" s="2" t="s">
        <v>426</v>
      </c>
      <c r="B382" s="2" t="s">
        <v>12</v>
      </c>
      <c r="C382" s="2" t="s">
        <v>48</v>
      </c>
      <c r="D382" s="8" t="s">
        <v>602</v>
      </c>
      <c r="E382" s="6">
        <v>45201.0</v>
      </c>
      <c r="F382" s="6">
        <v>45418.0</v>
      </c>
      <c r="G382" s="7">
        <v>4.97218843E8</v>
      </c>
      <c r="H382" s="2" t="s">
        <v>67</v>
      </c>
      <c r="I382" s="2">
        <f t="shared" ref="I382:P382" si="385">IF(ISBLANK(A382)=TRUE,0,1)</f>
        <v>1</v>
      </c>
      <c r="J382" s="2">
        <f t="shared" si="385"/>
        <v>1</v>
      </c>
      <c r="K382" s="2">
        <f t="shared" si="385"/>
        <v>1</v>
      </c>
      <c r="L382" s="2">
        <f t="shared" si="385"/>
        <v>1</v>
      </c>
      <c r="M382" s="2">
        <f t="shared" si="385"/>
        <v>1</v>
      </c>
      <c r="N382" s="2">
        <f t="shared" si="385"/>
        <v>1</v>
      </c>
      <c r="O382" s="2">
        <f t="shared" si="385"/>
        <v>1</v>
      </c>
      <c r="P382" s="2">
        <f t="shared" si="385"/>
        <v>1</v>
      </c>
      <c r="Q382" s="2">
        <f t="shared" si="3"/>
        <v>1</v>
      </c>
      <c r="R382" s="2">
        <f>IF(ISERROR(VLOOKUP(A382, 'Project Reference'!A:A, 1, FALSE)), 0, 1)</f>
        <v>1</v>
      </c>
      <c r="S382" s="2">
        <f>IFERROR(__xludf.DUMMYFUNCTION("IF(AND(REGEXMATCH(D382, B382), REGEXMATCH(D382, C382)), 1, 0)
"),1.0)</f>
        <v>1</v>
      </c>
      <c r="T382" s="2">
        <f t="shared" si="4"/>
        <v>1</v>
      </c>
      <c r="U382" s="2">
        <f t="shared" si="5"/>
        <v>1</v>
      </c>
      <c r="V382" s="2">
        <f t="shared" si="6"/>
        <v>1</v>
      </c>
    </row>
    <row r="383" ht="14.25" customHeight="1">
      <c r="A383" s="2" t="s">
        <v>427</v>
      </c>
      <c r="B383" s="2" t="s">
        <v>12</v>
      </c>
      <c r="C383" s="2" t="s">
        <v>42</v>
      </c>
      <c r="D383" s="8" t="s">
        <v>603</v>
      </c>
      <c r="E383" s="6">
        <v>45201.0</v>
      </c>
      <c r="F383" s="6">
        <v>45499.0</v>
      </c>
      <c r="G383" s="7">
        <v>8.72130533E8</v>
      </c>
      <c r="H383" s="8" t="s">
        <v>573</v>
      </c>
      <c r="I383" s="2">
        <f t="shared" ref="I383:P383" si="386">IF(ISBLANK(A383)=TRUE,0,1)</f>
        <v>1</v>
      </c>
      <c r="J383" s="2">
        <f t="shared" si="386"/>
        <v>1</v>
      </c>
      <c r="K383" s="2">
        <f t="shared" si="386"/>
        <v>1</v>
      </c>
      <c r="L383" s="2">
        <f t="shared" si="386"/>
        <v>1</v>
      </c>
      <c r="M383" s="2">
        <f t="shared" si="386"/>
        <v>1</v>
      </c>
      <c r="N383" s="2">
        <f t="shared" si="386"/>
        <v>1</v>
      </c>
      <c r="O383" s="2">
        <f t="shared" si="386"/>
        <v>1</v>
      </c>
      <c r="P383" s="2">
        <f t="shared" si="386"/>
        <v>1</v>
      </c>
      <c r="Q383" s="2">
        <f t="shared" si="3"/>
        <v>1</v>
      </c>
      <c r="R383" s="2">
        <f>IF(ISERROR(VLOOKUP(A383, 'Project Reference'!A:A, 1, FALSE)), 0, 1)</f>
        <v>1</v>
      </c>
      <c r="S383" s="2">
        <f>IFERROR(__xludf.DUMMYFUNCTION("IF(AND(REGEXMATCH(D383, B383), REGEXMATCH(D383, C383)), 1, 0)
"),1.0)</f>
        <v>1</v>
      </c>
      <c r="T383" s="2">
        <f t="shared" si="4"/>
        <v>1</v>
      </c>
      <c r="U383" s="2">
        <f t="shared" si="5"/>
        <v>1</v>
      </c>
      <c r="V383" s="2">
        <f t="shared" si="6"/>
        <v>1</v>
      </c>
    </row>
    <row r="384" ht="14.25" customHeight="1">
      <c r="A384" s="2" t="s">
        <v>428</v>
      </c>
      <c r="B384" s="2" t="s">
        <v>60</v>
      </c>
      <c r="C384" s="2" t="s">
        <v>24</v>
      </c>
      <c r="D384" s="8" t="s">
        <v>575</v>
      </c>
      <c r="E384" s="6">
        <v>45202.0</v>
      </c>
      <c r="F384" s="6">
        <v>45487.0</v>
      </c>
      <c r="G384" s="7">
        <v>4.90701278E9</v>
      </c>
      <c r="H384" s="2" t="s">
        <v>44</v>
      </c>
      <c r="I384" s="2">
        <f t="shared" ref="I384:P384" si="387">IF(ISBLANK(A384)=TRUE,0,1)</f>
        <v>1</v>
      </c>
      <c r="J384" s="2">
        <f t="shared" si="387"/>
        <v>1</v>
      </c>
      <c r="K384" s="2">
        <f t="shared" si="387"/>
        <v>1</v>
      </c>
      <c r="L384" s="2">
        <f t="shared" si="387"/>
        <v>1</v>
      </c>
      <c r="M384" s="2">
        <f t="shared" si="387"/>
        <v>1</v>
      </c>
      <c r="N384" s="2">
        <f t="shared" si="387"/>
        <v>1</v>
      </c>
      <c r="O384" s="2">
        <f t="shared" si="387"/>
        <v>1</v>
      </c>
      <c r="P384" s="2">
        <f t="shared" si="387"/>
        <v>1</v>
      </c>
      <c r="Q384" s="2">
        <f t="shared" si="3"/>
        <v>1</v>
      </c>
      <c r="R384" s="2">
        <f>IF(ISERROR(VLOOKUP(A384, 'Project Reference'!A:A, 1, FALSE)), 0, 1)</f>
        <v>1</v>
      </c>
      <c r="S384" s="2">
        <f>IFERROR(__xludf.DUMMYFUNCTION("IF(AND(REGEXMATCH(D384, B384), REGEXMATCH(D384, C384)), 1, 0)
"),1.0)</f>
        <v>1</v>
      </c>
      <c r="T384" s="2">
        <f t="shared" si="4"/>
        <v>1</v>
      </c>
      <c r="U384" s="2">
        <f t="shared" si="5"/>
        <v>1</v>
      </c>
      <c r="V384" s="2">
        <f t="shared" si="6"/>
        <v>1</v>
      </c>
    </row>
    <row r="385" ht="14.25" customHeight="1">
      <c r="A385" s="2" t="s">
        <v>429</v>
      </c>
      <c r="B385" s="2" t="s">
        <v>60</v>
      </c>
      <c r="C385" s="2" t="s">
        <v>42</v>
      </c>
      <c r="D385" s="8" t="s">
        <v>587</v>
      </c>
      <c r="E385" s="6">
        <v>45202.0</v>
      </c>
      <c r="F385" s="6">
        <v>45456.0</v>
      </c>
      <c r="G385" s="7">
        <v>3.253936748E9</v>
      </c>
      <c r="H385" s="2" t="s">
        <v>50</v>
      </c>
      <c r="I385" s="2">
        <f t="shared" ref="I385:P385" si="388">IF(ISBLANK(A385)=TRUE,0,1)</f>
        <v>1</v>
      </c>
      <c r="J385" s="2">
        <f t="shared" si="388"/>
        <v>1</v>
      </c>
      <c r="K385" s="2">
        <f t="shared" si="388"/>
        <v>1</v>
      </c>
      <c r="L385" s="2">
        <f t="shared" si="388"/>
        <v>1</v>
      </c>
      <c r="M385" s="2">
        <f t="shared" si="388"/>
        <v>1</v>
      </c>
      <c r="N385" s="2">
        <f t="shared" si="388"/>
        <v>1</v>
      </c>
      <c r="O385" s="2">
        <f t="shared" si="388"/>
        <v>1</v>
      </c>
      <c r="P385" s="2">
        <f t="shared" si="388"/>
        <v>1</v>
      </c>
      <c r="Q385" s="2">
        <f t="shared" si="3"/>
        <v>1</v>
      </c>
      <c r="R385" s="2">
        <f>IF(ISERROR(VLOOKUP(A385, 'Project Reference'!A:A, 1, FALSE)), 0, 1)</f>
        <v>1</v>
      </c>
      <c r="S385" s="2">
        <f>IFERROR(__xludf.DUMMYFUNCTION("IF(AND(REGEXMATCH(D385, B385), REGEXMATCH(D385, C385)), 1, 0)
"),1.0)</f>
        <v>1</v>
      </c>
      <c r="T385" s="2">
        <f t="shared" si="4"/>
        <v>1</v>
      </c>
      <c r="U385" s="2">
        <f t="shared" si="5"/>
        <v>1</v>
      </c>
      <c r="V385" s="2">
        <f t="shared" si="6"/>
        <v>1</v>
      </c>
    </row>
    <row r="386" ht="14.25" customHeight="1">
      <c r="A386" s="2" t="s">
        <v>430</v>
      </c>
      <c r="B386" s="2" t="s">
        <v>18</v>
      </c>
      <c r="C386" s="2" t="s">
        <v>13</v>
      </c>
      <c r="D386" s="8" t="s">
        <v>580</v>
      </c>
      <c r="E386" s="6">
        <v>45202.0</v>
      </c>
      <c r="F386" s="6">
        <v>45474.0</v>
      </c>
      <c r="G386" s="7">
        <v>1.125747425E9</v>
      </c>
      <c r="H386" s="22"/>
      <c r="I386" s="2">
        <f t="shared" ref="I386:P386" si="389">IF(ISBLANK(A386)=TRUE,0,1)</f>
        <v>1</v>
      </c>
      <c r="J386" s="2">
        <f t="shared" si="389"/>
        <v>1</v>
      </c>
      <c r="K386" s="2">
        <f t="shared" si="389"/>
        <v>1</v>
      </c>
      <c r="L386" s="2">
        <f t="shared" si="389"/>
        <v>1</v>
      </c>
      <c r="M386" s="2">
        <f t="shared" si="389"/>
        <v>1</v>
      </c>
      <c r="N386" s="2">
        <f t="shared" si="389"/>
        <v>1</v>
      </c>
      <c r="O386" s="2">
        <f t="shared" si="389"/>
        <v>1</v>
      </c>
      <c r="P386" s="2">
        <f t="shared" si="389"/>
        <v>0</v>
      </c>
      <c r="Q386" s="2">
        <f t="shared" si="3"/>
        <v>1</v>
      </c>
      <c r="R386" s="2">
        <f>IF(ISERROR(VLOOKUP(A386, 'Project Reference'!A:A, 1, FALSE)), 0, 1)</f>
        <v>1</v>
      </c>
      <c r="S386" s="2">
        <f>IFERROR(__xludf.DUMMYFUNCTION("IF(AND(REGEXMATCH(D386, B386), REGEXMATCH(D386, C386)), 1, 0)
"),1.0)</f>
        <v>1</v>
      </c>
      <c r="T386" s="2">
        <f t="shared" si="4"/>
        <v>1</v>
      </c>
      <c r="U386" s="2">
        <f t="shared" si="5"/>
        <v>1</v>
      </c>
      <c r="V386" s="2">
        <f t="shared" si="6"/>
        <v>1</v>
      </c>
    </row>
    <row r="387" ht="14.25" customHeight="1">
      <c r="A387" s="2" t="s">
        <v>431</v>
      </c>
      <c r="B387" s="2" t="s">
        <v>30</v>
      </c>
      <c r="C387" s="2" t="s">
        <v>42</v>
      </c>
      <c r="D387" s="8" t="s">
        <v>632</v>
      </c>
      <c r="E387" s="6">
        <v>45202.0</v>
      </c>
      <c r="F387" s="6">
        <v>45551.0</v>
      </c>
      <c r="G387" s="7">
        <v>1.635038686E9</v>
      </c>
      <c r="H387" s="2" t="s">
        <v>67</v>
      </c>
      <c r="I387" s="2">
        <f t="shared" ref="I387:P387" si="390">IF(ISBLANK(A387)=TRUE,0,1)</f>
        <v>1</v>
      </c>
      <c r="J387" s="2">
        <f t="shared" si="390"/>
        <v>1</v>
      </c>
      <c r="K387" s="2">
        <f t="shared" si="390"/>
        <v>1</v>
      </c>
      <c r="L387" s="2">
        <f t="shared" si="390"/>
        <v>1</v>
      </c>
      <c r="M387" s="2">
        <f t="shared" si="390"/>
        <v>1</v>
      </c>
      <c r="N387" s="2">
        <f t="shared" si="390"/>
        <v>1</v>
      </c>
      <c r="O387" s="2">
        <f t="shared" si="390"/>
        <v>1</v>
      </c>
      <c r="P387" s="2">
        <f t="shared" si="390"/>
        <v>1</v>
      </c>
      <c r="Q387" s="2">
        <f t="shared" si="3"/>
        <v>1</v>
      </c>
      <c r="R387" s="2">
        <f>IF(ISERROR(VLOOKUP(A387, 'Project Reference'!A:A, 1, FALSE)), 0, 1)</f>
        <v>1</v>
      </c>
      <c r="S387" s="2">
        <f>IFERROR(__xludf.DUMMYFUNCTION("IF(AND(REGEXMATCH(D387, B387), REGEXMATCH(D387, C387)), 1, 0)
"),1.0)</f>
        <v>1</v>
      </c>
      <c r="T387" s="2">
        <f t="shared" si="4"/>
        <v>1</v>
      </c>
      <c r="U387" s="2">
        <f t="shared" si="5"/>
        <v>1</v>
      </c>
      <c r="V387" s="2">
        <f t="shared" si="6"/>
        <v>1</v>
      </c>
    </row>
    <row r="388" ht="14.25" customHeight="1">
      <c r="A388" s="2" t="s">
        <v>432</v>
      </c>
      <c r="B388" s="2" t="s">
        <v>18</v>
      </c>
      <c r="C388" s="2" t="s">
        <v>42</v>
      </c>
      <c r="D388" s="8" t="s">
        <v>621</v>
      </c>
      <c r="E388" s="6">
        <v>45202.0</v>
      </c>
      <c r="F388" s="6">
        <v>45532.0</v>
      </c>
      <c r="G388" s="7">
        <v>9.829087531E9</v>
      </c>
      <c r="H388" s="2" t="s">
        <v>21</v>
      </c>
      <c r="I388" s="2">
        <f t="shared" ref="I388:P388" si="391">IF(ISBLANK(A388)=TRUE,0,1)</f>
        <v>1</v>
      </c>
      <c r="J388" s="2">
        <f t="shared" si="391"/>
        <v>1</v>
      </c>
      <c r="K388" s="2">
        <f t="shared" si="391"/>
        <v>1</v>
      </c>
      <c r="L388" s="2">
        <f t="shared" si="391"/>
        <v>1</v>
      </c>
      <c r="M388" s="2">
        <f t="shared" si="391"/>
        <v>1</v>
      </c>
      <c r="N388" s="2">
        <f t="shared" si="391"/>
        <v>1</v>
      </c>
      <c r="O388" s="2">
        <f t="shared" si="391"/>
        <v>1</v>
      </c>
      <c r="P388" s="2">
        <f t="shared" si="391"/>
        <v>1</v>
      </c>
      <c r="Q388" s="2">
        <f t="shared" si="3"/>
        <v>1</v>
      </c>
      <c r="R388" s="2">
        <f>IF(ISERROR(VLOOKUP(A388, 'Project Reference'!A:A, 1, FALSE)), 0, 1)</f>
        <v>1</v>
      </c>
      <c r="S388" s="2">
        <f>IFERROR(__xludf.DUMMYFUNCTION("IF(AND(REGEXMATCH(D388, B388), REGEXMATCH(D388, C388)), 1, 0)
"),1.0)</f>
        <v>1</v>
      </c>
      <c r="T388" s="2">
        <f t="shared" si="4"/>
        <v>1</v>
      </c>
      <c r="U388" s="2">
        <f t="shared" si="5"/>
        <v>1</v>
      </c>
      <c r="V388" s="2">
        <f t="shared" si="6"/>
        <v>1</v>
      </c>
    </row>
    <row r="389" ht="14.25" customHeight="1">
      <c r="A389" s="2" t="s">
        <v>433</v>
      </c>
      <c r="B389" s="2" t="s">
        <v>18</v>
      </c>
      <c r="C389" s="2" t="s">
        <v>48</v>
      </c>
      <c r="D389" s="8" t="s">
        <v>629</v>
      </c>
      <c r="E389" s="6">
        <v>45202.0</v>
      </c>
      <c r="F389" s="6">
        <v>45387.0</v>
      </c>
      <c r="G389" s="7">
        <v>1.057037862E9</v>
      </c>
      <c r="H389" s="8" t="s">
        <v>573</v>
      </c>
      <c r="I389" s="2">
        <f t="shared" ref="I389:P389" si="392">IF(ISBLANK(A389)=TRUE,0,1)</f>
        <v>1</v>
      </c>
      <c r="J389" s="2">
        <f t="shared" si="392"/>
        <v>1</v>
      </c>
      <c r="K389" s="2">
        <f t="shared" si="392"/>
        <v>1</v>
      </c>
      <c r="L389" s="2">
        <f t="shared" si="392"/>
        <v>1</v>
      </c>
      <c r="M389" s="2">
        <f t="shared" si="392"/>
        <v>1</v>
      </c>
      <c r="N389" s="2">
        <f t="shared" si="392"/>
        <v>1</v>
      </c>
      <c r="O389" s="2">
        <f t="shared" si="392"/>
        <v>1</v>
      </c>
      <c r="P389" s="2">
        <f t="shared" si="392"/>
        <v>1</v>
      </c>
      <c r="Q389" s="2">
        <f t="shared" si="3"/>
        <v>1</v>
      </c>
      <c r="R389" s="2">
        <f>IF(ISERROR(VLOOKUP(A389, 'Project Reference'!A:A, 1, FALSE)), 0, 1)</f>
        <v>1</v>
      </c>
      <c r="S389" s="2">
        <f>IFERROR(__xludf.DUMMYFUNCTION("IF(AND(REGEXMATCH(D389, B389), REGEXMATCH(D389, C389)), 1, 0)
"),1.0)</f>
        <v>1</v>
      </c>
      <c r="T389" s="2">
        <f t="shared" si="4"/>
        <v>1</v>
      </c>
      <c r="U389" s="2">
        <f t="shared" si="5"/>
        <v>1</v>
      </c>
      <c r="V389" s="2">
        <f t="shared" si="6"/>
        <v>1</v>
      </c>
    </row>
    <row r="390" ht="14.25" customHeight="1">
      <c r="A390" s="2" t="s">
        <v>434</v>
      </c>
      <c r="B390" s="2" t="s">
        <v>30</v>
      </c>
      <c r="C390" s="2" t="s">
        <v>36</v>
      </c>
      <c r="D390" s="8" t="s">
        <v>639</v>
      </c>
      <c r="E390" s="6">
        <v>45203.0</v>
      </c>
      <c r="F390" s="6">
        <v>45407.0</v>
      </c>
      <c r="G390" s="7">
        <v>5.469982538E9</v>
      </c>
      <c r="H390" s="2" t="s">
        <v>44</v>
      </c>
      <c r="I390" s="2">
        <f t="shared" ref="I390:P390" si="393">IF(ISBLANK(A390)=TRUE,0,1)</f>
        <v>1</v>
      </c>
      <c r="J390" s="2">
        <f t="shared" si="393"/>
        <v>1</v>
      </c>
      <c r="K390" s="2">
        <f t="shared" si="393"/>
        <v>1</v>
      </c>
      <c r="L390" s="2">
        <f t="shared" si="393"/>
        <v>1</v>
      </c>
      <c r="M390" s="2">
        <f t="shared" si="393"/>
        <v>1</v>
      </c>
      <c r="N390" s="2">
        <f t="shared" si="393"/>
        <v>1</v>
      </c>
      <c r="O390" s="2">
        <f t="shared" si="393"/>
        <v>1</v>
      </c>
      <c r="P390" s="2">
        <f t="shared" si="393"/>
        <v>1</v>
      </c>
      <c r="Q390" s="2">
        <f t="shared" si="3"/>
        <v>1</v>
      </c>
      <c r="R390" s="2">
        <f>IF(ISERROR(VLOOKUP(A390, 'Project Reference'!A:A, 1, FALSE)), 0, 1)</f>
        <v>1</v>
      </c>
      <c r="S390" s="2">
        <f>IFERROR(__xludf.DUMMYFUNCTION("IF(AND(REGEXMATCH(D390, B390), REGEXMATCH(D390, C390)), 1, 0)
"),1.0)</f>
        <v>1</v>
      </c>
      <c r="T390" s="2">
        <f t="shared" si="4"/>
        <v>1</v>
      </c>
      <c r="U390" s="2">
        <f t="shared" si="5"/>
        <v>1</v>
      </c>
      <c r="V390" s="2">
        <f t="shared" si="6"/>
        <v>1</v>
      </c>
    </row>
    <row r="391" ht="14.25" customHeight="1">
      <c r="A391" s="2" t="s">
        <v>435</v>
      </c>
      <c r="B391" s="2" t="s">
        <v>30</v>
      </c>
      <c r="C391" s="2" t="s">
        <v>13</v>
      </c>
      <c r="D391" s="8" t="s">
        <v>630</v>
      </c>
      <c r="E391" s="6">
        <v>45204.0</v>
      </c>
      <c r="F391" s="6">
        <v>45308.0</v>
      </c>
      <c r="G391" s="7">
        <v>5.05551529E9</v>
      </c>
      <c r="H391" s="2" t="s">
        <v>67</v>
      </c>
      <c r="I391" s="2">
        <f t="shared" ref="I391:P391" si="394">IF(ISBLANK(A391)=TRUE,0,1)</f>
        <v>1</v>
      </c>
      <c r="J391" s="2">
        <f t="shared" si="394"/>
        <v>1</v>
      </c>
      <c r="K391" s="2">
        <f t="shared" si="394"/>
        <v>1</v>
      </c>
      <c r="L391" s="2">
        <f t="shared" si="394"/>
        <v>1</v>
      </c>
      <c r="M391" s="2">
        <f t="shared" si="394"/>
        <v>1</v>
      </c>
      <c r="N391" s="2">
        <f t="shared" si="394"/>
        <v>1</v>
      </c>
      <c r="O391" s="2">
        <f t="shared" si="394"/>
        <v>1</v>
      </c>
      <c r="P391" s="2">
        <f t="shared" si="394"/>
        <v>1</v>
      </c>
      <c r="Q391" s="2">
        <f t="shared" si="3"/>
        <v>1</v>
      </c>
      <c r="R391" s="2">
        <f>IF(ISERROR(VLOOKUP(A391, 'Project Reference'!A:A, 1, FALSE)), 0, 1)</f>
        <v>1</v>
      </c>
      <c r="S391" s="2">
        <f>IFERROR(__xludf.DUMMYFUNCTION("IF(AND(REGEXMATCH(D391, B391), REGEXMATCH(D391, C391)), 1, 0)
"),1.0)</f>
        <v>1</v>
      </c>
      <c r="T391" s="2">
        <f t="shared" si="4"/>
        <v>1</v>
      </c>
      <c r="U391" s="2">
        <f t="shared" si="5"/>
        <v>1</v>
      </c>
      <c r="V391" s="2">
        <f t="shared" si="6"/>
        <v>1</v>
      </c>
    </row>
    <row r="392" ht="14.25" customHeight="1">
      <c r="A392" s="2" t="s">
        <v>436</v>
      </c>
      <c r="B392" s="2" t="s">
        <v>18</v>
      </c>
      <c r="C392" s="2" t="s">
        <v>48</v>
      </c>
      <c r="D392" s="8" t="s">
        <v>629</v>
      </c>
      <c r="E392" s="6">
        <v>45205.0</v>
      </c>
      <c r="F392" s="6">
        <v>45463.0</v>
      </c>
      <c r="G392" s="7">
        <v>2.556364237E9</v>
      </c>
      <c r="H392" s="22"/>
      <c r="I392" s="2">
        <f t="shared" ref="I392:P392" si="395">IF(ISBLANK(A392)=TRUE,0,1)</f>
        <v>1</v>
      </c>
      <c r="J392" s="2">
        <f t="shared" si="395"/>
        <v>1</v>
      </c>
      <c r="K392" s="2">
        <f t="shared" si="395"/>
        <v>1</v>
      </c>
      <c r="L392" s="2">
        <f t="shared" si="395"/>
        <v>1</v>
      </c>
      <c r="M392" s="2">
        <f t="shared" si="395"/>
        <v>1</v>
      </c>
      <c r="N392" s="2">
        <f t="shared" si="395"/>
        <v>1</v>
      </c>
      <c r="O392" s="2">
        <f t="shared" si="395"/>
        <v>1</v>
      </c>
      <c r="P392" s="2">
        <f t="shared" si="395"/>
        <v>0</v>
      </c>
      <c r="Q392" s="2">
        <f t="shared" si="3"/>
        <v>1</v>
      </c>
      <c r="R392" s="2">
        <f>IF(ISERROR(VLOOKUP(A392, 'Project Reference'!A:A, 1, FALSE)), 0, 1)</f>
        <v>1</v>
      </c>
      <c r="S392" s="2">
        <f>IFERROR(__xludf.DUMMYFUNCTION("IF(AND(REGEXMATCH(D392, B392), REGEXMATCH(D392, C392)), 1, 0)
"),1.0)</f>
        <v>1</v>
      </c>
      <c r="T392" s="2">
        <f t="shared" si="4"/>
        <v>1</v>
      </c>
      <c r="U392" s="2">
        <f t="shared" si="5"/>
        <v>1</v>
      </c>
      <c r="V392" s="2">
        <f t="shared" si="6"/>
        <v>1</v>
      </c>
    </row>
    <row r="393" ht="14.25" customHeight="1">
      <c r="A393" s="2" t="s">
        <v>437</v>
      </c>
      <c r="B393" s="2" t="s">
        <v>30</v>
      </c>
      <c r="C393" s="2" t="s">
        <v>36</v>
      </c>
      <c r="D393" s="8" t="s">
        <v>614</v>
      </c>
      <c r="E393" s="6">
        <v>45205.0</v>
      </c>
      <c r="F393" s="6">
        <v>45384.0</v>
      </c>
      <c r="G393" s="7">
        <v>6.904869726E9</v>
      </c>
      <c r="H393" s="8" t="s">
        <v>573</v>
      </c>
      <c r="I393" s="2">
        <f t="shared" ref="I393:P393" si="396">IF(ISBLANK(A393)=TRUE,0,1)</f>
        <v>1</v>
      </c>
      <c r="J393" s="2">
        <f t="shared" si="396"/>
        <v>1</v>
      </c>
      <c r="K393" s="2">
        <f t="shared" si="396"/>
        <v>1</v>
      </c>
      <c r="L393" s="2">
        <f t="shared" si="396"/>
        <v>1</v>
      </c>
      <c r="M393" s="2">
        <f t="shared" si="396"/>
        <v>1</v>
      </c>
      <c r="N393" s="2">
        <f t="shared" si="396"/>
        <v>1</v>
      </c>
      <c r="O393" s="2">
        <f t="shared" si="396"/>
        <v>1</v>
      </c>
      <c r="P393" s="2">
        <f t="shared" si="396"/>
        <v>1</v>
      </c>
      <c r="Q393" s="2">
        <f t="shared" si="3"/>
        <v>1</v>
      </c>
      <c r="R393" s="2">
        <f>IF(ISERROR(VLOOKUP(A393, 'Project Reference'!A:A, 1, FALSE)), 0, 1)</f>
        <v>1</v>
      </c>
      <c r="S393" s="2">
        <f>IFERROR(__xludf.DUMMYFUNCTION("IF(AND(REGEXMATCH(D393, B393), REGEXMATCH(D393, C393)), 1, 0)
"),1.0)</f>
        <v>1</v>
      </c>
      <c r="T393" s="2">
        <f t="shared" si="4"/>
        <v>1</v>
      </c>
      <c r="U393" s="2">
        <f t="shared" si="5"/>
        <v>1</v>
      </c>
      <c r="V393" s="2">
        <f t="shared" si="6"/>
        <v>1</v>
      </c>
    </row>
    <row r="394" ht="14.25" customHeight="1">
      <c r="A394" s="2" t="s">
        <v>438</v>
      </c>
      <c r="B394" s="2" t="s">
        <v>30</v>
      </c>
      <c r="C394" s="2" t="s">
        <v>39</v>
      </c>
      <c r="D394" s="8" t="s">
        <v>638</v>
      </c>
      <c r="E394" s="6">
        <v>45205.0</v>
      </c>
      <c r="F394" s="6">
        <v>45503.0</v>
      </c>
      <c r="G394" s="7">
        <v>3.882607118E9</v>
      </c>
      <c r="H394" s="22"/>
      <c r="I394" s="2">
        <f t="shared" ref="I394:P394" si="397">IF(ISBLANK(A394)=TRUE,0,1)</f>
        <v>1</v>
      </c>
      <c r="J394" s="2">
        <f t="shared" si="397"/>
        <v>1</v>
      </c>
      <c r="K394" s="2">
        <f t="shared" si="397"/>
        <v>1</v>
      </c>
      <c r="L394" s="2">
        <f t="shared" si="397"/>
        <v>1</v>
      </c>
      <c r="M394" s="2">
        <f t="shared" si="397"/>
        <v>1</v>
      </c>
      <c r="N394" s="2">
        <f t="shared" si="397"/>
        <v>1</v>
      </c>
      <c r="O394" s="2">
        <f t="shared" si="397"/>
        <v>1</v>
      </c>
      <c r="P394" s="2">
        <f t="shared" si="397"/>
        <v>0</v>
      </c>
      <c r="Q394" s="2">
        <f t="shared" si="3"/>
        <v>1</v>
      </c>
      <c r="R394" s="2">
        <f>IF(ISERROR(VLOOKUP(A394, 'Project Reference'!A:A, 1, FALSE)), 0, 1)</f>
        <v>1</v>
      </c>
      <c r="S394" s="2">
        <f>IFERROR(__xludf.DUMMYFUNCTION("IF(AND(REGEXMATCH(D394, B394), REGEXMATCH(D394, C394)), 1, 0)
"),1.0)</f>
        <v>1</v>
      </c>
      <c r="T394" s="2">
        <f t="shared" si="4"/>
        <v>1</v>
      </c>
      <c r="U394" s="2">
        <f t="shared" si="5"/>
        <v>1</v>
      </c>
      <c r="V394" s="2">
        <f t="shared" si="6"/>
        <v>1</v>
      </c>
    </row>
    <row r="395" ht="14.25" customHeight="1">
      <c r="A395" s="2" t="s">
        <v>439</v>
      </c>
      <c r="B395" s="2" t="s">
        <v>12</v>
      </c>
      <c r="C395" s="2" t="s">
        <v>36</v>
      </c>
      <c r="D395" s="8" t="s">
        <v>578</v>
      </c>
      <c r="E395" s="6">
        <v>45205.0</v>
      </c>
      <c r="F395" s="6">
        <v>45535.0</v>
      </c>
      <c r="G395" s="7">
        <v>8.88436167E8</v>
      </c>
      <c r="H395" s="8" t="s">
        <v>573</v>
      </c>
      <c r="I395" s="2">
        <f t="shared" ref="I395:P395" si="398">IF(ISBLANK(A395)=TRUE,0,1)</f>
        <v>1</v>
      </c>
      <c r="J395" s="2">
        <f t="shared" si="398"/>
        <v>1</v>
      </c>
      <c r="K395" s="2">
        <f t="shared" si="398"/>
        <v>1</v>
      </c>
      <c r="L395" s="2">
        <f t="shared" si="398"/>
        <v>1</v>
      </c>
      <c r="M395" s="2">
        <f t="shared" si="398"/>
        <v>1</v>
      </c>
      <c r="N395" s="2">
        <f t="shared" si="398"/>
        <v>1</v>
      </c>
      <c r="O395" s="2">
        <f t="shared" si="398"/>
        <v>1</v>
      </c>
      <c r="P395" s="2">
        <f t="shared" si="398"/>
        <v>1</v>
      </c>
      <c r="Q395" s="2">
        <f t="shared" si="3"/>
        <v>1</v>
      </c>
      <c r="R395" s="2">
        <f>IF(ISERROR(VLOOKUP(A395, 'Project Reference'!A:A, 1, FALSE)), 0, 1)</f>
        <v>1</v>
      </c>
      <c r="S395" s="2">
        <f>IFERROR(__xludf.DUMMYFUNCTION("IF(AND(REGEXMATCH(D395, B395), REGEXMATCH(D395, C395)), 1, 0)
"),1.0)</f>
        <v>1</v>
      </c>
      <c r="T395" s="2">
        <f t="shared" si="4"/>
        <v>1</v>
      </c>
      <c r="U395" s="2">
        <f t="shared" si="5"/>
        <v>1</v>
      </c>
      <c r="V395" s="2">
        <f t="shared" si="6"/>
        <v>1</v>
      </c>
    </row>
    <row r="396" ht="14.25" customHeight="1">
      <c r="A396" s="2" t="s">
        <v>440</v>
      </c>
      <c r="B396" s="2" t="s">
        <v>30</v>
      </c>
      <c r="C396" s="2" t="s">
        <v>39</v>
      </c>
      <c r="D396" s="8" t="s">
        <v>590</v>
      </c>
      <c r="E396" s="6">
        <v>45205.0</v>
      </c>
      <c r="F396" s="6">
        <v>45283.0</v>
      </c>
      <c r="G396" s="7">
        <v>1.354806627E9</v>
      </c>
      <c r="H396" s="2" t="s">
        <v>44</v>
      </c>
      <c r="I396" s="2">
        <f t="shared" ref="I396:P396" si="399">IF(ISBLANK(A396)=TRUE,0,1)</f>
        <v>1</v>
      </c>
      <c r="J396" s="2">
        <f t="shared" si="399"/>
        <v>1</v>
      </c>
      <c r="K396" s="2">
        <f t="shared" si="399"/>
        <v>1</v>
      </c>
      <c r="L396" s="2">
        <f t="shared" si="399"/>
        <v>1</v>
      </c>
      <c r="M396" s="2">
        <f t="shared" si="399"/>
        <v>1</v>
      </c>
      <c r="N396" s="2">
        <f t="shared" si="399"/>
        <v>1</v>
      </c>
      <c r="O396" s="2">
        <f t="shared" si="399"/>
        <v>1</v>
      </c>
      <c r="P396" s="2">
        <f t="shared" si="399"/>
        <v>1</v>
      </c>
      <c r="Q396" s="2">
        <f t="shared" si="3"/>
        <v>1</v>
      </c>
      <c r="R396" s="2">
        <f>IF(ISERROR(VLOOKUP(A396, 'Project Reference'!A:A, 1, FALSE)), 0, 1)</f>
        <v>1</v>
      </c>
      <c r="S396" s="2">
        <f>IFERROR(__xludf.DUMMYFUNCTION("IF(AND(REGEXMATCH(D396, B396), REGEXMATCH(D396, C396)), 1, 0)
"),1.0)</f>
        <v>1</v>
      </c>
      <c r="T396" s="2">
        <f t="shared" si="4"/>
        <v>1</v>
      </c>
      <c r="U396" s="2">
        <f t="shared" si="5"/>
        <v>1</v>
      </c>
      <c r="V396" s="2">
        <f t="shared" si="6"/>
        <v>1</v>
      </c>
    </row>
    <row r="397" ht="14.25" customHeight="1">
      <c r="A397" s="2" t="s">
        <v>441</v>
      </c>
      <c r="B397" s="2" t="s">
        <v>12</v>
      </c>
      <c r="C397" s="2" t="s">
        <v>31</v>
      </c>
      <c r="D397" s="8" t="s">
        <v>593</v>
      </c>
      <c r="E397" s="6">
        <v>45206.0</v>
      </c>
      <c r="F397" s="6">
        <v>45293.0</v>
      </c>
      <c r="G397" s="7">
        <v>9.84605716E8</v>
      </c>
      <c r="H397" s="2" t="s">
        <v>50</v>
      </c>
      <c r="I397" s="2">
        <f t="shared" ref="I397:P397" si="400">IF(ISBLANK(A397)=TRUE,0,1)</f>
        <v>1</v>
      </c>
      <c r="J397" s="2">
        <f t="shared" si="400"/>
        <v>1</v>
      </c>
      <c r="K397" s="2">
        <f t="shared" si="400"/>
        <v>1</v>
      </c>
      <c r="L397" s="2">
        <f t="shared" si="400"/>
        <v>1</v>
      </c>
      <c r="M397" s="2">
        <f t="shared" si="400"/>
        <v>1</v>
      </c>
      <c r="N397" s="2">
        <f t="shared" si="400"/>
        <v>1</v>
      </c>
      <c r="O397" s="2">
        <f t="shared" si="400"/>
        <v>1</v>
      </c>
      <c r="P397" s="2">
        <f t="shared" si="400"/>
        <v>1</v>
      </c>
      <c r="Q397" s="2">
        <f t="shared" si="3"/>
        <v>1</v>
      </c>
      <c r="R397" s="2">
        <f>IF(ISERROR(VLOOKUP(A397, 'Project Reference'!A:A, 1, FALSE)), 0, 1)</f>
        <v>1</v>
      </c>
      <c r="S397" s="2">
        <f>IFERROR(__xludf.DUMMYFUNCTION("IF(AND(REGEXMATCH(D397, B397), REGEXMATCH(D397, C397)), 1, 0)
"),1.0)</f>
        <v>1</v>
      </c>
      <c r="T397" s="2">
        <f t="shared" si="4"/>
        <v>1</v>
      </c>
      <c r="U397" s="2">
        <f t="shared" si="5"/>
        <v>1</v>
      </c>
      <c r="V397" s="2">
        <f t="shared" si="6"/>
        <v>1</v>
      </c>
    </row>
    <row r="398" ht="14.25" customHeight="1">
      <c r="A398" s="2" t="s">
        <v>443</v>
      </c>
      <c r="B398" s="2" t="s">
        <v>12</v>
      </c>
      <c r="C398" s="2" t="s">
        <v>24</v>
      </c>
      <c r="D398" s="8" t="s">
        <v>610</v>
      </c>
      <c r="E398" s="6">
        <v>45207.0</v>
      </c>
      <c r="F398" s="6">
        <v>45396.0</v>
      </c>
      <c r="G398" s="7">
        <v>5.16197294E8</v>
      </c>
      <c r="H398" s="2" t="s">
        <v>21</v>
      </c>
      <c r="I398" s="2">
        <f t="shared" ref="I398:P398" si="401">IF(ISBLANK(A398)=TRUE,0,1)</f>
        <v>1</v>
      </c>
      <c r="J398" s="2">
        <f t="shared" si="401"/>
        <v>1</v>
      </c>
      <c r="K398" s="2">
        <f t="shared" si="401"/>
        <v>1</v>
      </c>
      <c r="L398" s="2">
        <f t="shared" si="401"/>
        <v>1</v>
      </c>
      <c r="M398" s="2">
        <f t="shared" si="401"/>
        <v>1</v>
      </c>
      <c r="N398" s="2">
        <f t="shared" si="401"/>
        <v>1</v>
      </c>
      <c r="O398" s="2">
        <f t="shared" si="401"/>
        <v>1</v>
      </c>
      <c r="P398" s="2">
        <f t="shared" si="401"/>
        <v>1</v>
      </c>
      <c r="Q398" s="2">
        <f t="shared" si="3"/>
        <v>1</v>
      </c>
      <c r="R398" s="2">
        <f>IF(ISERROR(VLOOKUP(A398, 'Project Reference'!A:A, 1, FALSE)), 0, 1)</f>
        <v>1</v>
      </c>
      <c r="S398" s="2">
        <f>IFERROR(__xludf.DUMMYFUNCTION("IF(AND(REGEXMATCH(D398, B398), REGEXMATCH(D398, C398)), 1, 0)
"),1.0)</f>
        <v>1</v>
      </c>
      <c r="T398" s="2">
        <f t="shared" si="4"/>
        <v>1</v>
      </c>
      <c r="U398" s="2">
        <f t="shared" si="5"/>
        <v>1</v>
      </c>
      <c r="V398" s="2">
        <f t="shared" si="6"/>
        <v>1</v>
      </c>
    </row>
    <row r="399" ht="14.25" customHeight="1">
      <c r="A399" s="2" t="s">
        <v>444</v>
      </c>
      <c r="B399" s="2" t="s">
        <v>12</v>
      </c>
      <c r="C399" s="2" t="s">
        <v>48</v>
      </c>
      <c r="D399" s="8" t="s">
        <v>602</v>
      </c>
      <c r="E399" s="6">
        <v>45207.0</v>
      </c>
      <c r="F399" s="6">
        <v>45572.0</v>
      </c>
      <c r="G399" s="7">
        <v>5.40697362E8</v>
      </c>
      <c r="H399" s="2" t="s">
        <v>67</v>
      </c>
      <c r="I399" s="2">
        <f t="shared" ref="I399:P399" si="402">IF(ISBLANK(A399)=TRUE,0,1)</f>
        <v>1</v>
      </c>
      <c r="J399" s="2">
        <f t="shared" si="402"/>
        <v>1</v>
      </c>
      <c r="K399" s="2">
        <f t="shared" si="402"/>
        <v>1</v>
      </c>
      <c r="L399" s="2">
        <f t="shared" si="402"/>
        <v>1</v>
      </c>
      <c r="M399" s="2">
        <f t="shared" si="402"/>
        <v>1</v>
      </c>
      <c r="N399" s="2">
        <f t="shared" si="402"/>
        <v>1</v>
      </c>
      <c r="O399" s="2">
        <f t="shared" si="402"/>
        <v>1</v>
      </c>
      <c r="P399" s="2">
        <f t="shared" si="402"/>
        <v>1</v>
      </c>
      <c r="Q399" s="2">
        <f t="shared" si="3"/>
        <v>1</v>
      </c>
      <c r="R399" s="2">
        <f>IF(ISERROR(VLOOKUP(A399, 'Project Reference'!A:A, 1, FALSE)), 0, 1)</f>
        <v>1</v>
      </c>
      <c r="S399" s="2">
        <f>IFERROR(__xludf.DUMMYFUNCTION("IF(AND(REGEXMATCH(D399, B399), REGEXMATCH(D399, C399)), 1, 0)
"),1.0)</f>
        <v>1</v>
      </c>
      <c r="T399" s="2">
        <f t="shared" si="4"/>
        <v>1</v>
      </c>
      <c r="U399" s="2">
        <f t="shared" si="5"/>
        <v>1</v>
      </c>
      <c r="V399" s="2">
        <f t="shared" si="6"/>
        <v>1</v>
      </c>
    </row>
    <row r="400" ht="14.25" customHeight="1">
      <c r="A400" s="2" t="s">
        <v>445</v>
      </c>
      <c r="B400" s="2" t="s">
        <v>18</v>
      </c>
      <c r="C400" s="2" t="s">
        <v>24</v>
      </c>
      <c r="D400" s="8" t="s">
        <v>618</v>
      </c>
      <c r="E400" s="6">
        <v>45208.0</v>
      </c>
      <c r="F400" s="6">
        <v>45388.0</v>
      </c>
      <c r="G400" s="7">
        <v>6.374609108E9</v>
      </c>
      <c r="H400" s="2" t="s">
        <v>21</v>
      </c>
      <c r="I400" s="2">
        <f t="shared" ref="I400:P400" si="403">IF(ISBLANK(A400)=TRUE,0,1)</f>
        <v>1</v>
      </c>
      <c r="J400" s="2">
        <f t="shared" si="403"/>
        <v>1</v>
      </c>
      <c r="K400" s="2">
        <f t="shared" si="403"/>
        <v>1</v>
      </c>
      <c r="L400" s="2">
        <f t="shared" si="403"/>
        <v>1</v>
      </c>
      <c r="M400" s="2">
        <f t="shared" si="403"/>
        <v>1</v>
      </c>
      <c r="N400" s="2">
        <f t="shared" si="403"/>
        <v>1</v>
      </c>
      <c r="O400" s="2">
        <f t="shared" si="403"/>
        <v>1</v>
      </c>
      <c r="P400" s="2">
        <f t="shared" si="403"/>
        <v>1</v>
      </c>
      <c r="Q400" s="2">
        <f t="shared" si="3"/>
        <v>1</v>
      </c>
      <c r="R400" s="2">
        <f>IF(ISERROR(VLOOKUP(A400, 'Project Reference'!A:A, 1, FALSE)), 0, 1)</f>
        <v>1</v>
      </c>
      <c r="S400" s="2">
        <f>IFERROR(__xludf.DUMMYFUNCTION("IF(AND(REGEXMATCH(D400, B400), REGEXMATCH(D400, C400)), 1, 0)
"),1.0)</f>
        <v>1</v>
      </c>
      <c r="T400" s="2">
        <f t="shared" si="4"/>
        <v>1</v>
      </c>
      <c r="U400" s="2">
        <f t="shared" si="5"/>
        <v>1</v>
      </c>
      <c r="V400" s="2">
        <f t="shared" si="6"/>
        <v>1</v>
      </c>
    </row>
    <row r="401" ht="14.25" customHeight="1">
      <c r="A401" s="2" t="s">
        <v>446</v>
      </c>
      <c r="B401" s="2" t="s">
        <v>30</v>
      </c>
      <c r="C401" s="2" t="s">
        <v>48</v>
      </c>
      <c r="D401" s="8" t="s">
        <v>620</v>
      </c>
      <c r="E401" s="6">
        <v>45208.0</v>
      </c>
      <c r="F401" s="6">
        <v>45271.0</v>
      </c>
      <c r="G401" s="7">
        <v>2.805083829E9</v>
      </c>
      <c r="H401" s="8" t="s">
        <v>581</v>
      </c>
      <c r="I401" s="2">
        <f t="shared" ref="I401:P401" si="404">IF(ISBLANK(A401)=TRUE,0,1)</f>
        <v>1</v>
      </c>
      <c r="J401" s="2">
        <f t="shared" si="404"/>
        <v>1</v>
      </c>
      <c r="K401" s="2">
        <f t="shared" si="404"/>
        <v>1</v>
      </c>
      <c r="L401" s="2">
        <f t="shared" si="404"/>
        <v>1</v>
      </c>
      <c r="M401" s="2">
        <f t="shared" si="404"/>
        <v>1</v>
      </c>
      <c r="N401" s="2">
        <f t="shared" si="404"/>
        <v>1</v>
      </c>
      <c r="O401" s="2">
        <f t="shared" si="404"/>
        <v>1</v>
      </c>
      <c r="P401" s="2">
        <f t="shared" si="404"/>
        <v>1</v>
      </c>
      <c r="Q401" s="2">
        <f t="shared" si="3"/>
        <v>1</v>
      </c>
      <c r="R401" s="2">
        <f>IF(ISERROR(VLOOKUP(A401, 'Project Reference'!A:A, 1, FALSE)), 0, 1)</f>
        <v>1</v>
      </c>
      <c r="S401" s="2">
        <f>IFERROR(__xludf.DUMMYFUNCTION("IF(AND(REGEXMATCH(D401, B401), REGEXMATCH(D401, C401)), 1, 0)
"),1.0)</f>
        <v>1</v>
      </c>
      <c r="T401" s="2">
        <f t="shared" si="4"/>
        <v>1</v>
      </c>
      <c r="U401" s="2">
        <f t="shared" si="5"/>
        <v>1</v>
      </c>
      <c r="V401" s="2">
        <f t="shared" si="6"/>
        <v>1</v>
      </c>
    </row>
    <row r="402" ht="14.25" customHeight="1">
      <c r="A402" s="2" t="s">
        <v>447</v>
      </c>
      <c r="B402" s="2" t="s">
        <v>18</v>
      </c>
      <c r="C402" s="2" t="s">
        <v>13</v>
      </c>
      <c r="D402" s="8" t="s">
        <v>580</v>
      </c>
      <c r="E402" s="6">
        <v>45210.0</v>
      </c>
      <c r="F402" s="6">
        <v>45557.0</v>
      </c>
      <c r="G402" s="7">
        <v>7.779607484E9</v>
      </c>
      <c r="H402" s="8" t="s">
        <v>573</v>
      </c>
      <c r="I402" s="2">
        <f t="shared" ref="I402:P402" si="405">IF(ISBLANK(A402)=TRUE,0,1)</f>
        <v>1</v>
      </c>
      <c r="J402" s="2">
        <f t="shared" si="405"/>
        <v>1</v>
      </c>
      <c r="K402" s="2">
        <f t="shared" si="405"/>
        <v>1</v>
      </c>
      <c r="L402" s="2">
        <f t="shared" si="405"/>
        <v>1</v>
      </c>
      <c r="M402" s="2">
        <f t="shared" si="405"/>
        <v>1</v>
      </c>
      <c r="N402" s="2">
        <f t="shared" si="405"/>
        <v>1</v>
      </c>
      <c r="O402" s="2">
        <f t="shared" si="405"/>
        <v>1</v>
      </c>
      <c r="P402" s="2">
        <f t="shared" si="405"/>
        <v>1</v>
      </c>
      <c r="Q402" s="2">
        <f t="shared" si="3"/>
        <v>1</v>
      </c>
      <c r="R402" s="2">
        <f>IF(ISERROR(VLOOKUP(A402, 'Project Reference'!A:A, 1, FALSE)), 0, 1)</f>
        <v>1</v>
      </c>
      <c r="S402" s="2">
        <f>IFERROR(__xludf.DUMMYFUNCTION("IF(AND(REGEXMATCH(D402, B402), REGEXMATCH(D402, C402)), 1, 0)
"),1.0)</f>
        <v>1</v>
      </c>
      <c r="T402" s="2">
        <f t="shared" si="4"/>
        <v>1</v>
      </c>
      <c r="U402" s="2">
        <f t="shared" si="5"/>
        <v>1</v>
      </c>
      <c r="V402" s="2">
        <f t="shared" si="6"/>
        <v>1</v>
      </c>
    </row>
    <row r="403" ht="14.25" customHeight="1">
      <c r="A403" s="2" t="s">
        <v>448</v>
      </c>
      <c r="B403" s="2" t="s">
        <v>30</v>
      </c>
      <c r="C403" s="2" t="s">
        <v>13</v>
      </c>
      <c r="D403" s="8" t="s">
        <v>630</v>
      </c>
      <c r="E403" s="6">
        <v>45211.0</v>
      </c>
      <c r="F403" s="6">
        <v>45297.0</v>
      </c>
      <c r="G403" s="7">
        <v>1.204572808E9</v>
      </c>
      <c r="H403" s="22"/>
      <c r="I403" s="2">
        <f t="shared" ref="I403:P403" si="406">IF(ISBLANK(A403)=TRUE,0,1)</f>
        <v>1</v>
      </c>
      <c r="J403" s="2">
        <f t="shared" si="406"/>
        <v>1</v>
      </c>
      <c r="K403" s="2">
        <f t="shared" si="406"/>
        <v>1</v>
      </c>
      <c r="L403" s="2">
        <f t="shared" si="406"/>
        <v>1</v>
      </c>
      <c r="M403" s="2">
        <f t="shared" si="406"/>
        <v>1</v>
      </c>
      <c r="N403" s="2">
        <f t="shared" si="406"/>
        <v>1</v>
      </c>
      <c r="O403" s="2">
        <f t="shared" si="406"/>
        <v>1</v>
      </c>
      <c r="P403" s="2">
        <f t="shared" si="406"/>
        <v>0</v>
      </c>
      <c r="Q403" s="2">
        <f t="shared" si="3"/>
        <v>1</v>
      </c>
      <c r="R403" s="2">
        <f>IF(ISERROR(VLOOKUP(A403, 'Project Reference'!A:A, 1, FALSE)), 0, 1)</f>
        <v>1</v>
      </c>
      <c r="S403" s="2">
        <f>IFERROR(__xludf.DUMMYFUNCTION("IF(AND(REGEXMATCH(D403, B403), REGEXMATCH(D403, C403)), 1, 0)
"),1.0)</f>
        <v>1</v>
      </c>
      <c r="T403" s="2">
        <f t="shared" si="4"/>
        <v>1</v>
      </c>
      <c r="U403" s="2">
        <f t="shared" si="5"/>
        <v>1</v>
      </c>
      <c r="V403" s="2">
        <f t="shared" si="6"/>
        <v>1</v>
      </c>
    </row>
    <row r="404" ht="14.25" customHeight="1">
      <c r="A404" s="2" t="s">
        <v>449</v>
      </c>
      <c r="B404" s="2" t="s">
        <v>12</v>
      </c>
      <c r="C404" s="2" t="s">
        <v>24</v>
      </c>
      <c r="D404" s="8" t="s">
        <v>610</v>
      </c>
      <c r="E404" s="6">
        <v>45214.0</v>
      </c>
      <c r="F404" s="6">
        <v>45488.0</v>
      </c>
      <c r="G404" s="7">
        <v>9.09945479E8</v>
      </c>
      <c r="H404" s="2" t="s">
        <v>44</v>
      </c>
      <c r="I404" s="2">
        <f t="shared" ref="I404:P404" si="407">IF(ISBLANK(A404)=TRUE,0,1)</f>
        <v>1</v>
      </c>
      <c r="J404" s="2">
        <f t="shared" si="407"/>
        <v>1</v>
      </c>
      <c r="K404" s="2">
        <f t="shared" si="407"/>
        <v>1</v>
      </c>
      <c r="L404" s="2">
        <f t="shared" si="407"/>
        <v>1</v>
      </c>
      <c r="M404" s="2">
        <f t="shared" si="407"/>
        <v>1</v>
      </c>
      <c r="N404" s="2">
        <f t="shared" si="407"/>
        <v>1</v>
      </c>
      <c r="O404" s="2">
        <f t="shared" si="407"/>
        <v>1</v>
      </c>
      <c r="P404" s="2">
        <f t="shared" si="407"/>
        <v>1</v>
      </c>
      <c r="Q404" s="2">
        <f t="shared" si="3"/>
        <v>1</v>
      </c>
      <c r="R404" s="2">
        <f>IF(ISERROR(VLOOKUP(A404, 'Project Reference'!A:A, 1, FALSE)), 0, 1)</f>
        <v>1</v>
      </c>
      <c r="S404" s="2">
        <f>IFERROR(__xludf.DUMMYFUNCTION("IF(AND(REGEXMATCH(D404, B404), REGEXMATCH(D404, C404)), 1, 0)
"),1.0)</f>
        <v>1</v>
      </c>
      <c r="T404" s="2">
        <f t="shared" si="4"/>
        <v>1</v>
      </c>
      <c r="U404" s="2">
        <f t="shared" si="5"/>
        <v>1</v>
      </c>
      <c r="V404" s="2">
        <f t="shared" si="6"/>
        <v>1</v>
      </c>
    </row>
    <row r="405" ht="14.25" customHeight="1">
      <c r="A405" s="2" t="s">
        <v>450</v>
      </c>
      <c r="B405" s="2" t="s">
        <v>18</v>
      </c>
      <c r="C405" s="2" t="s">
        <v>39</v>
      </c>
      <c r="D405" s="8" t="s">
        <v>577</v>
      </c>
      <c r="E405" s="6">
        <v>45214.0</v>
      </c>
      <c r="F405" s="6">
        <v>45410.0</v>
      </c>
      <c r="G405" s="7">
        <v>5.167811974E9</v>
      </c>
      <c r="H405" s="22"/>
      <c r="I405" s="2">
        <f t="shared" ref="I405:P405" si="408">IF(ISBLANK(A405)=TRUE,0,1)</f>
        <v>1</v>
      </c>
      <c r="J405" s="2">
        <f t="shared" si="408"/>
        <v>1</v>
      </c>
      <c r="K405" s="2">
        <f t="shared" si="408"/>
        <v>1</v>
      </c>
      <c r="L405" s="2">
        <f t="shared" si="408"/>
        <v>1</v>
      </c>
      <c r="M405" s="2">
        <f t="shared" si="408"/>
        <v>1</v>
      </c>
      <c r="N405" s="2">
        <f t="shared" si="408"/>
        <v>1</v>
      </c>
      <c r="O405" s="2">
        <f t="shared" si="408"/>
        <v>1</v>
      </c>
      <c r="P405" s="2">
        <f t="shared" si="408"/>
        <v>0</v>
      </c>
      <c r="Q405" s="2">
        <f t="shared" si="3"/>
        <v>1</v>
      </c>
      <c r="R405" s="2">
        <f>IF(ISERROR(VLOOKUP(A405, 'Project Reference'!A:A, 1, FALSE)), 0, 1)</f>
        <v>1</v>
      </c>
      <c r="S405" s="2">
        <f>IFERROR(__xludf.DUMMYFUNCTION("IF(AND(REGEXMATCH(D405, B405), REGEXMATCH(D405, C405)), 1, 0)
"),1.0)</f>
        <v>1</v>
      </c>
      <c r="T405" s="2">
        <f t="shared" si="4"/>
        <v>1</v>
      </c>
      <c r="U405" s="2">
        <f t="shared" si="5"/>
        <v>1</v>
      </c>
      <c r="V405" s="2">
        <f t="shared" si="6"/>
        <v>1</v>
      </c>
    </row>
    <row r="406" ht="14.25" customHeight="1">
      <c r="A406" s="2" t="s">
        <v>451</v>
      </c>
      <c r="B406" s="2" t="s">
        <v>35</v>
      </c>
      <c r="C406" s="2" t="s">
        <v>39</v>
      </c>
      <c r="D406" s="2" t="s">
        <v>145</v>
      </c>
      <c r="E406" s="6">
        <v>45217.0</v>
      </c>
      <c r="F406" s="6">
        <v>45469.0</v>
      </c>
      <c r="G406" s="7">
        <v>3.20968841E8</v>
      </c>
      <c r="H406" s="2" t="s">
        <v>21</v>
      </c>
      <c r="I406" s="2">
        <f t="shared" ref="I406:P406" si="409">IF(ISBLANK(A406)=TRUE,0,1)</f>
        <v>1</v>
      </c>
      <c r="J406" s="2">
        <f t="shared" si="409"/>
        <v>1</v>
      </c>
      <c r="K406" s="2">
        <f t="shared" si="409"/>
        <v>1</v>
      </c>
      <c r="L406" s="2">
        <f t="shared" si="409"/>
        <v>1</v>
      </c>
      <c r="M406" s="2">
        <f t="shared" si="409"/>
        <v>1</v>
      </c>
      <c r="N406" s="2">
        <f t="shared" si="409"/>
        <v>1</v>
      </c>
      <c r="O406" s="2">
        <f t="shared" si="409"/>
        <v>1</v>
      </c>
      <c r="P406" s="2">
        <f t="shared" si="409"/>
        <v>1</v>
      </c>
      <c r="Q406" s="2">
        <f t="shared" si="3"/>
        <v>1</v>
      </c>
      <c r="R406" s="2">
        <f>IF(ISERROR(VLOOKUP(A406, 'Project Reference'!A:A, 1, FALSE)), 0, 1)</f>
        <v>1</v>
      </c>
      <c r="S406" s="2">
        <f>IFERROR(__xludf.DUMMYFUNCTION("IF(AND(REGEXMATCH(D406, B406), REGEXMATCH(D406, C406)), 1, 0)
"),1.0)</f>
        <v>1</v>
      </c>
      <c r="T406" s="2">
        <f t="shared" si="4"/>
        <v>1</v>
      </c>
      <c r="U406" s="2">
        <f t="shared" si="5"/>
        <v>1</v>
      </c>
      <c r="V406" s="2">
        <f t="shared" si="6"/>
        <v>1</v>
      </c>
    </row>
    <row r="407" ht="14.25" customHeight="1">
      <c r="A407" s="2" t="s">
        <v>452</v>
      </c>
      <c r="B407" s="2" t="s">
        <v>60</v>
      </c>
      <c r="C407" s="2" t="s">
        <v>39</v>
      </c>
      <c r="D407" s="8" t="s">
        <v>626</v>
      </c>
      <c r="E407" s="6">
        <v>45217.0</v>
      </c>
      <c r="F407" s="6">
        <v>45524.0</v>
      </c>
      <c r="G407" s="7">
        <v>2.879285863E9</v>
      </c>
      <c r="H407" s="2" t="s">
        <v>50</v>
      </c>
      <c r="I407" s="2">
        <f t="shared" ref="I407:P407" si="410">IF(ISBLANK(A407)=TRUE,0,1)</f>
        <v>1</v>
      </c>
      <c r="J407" s="2">
        <f t="shared" si="410"/>
        <v>1</v>
      </c>
      <c r="K407" s="2">
        <f t="shared" si="410"/>
        <v>1</v>
      </c>
      <c r="L407" s="2">
        <f t="shared" si="410"/>
        <v>1</v>
      </c>
      <c r="M407" s="2">
        <f t="shared" si="410"/>
        <v>1</v>
      </c>
      <c r="N407" s="2">
        <f t="shared" si="410"/>
        <v>1</v>
      </c>
      <c r="O407" s="2">
        <f t="shared" si="410"/>
        <v>1</v>
      </c>
      <c r="P407" s="2">
        <f t="shared" si="410"/>
        <v>1</v>
      </c>
      <c r="Q407" s="2">
        <f t="shared" si="3"/>
        <v>1</v>
      </c>
      <c r="R407" s="2">
        <f>IF(ISERROR(VLOOKUP(A407, 'Project Reference'!A:A, 1, FALSE)), 0, 1)</f>
        <v>1</v>
      </c>
      <c r="S407" s="2">
        <f>IFERROR(__xludf.DUMMYFUNCTION("IF(AND(REGEXMATCH(D407, B407), REGEXMATCH(D407, C407)), 1, 0)
"),1.0)</f>
        <v>1</v>
      </c>
      <c r="T407" s="2">
        <f t="shared" si="4"/>
        <v>1</v>
      </c>
      <c r="U407" s="2">
        <f t="shared" si="5"/>
        <v>1</v>
      </c>
      <c r="V407" s="2">
        <f t="shared" si="6"/>
        <v>1</v>
      </c>
    </row>
    <row r="408" ht="14.25" customHeight="1">
      <c r="A408" s="2" t="s">
        <v>453</v>
      </c>
      <c r="B408" s="2" t="s">
        <v>60</v>
      </c>
      <c r="C408" s="2" t="s">
        <v>13</v>
      </c>
      <c r="D408" s="8" t="s">
        <v>582</v>
      </c>
      <c r="E408" s="6">
        <v>45219.0</v>
      </c>
      <c r="F408" s="6">
        <v>45583.0</v>
      </c>
      <c r="G408" s="7">
        <v>4.595916165E9</v>
      </c>
      <c r="H408" s="2" t="s">
        <v>33</v>
      </c>
      <c r="I408" s="2">
        <f t="shared" ref="I408:P408" si="411">IF(ISBLANK(A408)=TRUE,0,1)</f>
        <v>1</v>
      </c>
      <c r="J408" s="2">
        <f t="shared" si="411"/>
        <v>1</v>
      </c>
      <c r="K408" s="2">
        <f t="shared" si="411"/>
        <v>1</v>
      </c>
      <c r="L408" s="2">
        <f t="shared" si="411"/>
        <v>1</v>
      </c>
      <c r="M408" s="2">
        <f t="shared" si="411"/>
        <v>1</v>
      </c>
      <c r="N408" s="2">
        <f t="shared" si="411"/>
        <v>1</v>
      </c>
      <c r="O408" s="2">
        <f t="shared" si="411"/>
        <v>1</v>
      </c>
      <c r="P408" s="2">
        <f t="shared" si="411"/>
        <v>1</v>
      </c>
      <c r="Q408" s="2">
        <f t="shared" si="3"/>
        <v>1</v>
      </c>
      <c r="R408" s="2">
        <f>IF(ISERROR(VLOOKUP(A408, 'Project Reference'!A:A, 1, FALSE)), 0, 1)</f>
        <v>1</v>
      </c>
      <c r="S408" s="2">
        <f>IFERROR(__xludf.DUMMYFUNCTION("IF(AND(REGEXMATCH(D408, B408), REGEXMATCH(D408, C408)), 1, 0)
"),1.0)</f>
        <v>1</v>
      </c>
      <c r="T408" s="2">
        <f t="shared" si="4"/>
        <v>1</v>
      </c>
      <c r="U408" s="2">
        <f t="shared" si="5"/>
        <v>1</v>
      </c>
      <c r="V408" s="2">
        <f t="shared" si="6"/>
        <v>1</v>
      </c>
    </row>
    <row r="409" ht="14.25" customHeight="1">
      <c r="A409" s="2" t="s">
        <v>454</v>
      </c>
      <c r="B409" s="2" t="s">
        <v>30</v>
      </c>
      <c r="C409" s="2" t="s">
        <v>48</v>
      </c>
      <c r="D409" s="8" t="s">
        <v>620</v>
      </c>
      <c r="E409" s="6">
        <v>45220.0</v>
      </c>
      <c r="F409" s="6">
        <v>45327.0</v>
      </c>
      <c r="G409" s="7">
        <v>1.29984874E9</v>
      </c>
      <c r="H409" s="2" t="s">
        <v>67</v>
      </c>
      <c r="I409" s="2">
        <f t="shared" ref="I409:P409" si="412">IF(ISBLANK(A409)=TRUE,0,1)</f>
        <v>1</v>
      </c>
      <c r="J409" s="2">
        <f t="shared" si="412"/>
        <v>1</v>
      </c>
      <c r="K409" s="2">
        <f t="shared" si="412"/>
        <v>1</v>
      </c>
      <c r="L409" s="2">
        <f t="shared" si="412"/>
        <v>1</v>
      </c>
      <c r="M409" s="2">
        <f t="shared" si="412"/>
        <v>1</v>
      </c>
      <c r="N409" s="2">
        <f t="shared" si="412"/>
        <v>1</v>
      </c>
      <c r="O409" s="2">
        <f t="shared" si="412"/>
        <v>1</v>
      </c>
      <c r="P409" s="2">
        <f t="shared" si="412"/>
        <v>1</v>
      </c>
      <c r="Q409" s="2">
        <f t="shared" si="3"/>
        <v>1</v>
      </c>
      <c r="R409" s="2">
        <f>IF(ISERROR(VLOOKUP(A409, 'Project Reference'!A:A, 1, FALSE)), 0, 1)</f>
        <v>1</v>
      </c>
      <c r="S409" s="2">
        <f>IFERROR(__xludf.DUMMYFUNCTION("IF(AND(REGEXMATCH(D409, B409), REGEXMATCH(D409, C409)), 1, 0)
"),1.0)</f>
        <v>1</v>
      </c>
      <c r="T409" s="2">
        <f t="shared" si="4"/>
        <v>1</v>
      </c>
      <c r="U409" s="2">
        <f t="shared" si="5"/>
        <v>1</v>
      </c>
      <c r="V409" s="2">
        <f t="shared" si="6"/>
        <v>1</v>
      </c>
    </row>
    <row r="410" ht="14.25" customHeight="1">
      <c r="A410" s="2" t="s">
        <v>455</v>
      </c>
      <c r="B410" s="2" t="s">
        <v>18</v>
      </c>
      <c r="C410" s="2" t="s">
        <v>48</v>
      </c>
      <c r="D410" s="8" t="s">
        <v>629</v>
      </c>
      <c r="E410" s="6">
        <v>45221.0</v>
      </c>
      <c r="F410" s="6">
        <v>45307.0</v>
      </c>
      <c r="G410" s="7">
        <v>3.206827076E9</v>
      </c>
      <c r="H410" s="2" t="s">
        <v>50</v>
      </c>
      <c r="I410" s="2">
        <f t="shared" ref="I410:P410" si="413">IF(ISBLANK(A410)=TRUE,0,1)</f>
        <v>1</v>
      </c>
      <c r="J410" s="2">
        <f t="shared" si="413"/>
        <v>1</v>
      </c>
      <c r="K410" s="2">
        <f t="shared" si="413"/>
        <v>1</v>
      </c>
      <c r="L410" s="2">
        <f t="shared" si="413"/>
        <v>1</v>
      </c>
      <c r="M410" s="2">
        <f t="shared" si="413"/>
        <v>1</v>
      </c>
      <c r="N410" s="2">
        <f t="shared" si="413"/>
        <v>1</v>
      </c>
      <c r="O410" s="2">
        <f t="shared" si="413"/>
        <v>1</v>
      </c>
      <c r="P410" s="2">
        <f t="shared" si="413"/>
        <v>1</v>
      </c>
      <c r="Q410" s="2">
        <f t="shared" si="3"/>
        <v>1</v>
      </c>
      <c r="R410" s="2">
        <f>IF(ISERROR(VLOOKUP(A410, 'Project Reference'!A:A, 1, FALSE)), 0, 1)</f>
        <v>1</v>
      </c>
      <c r="S410" s="2">
        <f>IFERROR(__xludf.DUMMYFUNCTION("IF(AND(REGEXMATCH(D410, B410), REGEXMATCH(D410, C410)), 1, 0)
"),1.0)</f>
        <v>1</v>
      </c>
      <c r="T410" s="2">
        <f t="shared" si="4"/>
        <v>1</v>
      </c>
      <c r="U410" s="2">
        <f t="shared" si="5"/>
        <v>1</v>
      </c>
      <c r="V410" s="2">
        <f t="shared" si="6"/>
        <v>1</v>
      </c>
    </row>
    <row r="411" ht="14.25" customHeight="1">
      <c r="A411" s="2" t="s">
        <v>456</v>
      </c>
      <c r="B411" s="2" t="s">
        <v>35</v>
      </c>
      <c r="C411" s="2" t="s">
        <v>31</v>
      </c>
      <c r="D411" s="2" t="s">
        <v>91</v>
      </c>
      <c r="E411" s="6">
        <v>45222.0</v>
      </c>
      <c r="F411" s="6">
        <v>45341.0</v>
      </c>
      <c r="G411" s="7">
        <v>5.59804949E8</v>
      </c>
      <c r="H411" s="8" t="s">
        <v>581</v>
      </c>
      <c r="I411" s="2">
        <f t="shared" ref="I411:P411" si="414">IF(ISBLANK(A411)=TRUE,0,1)</f>
        <v>1</v>
      </c>
      <c r="J411" s="2">
        <f t="shared" si="414"/>
        <v>1</v>
      </c>
      <c r="K411" s="2">
        <f t="shared" si="414"/>
        <v>1</v>
      </c>
      <c r="L411" s="2">
        <f t="shared" si="414"/>
        <v>1</v>
      </c>
      <c r="M411" s="2">
        <f t="shared" si="414"/>
        <v>1</v>
      </c>
      <c r="N411" s="2">
        <f t="shared" si="414"/>
        <v>1</v>
      </c>
      <c r="O411" s="2">
        <f t="shared" si="414"/>
        <v>1</v>
      </c>
      <c r="P411" s="2">
        <f t="shared" si="414"/>
        <v>1</v>
      </c>
      <c r="Q411" s="2">
        <f t="shared" si="3"/>
        <v>1</v>
      </c>
      <c r="R411" s="2">
        <f>IF(ISERROR(VLOOKUP(A411, 'Project Reference'!A:A, 1, FALSE)), 0, 1)</f>
        <v>1</v>
      </c>
      <c r="S411" s="2">
        <f>IFERROR(__xludf.DUMMYFUNCTION("IF(AND(REGEXMATCH(D411, B411), REGEXMATCH(D411, C411)), 1, 0)
"),1.0)</f>
        <v>1</v>
      </c>
      <c r="T411" s="2">
        <f t="shared" si="4"/>
        <v>1</v>
      </c>
      <c r="U411" s="2">
        <f t="shared" si="5"/>
        <v>1</v>
      </c>
      <c r="V411" s="2">
        <f t="shared" si="6"/>
        <v>1</v>
      </c>
    </row>
    <row r="412" ht="14.25" customHeight="1">
      <c r="A412" s="2" t="s">
        <v>457</v>
      </c>
      <c r="B412" s="2" t="s">
        <v>35</v>
      </c>
      <c r="C412" s="2" t="s">
        <v>19</v>
      </c>
      <c r="D412" s="2" t="s">
        <v>97</v>
      </c>
      <c r="E412" s="6">
        <v>45223.0</v>
      </c>
      <c r="F412" s="6">
        <v>45586.0</v>
      </c>
      <c r="G412" s="7">
        <v>5.82067969E8</v>
      </c>
      <c r="H412" s="22"/>
      <c r="I412" s="2">
        <f t="shared" ref="I412:P412" si="415">IF(ISBLANK(A412)=TRUE,0,1)</f>
        <v>1</v>
      </c>
      <c r="J412" s="2">
        <f t="shared" si="415"/>
        <v>1</v>
      </c>
      <c r="K412" s="2">
        <f t="shared" si="415"/>
        <v>1</v>
      </c>
      <c r="L412" s="2">
        <f t="shared" si="415"/>
        <v>1</v>
      </c>
      <c r="M412" s="2">
        <f t="shared" si="415"/>
        <v>1</v>
      </c>
      <c r="N412" s="2">
        <f t="shared" si="415"/>
        <v>1</v>
      </c>
      <c r="O412" s="2">
        <f t="shared" si="415"/>
        <v>1</v>
      </c>
      <c r="P412" s="2">
        <f t="shared" si="415"/>
        <v>0</v>
      </c>
      <c r="Q412" s="2">
        <f t="shared" si="3"/>
        <v>1</v>
      </c>
      <c r="R412" s="2">
        <f>IF(ISERROR(VLOOKUP(A412, 'Project Reference'!A:A, 1, FALSE)), 0, 1)</f>
        <v>1</v>
      </c>
      <c r="S412" s="2">
        <f>IFERROR(__xludf.DUMMYFUNCTION("IF(AND(REGEXMATCH(D412, B412), REGEXMATCH(D412, C412)), 1, 0)
"),1.0)</f>
        <v>1</v>
      </c>
      <c r="T412" s="2">
        <f t="shared" si="4"/>
        <v>1</v>
      </c>
      <c r="U412" s="2">
        <f t="shared" si="5"/>
        <v>1</v>
      </c>
      <c r="V412" s="2">
        <f t="shared" si="6"/>
        <v>1</v>
      </c>
    </row>
    <row r="413" ht="14.25" customHeight="1">
      <c r="A413" s="2" t="s">
        <v>458</v>
      </c>
      <c r="B413" s="2" t="s">
        <v>12</v>
      </c>
      <c r="C413" s="2" t="s">
        <v>13</v>
      </c>
      <c r="D413" s="8" t="s">
        <v>605</v>
      </c>
      <c r="E413" s="6">
        <v>45223.0</v>
      </c>
      <c r="F413" s="6">
        <v>45484.0</v>
      </c>
      <c r="G413" s="7">
        <v>6.85929486E8</v>
      </c>
      <c r="H413" s="2" t="s">
        <v>21</v>
      </c>
      <c r="I413" s="2">
        <f t="shared" ref="I413:P413" si="416">IF(ISBLANK(A413)=TRUE,0,1)</f>
        <v>1</v>
      </c>
      <c r="J413" s="2">
        <f t="shared" si="416"/>
        <v>1</v>
      </c>
      <c r="K413" s="2">
        <f t="shared" si="416"/>
        <v>1</v>
      </c>
      <c r="L413" s="2">
        <f t="shared" si="416"/>
        <v>1</v>
      </c>
      <c r="M413" s="2">
        <f t="shared" si="416"/>
        <v>1</v>
      </c>
      <c r="N413" s="2">
        <f t="shared" si="416"/>
        <v>1</v>
      </c>
      <c r="O413" s="2">
        <f t="shared" si="416"/>
        <v>1</v>
      </c>
      <c r="P413" s="2">
        <f t="shared" si="416"/>
        <v>1</v>
      </c>
      <c r="Q413" s="2">
        <f t="shared" si="3"/>
        <v>1</v>
      </c>
      <c r="R413" s="2">
        <f>IF(ISERROR(VLOOKUP(A413, 'Project Reference'!A:A, 1, FALSE)), 0, 1)</f>
        <v>1</v>
      </c>
      <c r="S413" s="2">
        <f>IFERROR(__xludf.DUMMYFUNCTION("IF(AND(REGEXMATCH(D413, B413), REGEXMATCH(D413, C413)), 1, 0)
"),1.0)</f>
        <v>1</v>
      </c>
      <c r="T413" s="2">
        <f t="shared" si="4"/>
        <v>1</v>
      </c>
      <c r="U413" s="2">
        <f t="shared" si="5"/>
        <v>1</v>
      </c>
      <c r="V413" s="2">
        <f t="shared" si="6"/>
        <v>1</v>
      </c>
    </row>
    <row r="414" ht="14.25" customHeight="1">
      <c r="A414" s="2" t="s">
        <v>459</v>
      </c>
      <c r="B414" s="2" t="s">
        <v>18</v>
      </c>
      <c r="C414" s="2" t="s">
        <v>39</v>
      </c>
      <c r="D414" s="8" t="s">
        <v>577</v>
      </c>
      <c r="E414" s="6">
        <v>45225.0</v>
      </c>
      <c r="F414" s="6">
        <v>45551.0</v>
      </c>
      <c r="G414" s="7">
        <v>2.626084542E9</v>
      </c>
      <c r="H414" s="8" t="s">
        <v>581</v>
      </c>
      <c r="I414" s="2">
        <f t="shared" ref="I414:P414" si="417">IF(ISBLANK(A414)=TRUE,0,1)</f>
        <v>1</v>
      </c>
      <c r="J414" s="2">
        <f t="shared" si="417"/>
        <v>1</v>
      </c>
      <c r="K414" s="2">
        <f t="shared" si="417"/>
        <v>1</v>
      </c>
      <c r="L414" s="2">
        <f t="shared" si="417"/>
        <v>1</v>
      </c>
      <c r="M414" s="2">
        <f t="shared" si="417"/>
        <v>1</v>
      </c>
      <c r="N414" s="2">
        <f t="shared" si="417"/>
        <v>1</v>
      </c>
      <c r="O414" s="2">
        <f t="shared" si="417"/>
        <v>1</v>
      </c>
      <c r="P414" s="2">
        <f t="shared" si="417"/>
        <v>1</v>
      </c>
      <c r="Q414" s="2">
        <f t="shared" si="3"/>
        <v>1</v>
      </c>
      <c r="R414" s="2">
        <f>IF(ISERROR(VLOOKUP(A414, 'Project Reference'!A:A, 1, FALSE)), 0, 1)</f>
        <v>1</v>
      </c>
      <c r="S414" s="2">
        <f>IFERROR(__xludf.DUMMYFUNCTION("IF(AND(REGEXMATCH(D414, B414), REGEXMATCH(D414, C414)), 1, 0)
"),1.0)</f>
        <v>1</v>
      </c>
      <c r="T414" s="2">
        <f t="shared" si="4"/>
        <v>1</v>
      </c>
      <c r="U414" s="2">
        <f t="shared" si="5"/>
        <v>1</v>
      </c>
      <c r="V414" s="2">
        <f t="shared" si="6"/>
        <v>1</v>
      </c>
    </row>
    <row r="415" ht="14.25" customHeight="1">
      <c r="A415" s="2" t="s">
        <v>460</v>
      </c>
      <c r="B415" s="2" t="s">
        <v>12</v>
      </c>
      <c r="C415" s="2" t="s">
        <v>24</v>
      </c>
      <c r="D415" s="8" t="s">
        <v>610</v>
      </c>
      <c r="E415" s="6">
        <v>45226.0</v>
      </c>
      <c r="F415" s="6">
        <v>45403.0</v>
      </c>
      <c r="G415" s="7">
        <v>8.93411259E8</v>
      </c>
      <c r="H415" s="2" t="s">
        <v>21</v>
      </c>
      <c r="I415" s="2">
        <f t="shared" ref="I415:P415" si="418">IF(ISBLANK(A415)=TRUE,0,1)</f>
        <v>1</v>
      </c>
      <c r="J415" s="2">
        <f t="shared" si="418"/>
        <v>1</v>
      </c>
      <c r="K415" s="2">
        <f t="shared" si="418"/>
        <v>1</v>
      </c>
      <c r="L415" s="2">
        <f t="shared" si="418"/>
        <v>1</v>
      </c>
      <c r="M415" s="2">
        <f t="shared" si="418"/>
        <v>1</v>
      </c>
      <c r="N415" s="2">
        <f t="shared" si="418"/>
        <v>1</v>
      </c>
      <c r="O415" s="2">
        <f t="shared" si="418"/>
        <v>1</v>
      </c>
      <c r="P415" s="2">
        <f t="shared" si="418"/>
        <v>1</v>
      </c>
      <c r="Q415" s="2">
        <f t="shared" si="3"/>
        <v>1</v>
      </c>
      <c r="R415" s="2">
        <f>IF(ISERROR(VLOOKUP(A415, 'Project Reference'!A:A, 1, FALSE)), 0, 1)</f>
        <v>1</v>
      </c>
      <c r="S415" s="2">
        <f>IFERROR(__xludf.DUMMYFUNCTION("IF(AND(REGEXMATCH(D415, B415), REGEXMATCH(D415, C415)), 1, 0)
"),1.0)</f>
        <v>1</v>
      </c>
      <c r="T415" s="2">
        <f t="shared" si="4"/>
        <v>1</v>
      </c>
      <c r="U415" s="2">
        <f t="shared" si="5"/>
        <v>1</v>
      </c>
      <c r="V415" s="2">
        <f t="shared" si="6"/>
        <v>1</v>
      </c>
    </row>
    <row r="416" ht="14.25" customHeight="1">
      <c r="A416" s="2" t="s">
        <v>461</v>
      </c>
      <c r="B416" s="2" t="s">
        <v>35</v>
      </c>
      <c r="C416" s="2" t="s">
        <v>42</v>
      </c>
      <c r="D416" s="2" t="s">
        <v>69</v>
      </c>
      <c r="E416" s="6">
        <v>45226.0</v>
      </c>
      <c r="F416" s="6">
        <v>45467.0</v>
      </c>
      <c r="G416" s="7">
        <v>2.64833844E8</v>
      </c>
      <c r="H416" s="2" t="s">
        <v>21</v>
      </c>
      <c r="I416" s="2">
        <f t="shared" ref="I416:P416" si="419">IF(ISBLANK(A416)=TRUE,0,1)</f>
        <v>1</v>
      </c>
      <c r="J416" s="2">
        <f t="shared" si="419"/>
        <v>1</v>
      </c>
      <c r="K416" s="2">
        <f t="shared" si="419"/>
        <v>1</v>
      </c>
      <c r="L416" s="2">
        <f t="shared" si="419"/>
        <v>1</v>
      </c>
      <c r="M416" s="2">
        <f t="shared" si="419"/>
        <v>1</v>
      </c>
      <c r="N416" s="2">
        <f t="shared" si="419"/>
        <v>1</v>
      </c>
      <c r="O416" s="2">
        <f t="shared" si="419"/>
        <v>1</v>
      </c>
      <c r="P416" s="2">
        <f t="shared" si="419"/>
        <v>1</v>
      </c>
      <c r="Q416" s="2">
        <f t="shared" si="3"/>
        <v>1</v>
      </c>
      <c r="R416" s="2">
        <f>IF(ISERROR(VLOOKUP(A416, 'Project Reference'!A:A, 1, FALSE)), 0, 1)</f>
        <v>1</v>
      </c>
      <c r="S416" s="2">
        <f>IFERROR(__xludf.DUMMYFUNCTION("IF(AND(REGEXMATCH(D416, B416), REGEXMATCH(D416, C416)), 1, 0)
"),1.0)</f>
        <v>1</v>
      </c>
      <c r="T416" s="2">
        <f t="shared" si="4"/>
        <v>1</v>
      </c>
      <c r="U416" s="2">
        <f t="shared" si="5"/>
        <v>1</v>
      </c>
      <c r="V416" s="2">
        <f t="shared" si="6"/>
        <v>1</v>
      </c>
    </row>
    <row r="417" ht="14.25" customHeight="1">
      <c r="A417" s="2" t="s">
        <v>462</v>
      </c>
      <c r="B417" s="2" t="s">
        <v>35</v>
      </c>
      <c r="C417" s="2" t="s">
        <v>39</v>
      </c>
      <c r="D417" s="2" t="s">
        <v>145</v>
      </c>
      <c r="E417" s="6">
        <v>45226.0</v>
      </c>
      <c r="F417" s="6">
        <v>45426.0</v>
      </c>
      <c r="G417" s="7">
        <v>5.88269229E8</v>
      </c>
      <c r="H417" s="2" t="s">
        <v>50</v>
      </c>
      <c r="I417" s="2">
        <f t="shared" ref="I417:P417" si="420">IF(ISBLANK(A417)=TRUE,0,1)</f>
        <v>1</v>
      </c>
      <c r="J417" s="2">
        <f t="shared" si="420"/>
        <v>1</v>
      </c>
      <c r="K417" s="2">
        <f t="shared" si="420"/>
        <v>1</v>
      </c>
      <c r="L417" s="2">
        <f t="shared" si="420"/>
        <v>1</v>
      </c>
      <c r="M417" s="2">
        <f t="shared" si="420"/>
        <v>1</v>
      </c>
      <c r="N417" s="2">
        <f t="shared" si="420"/>
        <v>1</v>
      </c>
      <c r="O417" s="2">
        <f t="shared" si="420"/>
        <v>1</v>
      </c>
      <c r="P417" s="2">
        <f t="shared" si="420"/>
        <v>1</v>
      </c>
      <c r="Q417" s="2">
        <f t="shared" si="3"/>
        <v>1</v>
      </c>
      <c r="R417" s="2">
        <f>IF(ISERROR(VLOOKUP(A417, 'Project Reference'!A:A, 1, FALSE)), 0, 1)</f>
        <v>1</v>
      </c>
      <c r="S417" s="2">
        <f>IFERROR(__xludf.DUMMYFUNCTION("IF(AND(REGEXMATCH(D417, B417), REGEXMATCH(D417, C417)), 1, 0)
"),1.0)</f>
        <v>1</v>
      </c>
      <c r="T417" s="2">
        <f t="shared" si="4"/>
        <v>1</v>
      </c>
      <c r="U417" s="2">
        <f t="shared" si="5"/>
        <v>1</v>
      </c>
      <c r="V417" s="2">
        <f t="shared" si="6"/>
        <v>1</v>
      </c>
    </row>
    <row r="418" ht="14.25" customHeight="1">
      <c r="A418" s="2" t="s">
        <v>463</v>
      </c>
      <c r="B418" s="2" t="s">
        <v>35</v>
      </c>
      <c r="C418" s="2" t="s">
        <v>31</v>
      </c>
      <c r="D418" s="2" t="s">
        <v>91</v>
      </c>
      <c r="E418" s="6">
        <v>45227.0</v>
      </c>
      <c r="F418" s="6">
        <v>45478.0</v>
      </c>
      <c r="G418" s="7">
        <v>6.91409314E8</v>
      </c>
      <c r="H418" s="2" t="s">
        <v>33</v>
      </c>
      <c r="I418" s="2">
        <f t="shared" ref="I418:P418" si="421">IF(ISBLANK(A418)=TRUE,0,1)</f>
        <v>1</v>
      </c>
      <c r="J418" s="2">
        <f t="shared" si="421"/>
        <v>1</v>
      </c>
      <c r="K418" s="2">
        <f t="shared" si="421"/>
        <v>1</v>
      </c>
      <c r="L418" s="2">
        <f t="shared" si="421"/>
        <v>1</v>
      </c>
      <c r="M418" s="2">
        <f t="shared" si="421"/>
        <v>1</v>
      </c>
      <c r="N418" s="2">
        <f t="shared" si="421"/>
        <v>1</v>
      </c>
      <c r="O418" s="2">
        <f t="shared" si="421"/>
        <v>1</v>
      </c>
      <c r="P418" s="2">
        <f t="shared" si="421"/>
        <v>1</v>
      </c>
      <c r="Q418" s="2">
        <f t="shared" si="3"/>
        <v>1</v>
      </c>
      <c r="R418" s="2">
        <f>IF(ISERROR(VLOOKUP(A418, 'Project Reference'!A:A, 1, FALSE)), 0, 1)</f>
        <v>1</v>
      </c>
      <c r="S418" s="2">
        <f>IFERROR(__xludf.DUMMYFUNCTION("IF(AND(REGEXMATCH(D418, B418), REGEXMATCH(D418, C418)), 1, 0)
"),1.0)</f>
        <v>1</v>
      </c>
      <c r="T418" s="2">
        <f t="shared" si="4"/>
        <v>1</v>
      </c>
      <c r="U418" s="2">
        <f t="shared" si="5"/>
        <v>1</v>
      </c>
      <c r="V418" s="2">
        <f t="shared" si="6"/>
        <v>1</v>
      </c>
    </row>
    <row r="419" ht="14.25" customHeight="1">
      <c r="A419" s="2" t="s">
        <v>464</v>
      </c>
      <c r="B419" s="2" t="s">
        <v>12</v>
      </c>
      <c r="C419" s="2" t="s">
        <v>42</v>
      </c>
      <c r="D419" s="8" t="s">
        <v>603</v>
      </c>
      <c r="E419" s="6">
        <v>45228.0</v>
      </c>
      <c r="F419" s="6">
        <v>45583.0</v>
      </c>
      <c r="G419" s="7">
        <v>2.42272002E8</v>
      </c>
      <c r="H419" s="22"/>
      <c r="I419" s="2">
        <f t="shared" ref="I419:P419" si="422">IF(ISBLANK(A419)=TRUE,0,1)</f>
        <v>1</v>
      </c>
      <c r="J419" s="2">
        <f t="shared" si="422"/>
        <v>1</v>
      </c>
      <c r="K419" s="2">
        <f t="shared" si="422"/>
        <v>1</v>
      </c>
      <c r="L419" s="2">
        <f t="shared" si="422"/>
        <v>1</v>
      </c>
      <c r="M419" s="2">
        <f t="shared" si="422"/>
        <v>1</v>
      </c>
      <c r="N419" s="2">
        <f t="shared" si="422"/>
        <v>1</v>
      </c>
      <c r="O419" s="2">
        <f t="shared" si="422"/>
        <v>1</v>
      </c>
      <c r="P419" s="2">
        <f t="shared" si="422"/>
        <v>0</v>
      </c>
      <c r="Q419" s="2">
        <f t="shared" si="3"/>
        <v>1</v>
      </c>
      <c r="R419" s="2">
        <f>IF(ISERROR(VLOOKUP(A419, 'Project Reference'!A:A, 1, FALSE)), 0, 1)</f>
        <v>1</v>
      </c>
      <c r="S419" s="2">
        <f>IFERROR(__xludf.DUMMYFUNCTION("IF(AND(REGEXMATCH(D419, B419), REGEXMATCH(D419, C419)), 1, 0)
"),1.0)</f>
        <v>1</v>
      </c>
      <c r="T419" s="2">
        <f t="shared" si="4"/>
        <v>1</v>
      </c>
      <c r="U419" s="2">
        <f t="shared" si="5"/>
        <v>1</v>
      </c>
      <c r="V419" s="2">
        <f t="shared" si="6"/>
        <v>1</v>
      </c>
    </row>
    <row r="420" ht="14.25" customHeight="1">
      <c r="A420" s="2" t="s">
        <v>465</v>
      </c>
      <c r="B420" s="2" t="s">
        <v>30</v>
      </c>
      <c r="C420" s="2" t="s">
        <v>48</v>
      </c>
      <c r="D420" s="8" t="s">
        <v>615</v>
      </c>
      <c r="E420" s="6">
        <v>45228.0</v>
      </c>
      <c r="F420" s="6">
        <v>45515.0</v>
      </c>
      <c r="G420" s="7">
        <v>1.906777116E9</v>
      </c>
      <c r="H420" s="2" t="s">
        <v>44</v>
      </c>
      <c r="I420" s="2">
        <f t="shared" ref="I420:P420" si="423">IF(ISBLANK(A420)=TRUE,0,1)</f>
        <v>1</v>
      </c>
      <c r="J420" s="2">
        <f t="shared" si="423"/>
        <v>1</v>
      </c>
      <c r="K420" s="2">
        <f t="shared" si="423"/>
        <v>1</v>
      </c>
      <c r="L420" s="2">
        <f t="shared" si="423"/>
        <v>1</v>
      </c>
      <c r="M420" s="2">
        <f t="shared" si="423"/>
        <v>1</v>
      </c>
      <c r="N420" s="2">
        <f t="shared" si="423"/>
        <v>1</v>
      </c>
      <c r="O420" s="2">
        <f t="shared" si="423"/>
        <v>1</v>
      </c>
      <c r="P420" s="2">
        <f t="shared" si="423"/>
        <v>1</v>
      </c>
      <c r="Q420" s="2">
        <f t="shared" si="3"/>
        <v>1</v>
      </c>
      <c r="R420" s="2">
        <f>IF(ISERROR(VLOOKUP(A420, 'Project Reference'!A:A, 1, FALSE)), 0, 1)</f>
        <v>1</v>
      </c>
      <c r="S420" s="2">
        <f>IFERROR(__xludf.DUMMYFUNCTION("IF(AND(REGEXMATCH(D420, B420), REGEXMATCH(D420, C420)), 1, 0)
"),1.0)</f>
        <v>1</v>
      </c>
      <c r="T420" s="2">
        <f t="shared" si="4"/>
        <v>1</v>
      </c>
      <c r="U420" s="2">
        <f t="shared" si="5"/>
        <v>1</v>
      </c>
      <c r="V420" s="2">
        <f t="shared" si="6"/>
        <v>1</v>
      </c>
    </row>
    <row r="421" ht="14.25" customHeight="1">
      <c r="A421" s="2" t="s">
        <v>466</v>
      </c>
      <c r="B421" s="2" t="s">
        <v>35</v>
      </c>
      <c r="C421" s="2" t="s">
        <v>24</v>
      </c>
      <c r="D421" s="2" t="s">
        <v>133</v>
      </c>
      <c r="E421" s="6">
        <v>45229.0</v>
      </c>
      <c r="F421" s="6">
        <v>45334.0</v>
      </c>
      <c r="G421" s="7">
        <v>3.25400177E8</v>
      </c>
      <c r="H421" s="22"/>
      <c r="I421" s="2">
        <f t="shared" ref="I421:P421" si="424">IF(ISBLANK(A421)=TRUE,0,1)</f>
        <v>1</v>
      </c>
      <c r="J421" s="2">
        <f t="shared" si="424"/>
        <v>1</v>
      </c>
      <c r="K421" s="2">
        <f t="shared" si="424"/>
        <v>1</v>
      </c>
      <c r="L421" s="2">
        <f t="shared" si="424"/>
        <v>1</v>
      </c>
      <c r="M421" s="2">
        <f t="shared" si="424"/>
        <v>1</v>
      </c>
      <c r="N421" s="2">
        <f t="shared" si="424"/>
        <v>1</v>
      </c>
      <c r="O421" s="2">
        <f t="shared" si="424"/>
        <v>1</v>
      </c>
      <c r="P421" s="2">
        <f t="shared" si="424"/>
        <v>0</v>
      </c>
      <c r="Q421" s="2">
        <f t="shared" si="3"/>
        <v>1</v>
      </c>
      <c r="R421" s="2">
        <f>IF(ISERROR(VLOOKUP(A421, 'Project Reference'!A:A, 1, FALSE)), 0, 1)</f>
        <v>1</v>
      </c>
      <c r="S421" s="2">
        <f>IFERROR(__xludf.DUMMYFUNCTION("IF(AND(REGEXMATCH(D421, B421), REGEXMATCH(D421, C421)), 1, 0)
"),1.0)</f>
        <v>1</v>
      </c>
      <c r="T421" s="2">
        <f t="shared" si="4"/>
        <v>1</v>
      </c>
      <c r="U421" s="2">
        <f t="shared" si="5"/>
        <v>1</v>
      </c>
      <c r="V421" s="2">
        <f t="shared" si="6"/>
        <v>1</v>
      </c>
    </row>
    <row r="422" ht="14.25" customHeight="1">
      <c r="A422" s="2" t="s">
        <v>467</v>
      </c>
      <c r="B422" s="2" t="s">
        <v>12</v>
      </c>
      <c r="C422" s="2" t="s">
        <v>42</v>
      </c>
      <c r="D422" s="8" t="s">
        <v>603</v>
      </c>
      <c r="E422" s="6">
        <v>45230.0</v>
      </c>
      <c r="F422" s="6">
        <v>45529.0</v>
      </c>
      <c r="G422" s="7">
        <v>1.31415829E8</v>
      </c>
      <c r="H422" s="2" t="s">
        <v>50</v>
      </c>
      <c r="I422" s="2">
        <f t="shared" ref="I422:P422" si="425">IF(ISBLANK(A422)=TRUE,0,1)</f>
        <v>1</v>
      </c>
      <c r="J422" s="2">
        <f t="shared" si="425"/>
        <v>1</v>
      </c>
      <c r="K422" s="2">
        <f t="shared" si="425"/>
        <v>1</v>
      </c>
      <c r="L422" s="2">
        <f t="shared" si="425"/>
        <v>1</v>
      </c>
      <c r="M422" s="2">
        <f t="shared" si="425"/>
        <v>1</v>
      </c>
      <c r="N422" s="2">
        <f t="shared" si="425"/>
        <v>1</v>
      </c>
      <c r="O422" s="2">
        <f t="shared" si="425"/>
        <v>1</v>
      </c>
      <c r="P422" s="2">
        <f t="shared" si="425"/>
        <v>1</v>
      </c>
      <c r="Q422" s="2">
        <f t="shared" si="3"/>
        <v>1</v>
      </c>
      <c r="R422" s="2">
        <f>IF(ISERROR(VLOOKUP(A422, 'Project Reference'!A:A, 1, FALSE)), 0, 1)</f>
        <v>1</v>
      </c>
      <c r="S422" s="2">
        <f>IFERROR(__xludf.DUMMYFUNCTION("IF(AND(REGEXMATCH(D422, B422), REGEXMATCH(D422, C422)), 1, 0)
"),1.0)</f>
        <v>1</v>
      </c>
      <c r="T422" s="2">
        <f t="shared" si="4"/>
        <v>1</v>
      </c>
      <c r="U422" s="2">
        <f t="shared" si="5"/>
        <v>1</v>
      </c>
      <c r="V422" s="2">
        <f t="shared" si="6"/>
        <v>1</v>
      </c>
    </row>
    <row r="423" ht="14.25" customHeight="1">
      <c r="A423" s="2" t="s">
        <v>468</v>
      </c>
      <c r="B423" s="2" t="s">
        <v>35</v>
      </c>
      <c r="C423" s="2" t="s">
        <v>19</v>
      </c>
      <c r="D423" s="2" t="s">
        <v>97</v>
      </c>
      <c r="E423" s="6">
        <v>45230.0</v>
      </c>
      <c r="F423" s="6">
        <v>45310.0</v>
      </c>
      <c r="G423" s="7">
        <v>4.35534089E8</v>
      </c>
      <c r="H423" s="2" t="s">
        <v>67</v>
      </c>
      <c r="I423" s="2">
        <f t="shared" ref="I423:P423" si="426">IF(ISBLANK(A423)=TRUE,0,1)</f>
        <v>1</v>
      </c>
      <c r="J423" s="2">
        <f t="shared" si="426"/>
        <v>1</v>
      </c>
      <c r="K423" s="2">
        <f t="shared" si="426"/>
        <v>1</v>
      </c>
      <c r="L423" s="2">
        <f t="shared" si="426"/>
        <v>1</v>
      </c>
      <c r="M423" s="2">
        <f t="shared" si="426"/>
        <v>1</v>
      </c>
      <c r="N423" s="2">
        <f t="shared" si="426"/>
        <v>1</v>
      </c>
      <c r="O423" s="2">
        <f t="shared" si="426"/>
        <v>1</v>
      </c>
      <c r="P423" s="2">
        <f t="shared" si="426"/>
        <v>1</v>
      </c>
      <c r="Q423" s="2">
        <f t="shared" si="3"/>
        <v>1</v>
      </c>
      <c r="R423" s="2">
        <f>IF(ISERROR(VLOOKUP(A423, 'Project Reference'!A:A, 1, FALSE)), 0, 1)</f>
        <v>1</v>
      </c>
      <c r="S423" s="2">
        <f>IFERROR(__xludf.DUMMYFUNCTION("IF(AND(REGEXMATCH(D423, B423), REGEXMATCH(D423, C423)), 1, 0)
"),1.0)</f>
        <v>1</v>
      </c>
      <c r="T423" s="2">
        <f t="shared" si="4"/>
        <v>1</v>
      </c>
      <c r="U423" s="2">
        <f t="shared" si="5"/>
        <v>1</v>
      </c>
      <c r="V423" s="2">
        <f t="shared" si="6"/>
        <v>1</v>
      </c>
    </row>
    <row r="424" ht="14.25" customHeight="1">
      <c r="A424" s="2" t="s">
        <v>469</v>
      </c>
      <c r="B424" s="2" t="s">
        <v>18</v>
      </c>
      <c r="C424" s="2" t="s">
        <v>39</v>
      </c>
      <c r="D424" s="8" t="s">
        <v>577</v>
      </c>
      <c r="E424" s="6">
        <v>45231.0</v>
      </c>
      <c r="F424" s="6">
        <v>45268.0</v>
      </c>
      <c r="G424" s="7">
        <v>1.107624052E9</v>
      </c>
      <c r="H424" s="2" t="s">
        <v>44</v>
      </c>
      <c r="I424" s="2">
        <f t="shared" ref="I424:P424" si="427">IF(ISBLANK(A424)=TRUE,0,1)</f>
        <v>1</v>
      </c>
      <c r="J424" s="2">
        <f t="shared" si="427"/>
        <v>1</v>
      </c>
      <c r="K424" s="2">
        <f t="shared" si="427"/>
        <v>1</v>
      </c>
      <c r="L424" s="2">
        <f t="shared" si="427"/>
        <v>1</v>
      </c>
      <c r="M424" s="2">
        <f t="shared" si="427"/>
        <v>1</v>
      </c>
      <c r="N424" s="2">
        <f t="shared" si="427"/>
        <v>1</v>
      </c>
      <c r="O424" s="2">
        <f t="shared" si="427"/>
        <v>1</v>
      </c>
      <c r="P424" s="2">
        <f t="shared" si="427"/>
        <v>1</v>
      </c>
      <c r="Q424" s="2">
        <f t="shared" si="3"/>
        <v>1</v>
      </c>
      <c r="R424" s="2">
        <f>IF(ISERROR(VLOOKUP(A424, 'Project Reference'!A:A, 1, FALSE)), 0, 1)</f>
        <v>1</v>
      </c>
      <c r="S424" s="2">
        <f>IFERROR(__xludf.DUMMYFUNCTION("IF(AND(REGEXMATCH(D424, B424), REGEXMATCH(D424, C424)), 1, 0)
"),1.0)</f>
        <v>1</v>
      </c>
      <c r="T424" s="2">
        <f t="shared" si="4"/>
        <v>1</v>
      </c>
      <c r="U424" s="2">
        <f t="shared" si="5"/>
        <v>1</v>
      </c>
      <c r="V424" s="2">
        <f t="shared" si="6"/>
        <v>1</v>
      </c>
    </row>
    <row r="425" ht="14.25" customHeight="1">
      <c r="A425" s="2" t="s">
        <v>470</v>
      </c>
      <c r="B425" s="2" t="s">
        <v>30</v>
      </c>
      <c r="C425" s="2" t="s">
        <v>19</v>
      </c>
      <c r="D425" s="8" t="s">
        <v>624</v>
      </c>
      <c r="E425" s="6">
        <v>45231.0</v>
      </c>
      <c r="F425" s="6">
        <v>45434.0</v>
      </c>
      <c r="G425" s="7">
        <v>4.91363432E9</v>
      </c>
      <c r="H425" s="22"/>
      <c r="I425" s="2">
        <f t="shared" ref="I425:P425" si="428">IF(ISBLANK(A425)=TRUE,0,1)</f>
        <v>1</v>
      </c>
      <c r="J425" s="2">
        <f t="shared" si="428"/>
        <v>1</v>
      </c>
      <c r="K425" s="2">
        <f t="shared" si="428"/>
        <v>1</v>
      </c>
      <c r="L425" s="2">
        <f t="shared" si="428"/>
        <v>1</v>
      </c>
      <c r="M425" s="2">
        <f t="shared" si="428"/>
        <v>1</v>
      </c>
      <c r="N425" s="2">
        <f t="shared" si="428"/>
        <v>1</v>
      </c>
      <c r="O425" s="2">
        <f t="shared" si="428"/>
        <v>1</v>
      </c>
      <c r="P425" s="2">
        <f t="shared" si="428"/>
        <v>0</v>
      </c>
      <c r="Q425" s="2">
        <f t="shared" si="3"/>
        <v>1</v>
      </c>
      <c r="R425" s="2">
        <f>IF(ISERROR(VLOOKUP(A425, 'Project Reference'!A:A, 1, FALSE)), 0, 1)</f>
        <v>1</v>
      </c>
      <c r="S425" s="2">
        <f>IFERROR(__xludf.DUMMYFUNCTION("IF(AND(REGEXMATCH(D425, B425), REGEXMATCH(D425, C425)), 1, 0)
"),1.0)</f>
        <v>1</v>
      </c>
      <c r="T425" s="2">
        <f t="shared" si="4"/>
        <v>1</v>
      </c>
      <c r="U425" s="2">
        <f t="shared" si="5"/>
        <v>1</v>
      </c>
      <c r="V425" s="2">
        <f t="shared" si="6"/>
        <v>1</v>
      </c>
    </row>
    <row r="426" ht="14.25" customHeight="1">
      <c r="A426" s="2" t="s">
        <v>471</v>
      </c>
      <c r="B426" s="2" t="s">
        <v>18</v>
      </c>
      <c r="C426" s="2" t="s">
        <v>13</v>
      </c>
      <c r="D426" s="8" t="s">
        <v>580</v>
      </c>
      <c r="E426" s="6">
        <v>45231.0</v>
      </c>
      <c r="F426" s="6">
        <v>45567.0</v>
      </c>
      <c r="G426" s="7">
        <v>2.100848894E9</v>
      </c>
      <c r="H426" s="8" t="s">
        <v>573</v>
      </c>
      <c r="I426" s="2">
        <f t="shared" ref="I426:P426" si="429">IF(ISBLANK(A426)=TRUE,0,1)</f>
        <v>1</v>
      </c>
      <c r="J426" s="2">
        <f t="shared" si="429"/>
        <v>1</v>
      </c>
      <c r="K426" s="2">
        <f t="shared" si="429"/>
        <v>1</v>
      </c>
      <c r="L426" s="2">
        <f t="shared" si="429"/>
        <v>1</v>
      </c>
      <c r="M426" s="2">
        <f t="shared" si="429"/>
        <v>1</v>
      </c>
      <c r="N426" s="2">
        <f t="shared" si="429"/>
        <v>1</v>
      </c>
      <c r="O426" s="2">
        <f t="shared" si="429"/>
        <v>1</v>
      </c>
      <c r="P426" s="2">
        <f t="shared" si="429"/>
        <v>1</v>
      </c>
      <c r="Q426" s="2">
        <f t="shared" si="3"/>
        <v>1</v>
      </c>
      <c r="R426" s="2">
        <f>IF(ISERROR(VLOOKUP(A426, 'Project Reference'!A:A, 1, FALSE)), 0, 1)</f>
        <v>1</v>
      </c>
      <c r="S426" s="2">
        <f>IFERROR(__xludf.DUMMYFUNCTION("IF(AND(REGEXMATCH(D426, B426), REGEXMATCH(D426, C426)), 1, 0)
"),1.0)</f>
        <v>1</v>
      </c>
      <c r="T426" s="2">
        <f t="shared" si="4"/>
        <v>1</v>
      </c>
      <c r="U426" s="2">
        <f t="shared" si="5"/>
        <v>1</v>
      </c>
      <c r="V426" s="2">
        <f t="shared" si="6"/>
        <v>1</v>
      </c>
    </row>
    <row r="427" ht="14.25" customHeight="1">
      <c r="A427" s="2" t="s">
        <v>472</v>
      </c>
      <c r="B427" s="2" t="s">
        <v>12</v>
      </c>
      <c r="C427" s="2" t="s">
        <v>36</v>
      </c>
      <c r="D427" s="8" t="s">
        <v>578</v>
      </c>
      <c r="E427" s="6">
        <v>45234.0</v>
      </c>
      <c r="F427" s="6">
        <v>45348.0</v>
      </c>
      <c r="G427" s="7">
        <v>5.05388172E8</v>
      </c>
      <c r="H427" s="2" t="s">
        <v>44</v>
      </c>
      <c r="I427" s="2">
        <f t="shared" ref="I427:P427" si="430">IF(ISBLANK(A427)=TRUE,0,1)</f>
        <v>1</v>
      </c>
      <c r="J427" s="2">
        <f t="shared" si="430"/>
        <v>1</v>
      </c>
      <c r="K427" s="2">
        <f t="shared" si="430"/>
        <v>1</v>
      </c>
      <c r="L427" s="2">
        <f t="shared" si="430"/>
        <v>1</v>
      </c>
      <c r="M427" s="2">
        <f t="shared" si="430"/>
        <v>1</v>
      </c>
      <c r="N427" s="2">
        <f t="shared" si="430"/>
        <v>1</v>
      </c>
      <c r="O427" s="2">
        <f t="shared" si="430"/>
        <v>1</v>
      </c>
      <c r="P427" s="2">
        <f t="shared" si="430"/>
        <v>1</v>
      </c>
      <c r="Q427" s="2">
        <f t="shared" si="3"/>
        <v>1</v>
      </c>
      <c r="R427" s="2">
        <f>IF(ISERROR(VLOOKUP(A427, 'Project Reference'!A:A, 1, FALSE)), 0, 1)</f>
        <v>1</v>
      </c>
      <c r="S427" s="2">
        <f>IFERROR(__xludf.DUMMYFUNCTION("IF(AND(REGEXMATCH(D427, B427), REGEXMATCH(D427, C427)), 1, 0)
"),1.0)</f>
        <v>1</v>
      </c>
      <c r="T427" s="2">
        <f t="shared" si="4"/>
        <v>1</v>
      </c>
      <c r="U427" s="2">
        <f t="shared" si="5"/>
        <v>1</v>
      </c>
      <c r="V427" s="2">
        <f t="shared" si="6"/>
        <v>1</v>
      </c>
    </row>
    <row r="428" ht="14.25" customHeight="1">
      <c r="A428" s="2" t="s">
        <v>473</v>
      </c>
      <c r="B428" s="2" t="s">
        <v>12</v>
      </c>
      <c r="C428" s="2" t="s">
        <v>31</v>
      </c>
      <c r="D428" s="8" t="s">
        <v>593</v>
      </c>
      <c r="E428" s="6">
        <v>45234.0</v>
      </c>
      <c r="F428" s="6">
        <v>45426.0</v>
      </c>
      <c r="G428" s="7">
        <v>5.74563455E8</v>
      </c>
      <c r="H428" s="8" t="s">
        <v>573</v>
      </c>
      <c r="I428" s="2">
        <f t="shared" ref="I428:P428" si="431">IF(ISBLANK(A428)=TRUE,0,1)</f>
        <v>1</v>
      </c>
      <c r="J428" s="2">
        <f t="shared" si="431"/>
        <v>1</v>
      </c>
      <c r="K428" s="2">
        <f t="shared" si="431"/>
        <v>1</v>
      </c>
      <c r="L428" s="2">
        <f t="shared" si="431"/>
        <v>1</v>
      </c>
      <c r="M428" s="2">
        <f t="shared" si="431"/>
        <v>1</v>
      </c>
      <c r="N428" s="2">
        <f t="shared" si="431"/>
        <v>1</v>
      </c>
      <c r="O428" s="2">
        <f t="shared" si="431"/>
        <v>1</v>
      </c>
      <c r="P428" s="2">
        <f t="shared" si="431"/>
        <v>1</v>
      </c>
      <c r="Q428" s="2">
        <f t="shared" si="3"/>
        <v>1</v>
      </c>
      <c r="R428" s="2">
        <f>IF(ISERROR(VLOOKUP(A428, 'Project Reference'!A:A, 1, FALSE)), 0, 1)</f>
        <v>1</v>
      </c>
      <c r="S428" s="2">
        <f>IFERROR(__xludf.DUMMYFUNCTION("IF(AND(REGEXMATCH(D428, B428), REGEXMATCH(D428, C428)), 1, 0)
"),1.0)</f>
        <v>1</v>
      </c>
      <c r="T428" s="2">
        <f t="shared" si="4"/>
        <v>1</v>
      </c>
      <c r="U428" s="2">
        <f t="shared" si="5"/>
        <v>1</v>
      </c>
      <c r="V428" s="2">
        <f t="shared" si="6"/>
        <v>1</v>
      </c>
    </row>
    <row r="429" ht="14.25" customHeight="1">
      <c r="A429" s="2" t="s">
        <v>474</v>
      </c>
      <c r="B429" s="2" t="s">
        <v>12</v>
      </c>
      <c r="C429" s="2" t="s">
        <v>24</v>
      </c>
      <c r="D429" s="8" t="s">
        <v>610</v>
      </c>
      <c r="E429" s="6">
        <v>45234.0</v>
      </c>
      <c r="F429" s="6">
        <v>45264.0</v>
      </c>
      <c r="G429" s="7">
        <v>4.45199395E8</v>
      </c>
      <c r="H429" s="2" t="s">
        <v>44</v>
      </c>
      <c r="I429" s="2">
        <f t="shared" ref="I429:P429" si="432">IF(ISBLANK(A429)=TRUE,0,1)</f>
        <v>1</v>
      </c>
      <c r="J429" s="2">
        <f t="shared" si="432"/>
        <v>1</v>
      </c>
      <c r="K429" s="2">
        <f t="shared" si="432"/>
        <v>1</v>
      </c>
      <c r="L429" s="2">
        <f t="shared" si="432"/>
        <v>1</v>
      </c>
      <c r="M429" s="2">
        <f t="shared" si="432"/>
        <v>1</v>
      </c>
      <c r="N429" s="2">
        <f t="shared" si="432"/>
        <v>1</v>
      </c>
      <c r="O429" s="2">
        <f t="shared" si="432"/>
        <v>1</v>
      </c>
      <c r="P429" s="2">
        <f t="shared" si="432"/>
        <v>1</v>
      </c>
      <c r="Q429" s="2">
        <f t="shared" si="3"/>
        <v>1</v>
      </c>
      <c r="R429" s="2">
        <f>IF(ISERROR(VLOOKUP(A429, 'Project Reference'!A:A, 1, FALSE)), 0, 1)</f>
        <v>1</v>
      </c>
      <c r="S429" s="2">
        <f>IFERROR(__xludf.DUMMYFUNCTION("IF(AND(REGEXMATCH(D429, B429), REGEXMATCH(D429, C429)), 1, 0)
"),1.0)</f>
        <v>1</v>
      </c>
      <c r="T429" s="2">
        <f t="shared" si="4"/>
        <v>1</v>
      </c>
      <c r="U429" s="2">
        <f t="shared" si="5"/>
        <v>1</v>
      </c>
      <c r="V429" s="2">
        <f t="shared" si="6"/>
        <v>1</v>
      </c>
    </row>
    <row r="430" ht="14.25" customHeight="1">
      <c r="A430" s="2" t="s">
        <v>475</v>
      </c>
      <c r="B430" s="2" t="s">
        <v>12</v>
      </c>
      <c r="C430" s="2" t="s">
        <v>39</v>
      </c>
      <c r="D430" s="8" t="s">
        <v>591</v>
      </c>
      <c r="E430" s="6">
        <v>45235.0</v>
      </c>
      <c r="F430" s="6">
        <v>45313.0</v>
      </c>
      <c r="G430" s="7">
        <v>8.49005913E8</v>
      </c>
      <c r="H430" s="2" t="s">
        <v>44</v>
      </c>
      <c r="I430" s="2">
        <f t="shared" ref="I430:P430" si="433">IF(ISBLANK(A430)=TRUE,0,1)</f>
        <v>1</v>
      </c>
      <c r="J430" s="2">
        <f t="shared" si="433"/>
        <v>1</v>
      </c>
      <c r="K430" s="2">
        <f t="shared" si="433"/>
        <v>1</v>
      </c>
      <c r="L430" s="2">
        <f t="shared" si="433"/>
        <v>1</v>
      </c>
      <c r="M430" s="2">
        <f t="shared" si="433"/>
        <v>1</v>
      </c>
      <c r="N430" s="2">
        <f t="shared" si="433"/>
        <v>1</v>
      </c>
      <c r="O430" s="2">
        <f t="shared" si="433"/>
        <v>1</v>
      </c>
      <c r="P430" s="2">
        <f t="shared" si="433"/>
        <v>1</v>
      </c>
      <c r="Q430" s="2">
        <f t="shared" si="3"/>
        <v>1</v>
      </c>
      <c r="R430" s="2">
        <f>IF(ISERROR(VLOOKUP(A430, 'Project Reference'!A:A, 1, FALSE)), 0, 1)</f>
        <v>1</v>
      </c>
      <c r="S430" s="2">
        <f>IFERROR(__xludf.DUMMYFUNCTION("IF(AND(REGEXMATCH(D430, B430), REGEXMATCH(D430, C430)), 1, 0)
"),1.0)</f>
        <v>1</v>
      </c>
      <c r="T430" s="2">
        <f t="shared" si="4"/>
        <v>1</v>
      </c>
      <c r="U430" s="2">
        <f t="shared" si="5"/>
        <v>1</v>
      </c>
      <c r="V430" s="2">
        <f t="shared" si="6"/>
        <v>1</v>
      </c>
    </row>
    <row r="431" ht="14.25" customHeight="1">
      <c r="A431" s="2" t="s">
        <v>476</v>
      </c>
      <c r="B431" s="2" t="s">
        <v>30</v>
      </c>
      <c r="C431" s="2" t="s">
        <v>42</v>
      </c>
      <c r="D431" s="8" t="s">
        <v>632</v>
      </c>
      <c r="E431" s="6">
        <v>45236.0</v>
      </c>
      <c r="F431" s="6">
        <v>45266.0</v>
      </c>
      <c r="G431" s="7">
        <v>3.09836496E9</v>
      </c>
      <c r="H431" s="8" t="s">
        <v>581</v>
      </c>
      <c r="I431" s="2">
        <f t="shared" ref="I431:P431" si="434">IF(ISBLANK(A431)=TRUE,0,1)</f>
        <v>1</v>
      </c>
      <c r="J431" s="2">
        <f t="shared" si="434"/>
        <v>1</v>
      </c>
      <c r="K431" s="2">
        <f t="shared" si="434"/>
        <v>1</v>
      </c>
      <c r="L431" s="2">
        <f t="shared" si="434"/>
        <v>1</v>
      </c>
      <c r="M431" s="2">
        <f t="shared" si="434"/>
        <v>1</v>
      </c>
      <c r="N431" s="2">
        <f t="shared" si="434"/>
        <v>1</v>
      </c>
      <c r="O431" s="2">
        <f t="shared" si="434"/>
        <v>1</v>
      </c>
      <c r="P431" s="2">
        <f t="shared" si="434"/>
        <v>1</v>
      </c>
      <c r="Q431" s="2">
        <f t="shared" si="3"/>
        <v>1</v>
      </c>
      <c r="R431" s="2">
        <f>IF(ISERROR(VLOOKUP(A431, 'Project Reference'!A:A, 1, FALSE)), 0, 1)</f>
        <v>1</v>
      </c>
      <c r="S431" s="2">
        <f>IFERROR(__xludf.DUMMYFUNCTION("IF(AND(REGEXMATCH(D431, B431), REGEXMATCH(D431, C431)), 1, 0)
"),1.0)</f>
        <v>1</v>
      </c>
      <c r="T431" s="2">
        <f t="shared" si="4"/>
        <v>1</v>
      </c>
      <c r="U431" s="2">
        <f t="shared" si="5"/>
        <v>1</v>
      </c>
      <c r="V431" s="2">
        <f t="shared" si="6"/>
        <v>1</v>
      </c>
    </row>
    <row r="432" ht="14.25" customHeight="1">
      <c r="A432" s="2" t="s">
        <v>477</v>
      </c>
      <c r="B432" s="2" t="s">
        <v>60</v>
      </c>
      <c r="C432" s="2" t="s">
        <v>42</v>
      </c>
      <c r="D432" s="8" t="s">
        <v>617</v>
      </c>
      <c r="E432" s="6">
        <v>45237.0</v>
      </c>
      <c r="F432" s="6">
        <v>45413.0</v>
      </c>
      <c r="G432" s="7">
        <v>1.607071599E9</v>
      </c>
      <c r="H432" s="8" t="s">
        <v>573</v>
      </c>
      <c r="I432" s="2">
        <f t="shared" ref="I432:P432" si="435">IF(ISBLANK(A432)=TRUE,0,1)</f>
        <v>1</v>
      </c>
      <c r="J432" s="2">
        <f t="shared" si="435"/>
        <v>1</v>
      </c>
      <c r="K432" s="2">
        <f t="shared" si="435"/>
        <v>1</v>
      </c>
      <c r="L432" s="2">
        <f t="shared" si="435"/>
        <v>1</v>
      </c>
      <c r="M432" s="2">
        <f t="shared" si="435"/>
        <v>1</v>
      </c>
      <c r="N432" s="2">
        <f t="shared" si="435"/>
        <v>1</v>
      </c>
      <c r="O432" s="2">
        <f t="shared" si="435"/>
        <v>1</v>
      </c>
      <c r="P432" s="2">
        <f t="shared" si="435"/>
        <v>1</v>
      </c>
      <c r="Q432" s="2">
        <f t="shared" si="3"/>
        <v>1</v>
      </c>
      <c r="R432" s="2">
        <f>IF(ISERROR(VLOOKUP(A432, 'Project Reference'!A:A, 1, FALSE)), 0, 1)</f>
        <v>1</v>
      </c>
      <c r="S432" s="2">
        <f>IFERROR(__xludf.DUMMYFUNCTION("IF(AND(REGEXMATCH(D432, B432), REGEXMATCH(D432, C432)), 1, 0)
"),1.0)</f>
        <v>1</v>
      </c>
      <c r="T432" s="2">
        <f t="shared" si="4"/>
        <v>1</v>
      </c>
      <c r="U432" s="2">
        <f t="shared" si="5"/>
        <v>1</v>
      </c>
      <c r="V432" s="2">
        <f t="shared" si="6"/>
        <v>1</v>
      </c>
    </row>
    <row r="433" ht="14.25" customHeight="1">
      <c r="A433" s="2" t="s">
        <v>479</v>
      </c>
      <c r="B433" s="2" t="s">
        <v>12</v>
      </c>
      <c r="C433" s="2" t="s">
        <v>48</v>
      </c>
      <c r="D433" s="8" t="s">
        <v>602</v>
      </c>
      <c r="E433" s="6">
        <v>45240.0</v>
      </c>
      <c r="F433" s="6">
        <v>45532.0</v>
      </c>
      <c r="G433" s="7">
        <v>1.53884086E8</v>
      </c>
      <c r="H433" s="2" t="s">
        <v>50</v>
      </c>
      <c r="I433" s="2">
        <f t="shared" ref="I433:P433" si="436">IF(ISBLANK(A433)=TRUE,0,1)</f>
        <v>1</v>
      </c>
      <c r="J433" s="2">
        <f t="shared" si="436"/>
        <v>1</v>
      </c>
      <c r="K433" s="2">
        <f t="shared" si="436"/>
        <v>1</v>
      </c>
      <c r="L433" s="2">
        <f t="shared" si="436"/>
        <v>1</v>
      </c>
      <c r="M433" s="2">
        <f t="shared" si="436"/>
        <v>1</v>
      </c>
      <c r="N433" s="2">
        <f t="shared" si="436"/>
        <v>1</v>
      </c>
      <c r="O433" s="2">
        <f t="shared" si="436"/>
        <v>1</v>
      </c>
      <c r="P433" s="2">
        <f t="shared" si="436"/>
        <v>1</v>
      </c>
      <c r="Q433" s="2">
        <f t="shared" si="3"/>
        <v>1</v>
      </c>
      <c r="R433" s="2">
        <f>IF(ISERROR(VLOOKUP(A433, 'Project Reference'!A:A, 1, FALSE)), 0, 1)</f>
        <v>1</v>
      </c>
      <c r="S433" s="2">
        <f>IFERROR(__xludf.DUMMYFUNCTION("IF(AND(REGEXMATCH(D433, B433), REGEXMATCH(D433, C433)), 1, 0)
"),1.0)</f>
        <v>1</v>
      </c>
      <c r="T433" s="2">
        <f t="shared" si="4"/>
        <v>1</v>
      </c>
      <c r="U433" s="2">
        <f t="shared" si="5"/>
        <v>1</v>
      </c>
      <c r="V433" s="2">
        <f t="shared" si="6"/>
        <v>1</v>
      </c>
    </row>
    <row r="434" ht="14.25" customHeight="1">
      <c r="A434" s="2" t="s">
        <v>480</v>
      </c>
      <c r="B434" s="2" t="s">
        <v>12</v>
      </c>
      <c r="C434" s="2" t="s">
        <v>24</v>
      </c>
      <c r="D434" s="8" t="s">
        <v>610</v>
      </c>
      <c r="E434" s="6">
        <v>45240.0</v>
      </c>
      <c r="F434" s="6">
        <v>45434.0</v>
      </c>
      <c r="G434" s="7">
        <v>5.45725479E8</v>
      </c>
      <c r="H434" s="22"/>
      <c r="I434" s="2">
        <f t="shared" ref="I434:P434" si="437">IF(ISBLANK(A434)=TRUE,0,1)</f>
        <v>1</v>
      </c>
      <c r="J434" s="2">
        <f t="shared" si="437"/>
        <v>1</v>
      </c>
      <c r="K434" s="2">
        <f t="shared" si="437"/>
        <v>1</v>
      </c>
      <c r="L434" s="2">
        <f t="shared" si="437"/>
        <v>1</v>
      </c>
      <c r="M434" s="2">
        <f t="shared" si="437"/>
        <v>1</v>
      </c>
      <c r="N434" s="2">
        <f t="shared" si="437"/>
        <v>1</v>
      </c>
      <c r="O434" s="2">
        <f t="shared" si="437"/>
        <v>1</v>
      </c>
      <c r="P434" s="2">
        <f t="shared" si="437"/>
        <v>0</v>
      </c>
      <c r="Q434" s="2">
        <f t="shared" si="3"/>
        <v>1</v>
      </c>
      <c r="R434" s="2">
        <f>IF(ISERROR(VLOOKUP(A434, 'Project Reference'!A:A, 1, FALSE)), 0, 1)</f>
        <v>1</v>
      </c>
      <c r="S434" s="2">
        <f>IFERROR(__xludf.DUMMYFUNCTION("IF(AND(REGEXMATCH(D434, B434), REGEXMATCH(D434, C434)), 1, 0)
"),1.0)</f>
        <v>1</v>
      </c>
      <c r="T434" s="2">
        <f t="shared" si="4"/>
        <v>1</v>
      </c>
      <c r="U434" s="2">
        <f t="shared" si="5"/>
        <v>1</v>
      </c>
      <c r="V434" s="2">
        <f t="shared" si="6"/>
        <v>1</v>
      </c>
    </row>
    <row r="435" ht="14.25" customHeight="1">
      <c r="A435" s="2" t="s">
        <v>482</v>
      </c>
      <c r="B435" s="2" t="s">
        <v>30</v>
      </c>
      <c r="C435" s="2" t="s">
        <v>24</v>
      </c>
      <c r="D435" s="8" t="s">
        <v>637</v>
      </c>
      <c r="E435" s="6">
        <v>45240.0</v>
      </c>
      <c r="F435" s="6">
        <v>45466.0</v>
      </c>
      <c r="G435" s="7">
        <v>2.661560994E9</v>
      </c>
      <c r="H435" s="22"/>
      <c r="I435" s="2">
        <f t="shared" ref="I435:P435" si="438">IF(ISBLANK(A435)=TRUE,0,1)</f>
        <v>1</v>
      </c>
      <c r="J435" s="2">
        <f t="shared" si="438"/>
        <v>1</v>
      </c>
      <c r="K435" s="2">
        <f t="shared" si="438"/>
        <v>1</v>
      </c>
      <c r="L435" s="2">
        <f t="shared" si="438"/>
        <v>1</v>
      </c>
      <c r="M435" s="2">
        <f t="shared" si="438"/>
        <v>1</v>
      </c>
      <c r="N435" s="2">
        <f t="shared" si="438"/>
        <v>1</v>
      </c>
      <c r="O435" s="2">
        <f t="shared" si="438"/>
        <v>1</v>
      </c>
      <c r="P435" s="2">
        <f t="shared" si="438"/>
        <v>0</v>
      </c>
      <c r="Q435" s="2">
        <f t="shared" si="3"/>
        <v>1</v>
      </c>
      <c r="R435" s="2">
        <f>IF(ISERROR(VLOOKUP(A435, 'Project Reference'!A:A, 1, FALSE)), 0, 1)</f>
        <v>1</v>
      </c>
      <c r="S435" s="2">
        <f>IFERROR(__xludf.DUMMYFUNCTION("IF(AND(REGEXMATCH(D435, B435), REGEXMATCH(D435, C435)), 1, 0)
"),1.0)</f>
        <v>1</v>
      </c>
      <c r="T435" s="2">
        <f t="shared" si="4"/>
        <v>1</v>
      </c>
      <c r="U435" s="2">
        <f t="shared" si="5"/>
        <v>1</v>
      </c>
      <c r="V435" s="2">
        <f t="shared" si="6"/>
        <v>1</v>
      </c>
    </row>
    <row r="436" ht="14.25" customHeight="1">
      <c r="A436" s="2" t="s">
        <v>483</v>
      </c>
      <c r="B436" s="2" t="s">
        <v>18</v>
      </c>
      <c r="C436" s="2" t="s">
        <v>24</v>
      </c>
      <c r="D436" s="8" t="s">
        <v>618</v>
      </c>
      <c r="E436" s="6">
        <v>45240.0</v>
      </c>
      <c r="F436" s="6">
        <v>45346.0</v>
      </c>
      <c r="G436" s="7">
        <v>1.652872648E9</v>
      </c>
      <c r="H436" s="2" t="s">
        <v>50</v>
      </c>
      <c r="I436" s="2">
        <f t="shared" ref="I436:P436" si="439">IF(ISBLANK(A436)=TRUE,0,1)</f>
        <v>1</v>
      </c>
      <c r="J436" s="2">
        <f t="shared" si="439"/>
        <v>1</v>
      </c>
      <c r="K436" s="2">
        <f t="shared" si="439"/>
        <v>1</v>
      </c>
      <c r="L436" s="2">
        <f t="shared" si="439"/>
        <v>1</v>
      </c>
      <c r="M436" s="2">
        <f t="shared" si="439"/>
        <v>1</v>
      </c>
      <c r="N436" s="2">
        <f t="shared" si="439"/>
        <v>1</v>
      </c>
      <c r="O436" s="2">
        <f t="shared" si="439"/>
        <v>1</v>
      </c>
      <c r="P436" s="2">
        <f t="shared" si="439"/>
        <v>1</v>
      </c>
      <c r="Q436" s="2">
        <f t="shared" si="3"/>
        <v>1</v>
      </c>
      <c r="R436" s="2">
        <f>IF(ISERROR(VLOOKUP(A436, 'Project Reference'!A:A, 1, FALSE)), 0, 1)</f>
        <v>1</v>
      </c>
      <c r="S436" s="2">
        <f>IFERROR(__xludf.DUMMYFUNCTION("IF(AND(REGEXMATCH(D436, B436), REGEXMATCH(D436, C436)), 1, 0)
"),1.0)</f>
        <v>1</v>
      </c>
      <c r="T436" s="2">
        <f t="shared" si="4"/>
        <v>1</v>
      </c>
      <c r="U436" s="2">
        <f t="shared" si="5"/>
        <v>1</v>
      </c>
      <c r="V436" s="2">
        <f t="shared" si="6"/>
        <v>1</v>
      </c>
    </row>
    <row r="437" ht="14.25" customHeight="1">
      <c r="A437" s="2" t="s">
        <v>484</v>
      </c>
      <c r="B437" s="2" t="s">
        <v>30</v>
      </c>
      <c r="C437" s="2" t="s">
        <v>24</v>
      </c>
      <c r="D437" s="8" t="s">
        <v>637</v>
      </c>
      <c r="E437" s="6">
        <v>45241.0</v>
      </c>
      <c r="F437" s="6">
        <v>45505.0</v>
      </c>
      <c r="G437" s="7">
        <v>7.444707554E9</v>
      </c>
      <c r="H437" s="8" t="s">
        <v>581</v>
      </c>
      <c r="I437" s="2">
        <f t="shared" ref="I437:P437" si="440">IF(ISBLANK(A437)=TRUE,0,1)</f>
        <v>1</v>
      </c>
      <c r="J437" s="2">
        <f t="shared" si="440"/>
        <v>1</v>
      </c>
      <c r="K437" s="2">
        <f t="shared" si="440"/>
        <v>1</v>
      </c>
      <c r="L437" s="2">
        <f t="shared" si="440"/>
        <v>1</v>
      </c>
      <c r="M437" s="2">
        <f t="shared" si="440"/>
        <v>1</v>
      </c>
      <c r="N437" s="2">
        <f t="shared" si="440"/>
        <v>1</v>
      </c>
      <c r="O437" s="2">
        <f t="shared" si="440"/>
        <v>1</v>
      </c>
      <c r="P437" s="2">
        <f t="shared" si="440"/>
        <v>1</v>
      </c>
      <c r="Q437" s="2">
        <f t="shared" si="3"/>
        <v>1</v>
      </c>
      <c r="R437" s="2">
        <f>IF(ISERROR(VLOOKUP(A437, 'Project Reference'!A:A, 1, FALSE)), 0, 1)</f>
        <v>1</v>
      </c>
      <c r="S437" s="2">
        <f>IFERROR(__xludf.DUMMYFUNCTION("IF(AND(REGEXMATCH(D437, B437), REGEXMATCH(D437, C437)), 1, 0)
"),1.0)</f>
        <v>1</v>
      </c>
      <c r="T437" s="2">
        <f t="shared" si="4"/>
        <v>1</v>
      </c>
      <c r="U437" s="2">
        <f t="shared" si="5"/>
        <v>1</v>
      </c>
      <c r="V437" s="2">
        <f t="shared" si="6"/>
        <v>1</v>
      </c>
    </row>
    <row r="438" ht="14.25" customHeight="1">
      <c r="A438" s="2" t="s">
        <v>486</v>
      </c>
      <c r="B438" s="2" t="s">
        <v>30</v>
      </c>
      <c r="C438" s="2" t="s">
        <v>48</v>
      </c>
      <c r="D438" s="8" t="s">
        <v>615</v>
      </c>
      <c r="E438" s="6">
        <v>45242.0</v>
      </c>
      <c r="F438" s="6">
        <v>45439.0</v>
      </c>
      <c r="G438" s="7">
        <v>2.851933896E9</v>
      </c>
      <c r="H438" s="2" t="s">
        <v>50</v>
      </c>
      <c r="I438" s="2">
        <f t="shared" ref="I438:P438" si="441">IF(ISBLANK(A438)=TRUE,0,1)</f>
        <v>1</v>
      </c>
      <c r="J438" s="2">
        <f t="shared" si="441"/>
        <v>1</v>
      </c>
      <c r="K438" s="2">
        <f t="shared" si="441"/>
        <v>1</v>
      </c>
      <c r="L438" s="2">
        <f t="shared" si="441"/>
        <v>1</v>
      </c>
      <c r="M438" s="2">
        <f t="shared" si="441"/>
        <v>1</v>
      </c>
      <c r="N438" s="2">
        <f t="shared" si="441"/>
        <v>1</v>
      </c>
      <c r="O438" s="2">
        <f t="shared" si="441"/>
        <v>1</v>
      </c>
      <c r="P438" s="2">
        <f t="shared" si="441"/>
        <v>1</v>
      </c>
      <c r="Q438" s="2">
        <f t="shared" si="3"/>
        <v>1</v>
      </c>
      <c r="R438" s="2">
        <f>IF(ISERROR(VLOOKUP(A438, 'Project Reference'!A:A, 1, FALSE)), 0, 1)</f>
        <v>1</v>
      </c>
      <c r="S438" s="2">
        <f>IFERROR(__xludf.DUMMYFUNCTION("IF(AND(REGEXMATCH(D438, B438), REGEXMATCH(D438, C438)), 1, 0)
"),1.0)</f>
        <v>1</v>
      </c>
      <c r="T438" s="2">
        <f t="shared" si="4"/>
        <v>1</v>
      </c>
      <c r="U438" s="2">
        <f t="shared" si="5"/>
        <v>1</v>
      </c>
      <c r="V438" s="2">
        <f t="shared" si="6"/>
        <v>1</v>
      </c>
    </row>
    <row r="439" ht="14.25" customHeight="1">
      <c r="A439" s="2" t="s">
        <v>488</v>
      </c>
      <c r="B439" s="2" t="s">
        <v>12</v>
      </c>
      <c r="C439" s="2" t="s">
        <v>48</v>
      </c>
      <c r="D439" s="8" t="s">
        <v>602</v>
      </c>
      <c r="E439" s="6">
        <v>45242.0</v>
      </c>
      <c r="F439" s="6">
        <v>45345.0</v>
      </c>
      <c r="G439" s="7">
        <v>3.94459258E8</v>
      </c>
      <c r="H439" s="8" t="s">
        <v>581</v>
      </c>
      <c r="I439" s="2">
        <f t="shared" ref="I439:P439" si="442">IF(ISBLANK(A439)=TRUE,0,1)</f>
        <v>1</v>
      </c>
      <c r="J439" s="2">
        <f t="shared" si="442"/>
        <v>1</v>
      </c>
      <c r="K439" s="2">
        <f t="shared" si="442"/>
        <v>1</v>
      </c>
      <c r="L439" s="2">
        <f t="shared" si="442"/>
        <v>1</v>
      </c>
      <c r="M439" s="2">
        <f t="shared" si="442"/>
        <v>1</v>
      </c>
      <c r="N439" s="2">
        <f t="shared" si="442"/>
        <v>1</v>
      </c>
      <c r="O439" s="2">
        <f t="shared" si="442"/>
        <v>1</v>
      </c>
      <c r="P439" s="2">
        <f t="shared" si="442"/>
        <v>1</v>
      </c>
      <c r="Q439" s="2">
        <f t="shared" si="3"/>
        <v>1</v>
      </c>
      <c r="R439" s="2">
        <f>IF(ISERROR(VLOOKUP(A439, 'Project Reference'!A:A, 1, FALSE)), 0, 1)</f>
        <v>1</v>
      </c>
      <c r="S439" s="2">
        <f>IFERROR(__xludf.DUMMYFUNCTION("IF(AND(REGEXMATCH(D439, B439), REGEXMATCH(D439, C439)), 1, 0)
"),1.0)</f>
        <v>1</v>
      </c>
      <c r="T439" s="2">
        <f t="shared" si="4"/>
        <v>1</v>
      </c>
      <c r="U439" s="2">
        <f t="shared" si="5"/>
        <v>1</v>
      </c>
      <c r="V439" s="2">
        <f t="shared" si="6"/>
        <v>1</v>
      </c>
    </row>
    <row r="440" ht="14.25" customHeight="1">
      <c r="A440" s="2" t="s">
        <v>489</v>
      </c>
      <c r="B440" s="2" t="s">
        <v>60</v>
      </c>
      <c r="C440" s="2" t="s">
        <v>39</v>
      </c>
      <c r="D440" s="8" t="s">
        <v>642</v>
      </c>
      <c r="E440" s="6">
        <v>45242.0</v>
      </c>
      <c r="F440" s="6">
        <v>45305.0</v>
      </c>
      <c r="G440" s="7">
        <v>3.343026784E9</v>
      </c>
      <c r="H440" s="8" t="s">
        <v>573</v>
      </c>
      <c r="I440" s="2">
        <f t="shared" ref="I440:P440" si="443">IF(ISBLANK(A440)=TRUE,0,1)</f>
        <v>1</v>
      </c>
      <c r="J440" s="2">
        <f t="shared" si="443"/>
        <v>1</v>
      </c>
      <c r="K440" s="2">
        <f t="shared" si="443"/>
        <v>1</v>
      </c>
      <c r="L440" s="2">
        <f t="shared" si="443"/>
        <v>1</v>
      </c>
      <c r="M440" s="2">
        <f t="shared" si="443"/>
        <v>1</v>
      </c>
      <c r="N440" s="2">
        <f t="shared" si="443"/>
        <v>1</v>
      </c>
      <c r="O440" s="2">
        <f t="shared" si="443"/>
        <v>1</v>
      </c>
      <c r="P440" s="2">
        <f t="shared" si="443"/>
        <v>1</v>
      </c>
      <c r="Q440" s="2">
        <f t="shared" si="3"/>
        <v>1</v>
      </c>
      <c r="R440" s="2">
        <f>IF(ISERROR(VLOOKUP(A440, 'Project Reference'!A:A, 1, FALSE)), 0, 1)</f>
        <v>1</v>
      </c>
      <c r="S440" s="2">
        <f>IFERROR(__xludf.DUMMYFUNCTION("IF(AND(REGEXMATCH(D440, B440), REGEXMATCH(D440, C440)), 1, 0)
"),1.0)</f>
        <v>1</v>
      </c>
      <c r="T440" s="2">
        <f t="shared" si="4"/>
        <v>1</v>
      </c>
      <c r="U440" s="2">
        <f t="shared" si="5"/>
        <v>1</v>
      </c>
      <c r="V440" s="2">
        <f t="shared" si="6"/>
        <v>1</v>
      </c>
    </row>
    <row r="441" ht="14.25" customHeight="1">
      <c r="A441" s="2" t="s">
        <v>490</v>
      </c>
      <c r="B441" s="2" t="s">
        <v>60</v>
      </c>
      <c r="C441" s="2" t="s">
        <v>31</v>
      </c>
      <c r="D441" s="8" t="s">
        <v>599</v>
      </c>
      <c r="E441" s="6">
        <v>45243.0</v>
      </c>
      <c r="F441" s="6">
        <v>45535.0</v>
      </c>
      <c r="G441" s="7">
        <v>4.651361592E9</v>
      </c>
      <c r="H441" s="2" t="s">
        <v>33</v>
      </c>
      <c r="I441" s="2">
        <f t="shared" ref="I441:P441" si="444">IF(ISBLANK(A441)=TRUE,0,1)</f>
        <v>1</v>
      </c>
      <c r="J441" s="2">
        <f t="shared" si="444"/>
        <v>1</v>
      </c>
      <c r="K441" s="2">
        <f t="shared" si="444"/>
        <v>1</v>
      </c>
      <c r="L441" s="2">
        <f t="shared" si="444"/>
        <v>1</v>
      </c>
      <c r="M441" s="2">
        <f t="shared" si="444"/>
        <v>1</v>
      </c>
      <c r="N441" s="2">
        <f t="shared" si="444"/>
        <v>1</v>
      </c>
      <c r="O441" s="2">
        <f t="shared" si="444"/>
        <v>1</v>
      </c>
      <c r="P441" s="2">
        <f t="shared" si="444"/>
        <v>1</v>
      </c>
      <c r="Q441" s="2">
        <f t="shared" si="3"/>
        <v>1</v>
      </c>
      <c r="R441" s="2">
        <f>IF(ISERROR(VLOOKUP(A441, 'Project Reference'!A:A, 1, FALSE)), 0, 1)</f>
        <v>1</v>
      </c>
      <c r="S441" s="2">
        <f>IFERROR(__xludf.DUMMYFUNCTION("IF(AND(REGEXMATCH(D441, B441), REGEXMATCH(D441, C441)), 1, 0)
"),1.0)</f>
        <v>1</v>
      </c>
      <c r="T441" s="2">
        <f t="shared" si="4"/>
        <v>1</v>
      </c>
      <c r="U441" s="2">
        <f t="shared" si="5"/>
        <v>1</v>
      </c>
      <c r="V441" s="2">
        <f t="shared" si="6"/>
        <v>1</v>
      </c>
    </row>
    <row r="442" ht="14.25" customHeight="1">
      <c r="A442" s="2" t="s">
        <v>491</v>
      </c>
      <c r="B442" s="2" t="s">
        <v>35</v>
      </c>
      <c r="C442" s="2" t="s">
        <v>24</v>
      </c>
      <c r="D442" s="2" t="s">
        <v>133</v>
      </c>
      <c r="E442" s="6">
        <v>45245.0</v>
      </c>
      <c r="F442" s="6">
        <v>45585.0</v>
      </c>
      <c r="G442" s="7">
        <v>2.87244799E8</v>
      </c>
      <c r="H442" s="2" t="s">
        <v>33</v>
      </c>
      <c r="I442" s="2">
        <f t="shared" ref="I442:P442" si="445">IF(ISBLANK(A442)=TRUE,0,1)</f>
        <v>1</v>
      </c>
      <c r="J442" s="2">
        <f t="shared" si="445"/>
        <v>1</v>
      </c>
      <c r="K442" s="2">
        <f t="shared" si="445"/>
        <v>1</v>
      </c>
      <c r="L442" s="2">
        <f t="shared" si="445"/>
        <v>1</v>
      </c>
      <c r="M442" s="2">
        <f t="shared" si="445"/>
        <v>1</v>
      </c>
      <c r="N442" s="2">
        <f t="shared" si="445"/>
        <v>1</v>
      </c>
      <c r="O442" s="2">
        <f t="shared" si="445"/>
        <v>1</v>
      </c>
      <c r="P442" s="2">
        <f t="shared" si="445"/>
        <v>1</v>
      </c>
      <c r="Q442" s="2">
        <f t="shared" si="3"/>
        <v>1</v>
      </c>
      <c r="R442" s="2">
        <f>IF(ISERROR(VLOOKUP(A442, 'Project Reference'!A:A, 1, FALSE)), 0, 1)</f>
        <v>1</v>
      </c>
      <c r="S442" s="2">
        <f>IFERROR(__xludf.DUMMYFUNCTION("IF(AND(REGEXMATCH(D442, B442), REGEXMATCH(D442, C442)), 1, 0)
"),1.0)</f>
        <v>1</v>
      </c>
      <c r="T442" s="2">
        <f t="shared" si="4"/>
        <v>1</v>
      </c>
      <c r="U442" s="2">
        <f t="shared" si="5"/>
        <v>1</v>
      </c>
      <c r="V442" s="2">
        <f t="shared" si="6"/>
        <v>1</v>
      </c>
    </row>
    <row r="443" ht="14.25" customHeight="1">
      <c r="A443" s="2" t="s">
        <v>492</v>
      </c>
      <c r="B443" s="2" t="s">
        <v>30</v>
      </c>
      <c r="C443" s="2" t="s">
        <v>31</v>
      </c>
      <c r="D443" s="8" t="s">
        <v>585</v>
      </c>
      <c r="E443" s="6">
        <v>45245.0</v>
      </c>
      <c r="F443" s="6">
        <v>45532.0</v>
      </c>
      <c r="G443" s="7">
        <v>1.941923313E9</v>
      </c>
      <c r="H443" s="22"/>
      <c r="I443" s="2">
        <f t="shared" ref="I443:P443" si="446">IF(ISBLANK(A443)=TRUE,0,1)</f>
        <v>1</v>
      </c>
      <c r="J443" s="2">
        <f t="shared" si="446"/>
        <v>1</v>
      </c>
      <c r="K443" s="2">
        <f t="shared" si="446"/>
        <v>1</v>
      </c>
      <c r="L443" s="2">
        <f t="shared" si="446"/>
        <v>1</v>
      </c>
      <c r="M443" s="2">
        <f t="shared" si="446"/>
        <v>1</v>
      </c>
      <c r="N443" s="2">
        <f t="shared" si="446"/>
        <v>1</v>
      </c>
      <c r="O443" s="2">
        <f t="shared" si="446"/>
        <v>1</v>
      </c>
      <c r="P443" s="2">
        <f t="shared" si="446"/>
        <v>0</v>
      </c>
      <c r="Q443" s="2">
        <f t="shared" si="3"/>
        <v>1</v>
      </c>
      <c r="R443" s="2">
        <f>IF(ISERROR(VLOOKUP(A443, 'Project Reference'!A:A, 1, FALSE)), 0, 1)</f>
        <v>1</v>
      </c>
      <c r="S443" s="2">
        <f>IFERROR(__xludf.DUMMYFUNCTION("IF(AND(REGEXMATCH(D443, B443), REGEXMATCH(D443, C443)), 1, 0)
"),1.0)</f>
        <v>1</v>
      </c>
      <c r="T443" s="2">
        <f t="shared" si="4"/>
        <v>1</v>
      </c>
      <c r="U443" s="2">
        <f t="shared" si="5"/>
        <v>1</v>
      </c>
      <c r="V443" s="2">
        <f t="shared" si="6"/>
        <v>1</v>
      </c>
    </row>
    <row r="444" ht="14.25" customHeight="1">
      <c r="A444" s="2" t="s">
        <v>493</v>
      </c>
      <c r="B444" s="2" t="s">
        <v>30</v>
      </c>
      <c r="C444" s="2" t="s">
        <v>48</v>
      </c>
      <c r="D444" s="8" t="s">
        <v>615</v>
      </c>
      <c r="E444" s="6">
        <v>45245.0</v>
      </c>
      <c r="F444" s="6">
        <v>45333.0</v>
      </c>
      <c r="G444" s="7">
        <v>1.897092669E9</v>
      </c>
      <c r="H444" s="22"/>
      <c r="I444" s="2">
        <f t="shared" ref="I444:P444" si="447">IF(ISBLANK(A444)=TRUE,0,1)</f>
        <v>1</v>
      </c>
      <c r="J444" s="2">
        <f t="shared" si="447"/>
        <v>1</v>
      </c>
      <c r="K444" s="2">
        <f t="shared" si="447"/>
        <v>1</v>
      </c>
      <c r="L444" s="2">
        <f t="shared" si="447"/>
        <v>1</v>
      </c>
      <c r="M444" s="2">
        <f t="shared" si="447"/>
        <v>1</v>
      </c>
      <c r="N444" s="2">
        <f t="shared" si="447"/>
        <v>1</v>
      </c>
      <c r="O444" s="2">
        <f t="shared" si="447"/>
        <v>1</v>
      </c>
      <c r="P444" s="2">
        <f t="shared" si="447"/>
        <v>0</v>
      </c>
      <c r="Q444" s="2">
        <f t="shared" si="3"/>
        <v>1</v>
      </c>
      <c r="R444" s="2">
        <f>IF(ISERROR(VLOOKUP(A444, 'Project Reference'!A:A, 1, FALSE)), 0, 1)</f>
        <v>1</v>
      </c>
      <c r="S444" s="2">
        <f>IFERROR(__xludf.DUMMYFUNCTION("IF(AND(REGEXMATCH(D444, B444), REGEXMATCH(D444, C444)), 1, 0)
"),1.0)</f>
        <v>1</v>
      </c>
      <c r="T444" s="2">
        <f t="shared" si="4"/>
        <v>1</v>
      </c>
      <c r="U444" s="2">
        <f t="shared" si="5"/>
        <v>1</v>
      </c>
      <c r="V444" s="2">
        <f t="shared" si="6"/>
        <v>1</v>
      </c>
    </row>
    <row r="445" ht="14.25" customHeight="1">
      <c r="A445" s="2" t="s">
        <v>494</v>
      </c>
      <c r="B445" s="2" t="s">
        <v>60</v>
      </c>
      <c r="C445" s="2" t="s">
        <v>39</v>
      </c>
      <c r="D445" s="8" t="s">
        <v>626</v>
      </c>
      <c r="E445" s="6">
        <v>45245.0</v>
      </c>
      <c r="F445" s="6">
        <v>45348.0</v>
      </c>
      <c r="G445" s="7">
        <v>2.304818789E9</v>
      </c>
      <c r="H445" s="22"/>
      <c r="I445" s="2">
        <f t="shared" ref="I445:P445" si="448">IF(ISBLANK(A445)=TRUE,0,1)</f>
        <v>1</v>
      </c>
      <c r="J445" s="2">
        <f t="shared" si="448"/>
        <v>1</v>
      </c>
      <c r="K445" s="2">
        <f t="shared" si="448"/>
        <v>1</v>
      </c>
      <c r="L445" s="2">
        <f t="shared" si="448"/>
        <v>1</v>
      </c>
      <c r="M445" s="2">
        <f t="shared" si="448"/>
        <v>1</v>
      </c>
      <c r="N445" s="2">
        <f t="shared" si="448"/>
        <v>1</v>
      </c>
      <c r="O445" s="2">
        <f t="shared" si="448"/>
        <v>1</v>
      </c>
      <c r="P445" s="2">
        <f t="shared" si="448"/>
        <v>0</v>
      </c>
      <c r="Q445" s="2">
        <f t="shared" si="3"/>
        <v>1</v>
      </c>
      <c r="R445" s="2">
        <f>IF(ISERROR(VLOOKUP(A445, 'Project Reference'!A:A, 1, FALSE)), 0, 1)</f>
        <v>1</v>
      </c>
      <c r="S445" s="2">
        <f>IFERROR(__xludf.DUMMYFUNCTION("IF(AND(REGEXMATCH(D445, B445), REGEXMATCH(D445, C445)), 1, 0)
"),1.0)</f>
        <v>1</v>
      </c>
      <c r="T445" s="2">
        <f t="shared" si="4"/>
        <v>1</v>
      </c>
      <c r="U445" s="2">
        <f t="shared" si="5"/>
        <v>1</v>
      </c>
      <c r="V445" s="2">
        <f t="shared" si="6"/>
        <v>1</v>
      </c>
    </row>
    <row r="446" ht="14.25" customHeight="1">
      <c r="A446" s="2" t="s">
        <v>495</v>
      </c>
      <c r="B446" s="2" t="s">
        <v>12</v>
      </c>
      <c r="C446" s="2" t="s">
        <v>48</v>
      </c>
      <c r="D446" s="8" t="s">
        <v>602</v>
      </c>
      <c r="E446" s="6">
        <v>45246.0</v>
      </c>
      <c r="F446" s="6">
        <v>45389.0</v>
      </c>
      <c r="G446" s="7">
        <v>6.42644763E8</v>
      </c>
      <c r="H446" s="2" t="s">
        <v>50</v>
      </c>
      <c r="I446" s="2">
        <f t="shared" ref="I446:P446" si="449">IF(ISBLANK(A446)=TRUE,0,1)</f>
        <v>1</v>
      </c>
      <c r="J446" s="2">
        <f t="shared" si="449"/>
        <v>1</v>
      </c>
      <c r="K446" s="2">
        <f t="shared" si="449"/>
        <v>1</v>
      </c>
      <c r="L446" s="2">
        <f t="shared" si="449"/>
        <v>1</v>
      </c>
      <c r="M446" s="2">
        <f t="shared" si="449"/>
        <v>1</v>
      </c>
      <c r="N446" s="2">
        <f t="shared" si="449"/>
        <v>1</v>
      </c>
      <c r="O446" s="2">
        <f t="shared" si="449"/>
        <v>1</v>
      </c>
      <c r="P446" s="2">
        <f t="shared" si="449"/>
        <v>1</v>
      </c>
      <c r="Q446" s="2">
        <f t="shared" si="3"/>
        <v>1</v>
      </c>
      <c r="R446" s="2">
        <f>IF(ISERROR(VLOOKUP(A446, 'Project Reference'!A:A, 1, FALSE)), 0, 1)</f>
        <v>1</v>
      </c>
      <c r="S446" s="2">
        <f>IFERROR(__xludf.DUMMYFUNCTION("IF(AND(REGEXMATCH(D446, B446), REGEXMATCH(D446, C446)), 1, 0)
"),1.0)</f>
        <v>1</v>
      </c>
      <c r="T446" s="2">
        <f t="shared" si="4"/>
        <v>1</v>
      </c>
      <c r="U446" s="2">
        <f t="shared" si="5"/>
        <v>1</v>
      </c>
      <c r="V446" s="2">
        <f t="shared" si="6"/>
        <v>1</v>
      </c>
    </row>
    <row r="447" ht="14.25" customHeight="1">
      <c r="A447" s="2" t="s">
        <v>496</v>
      </c>
      <c r="B447" s="2" t="s">
        <v>30</v>
      </c>
      <c r="C447" s="2" t="s">
        <v>19</v>
      </c>
      <c r="D447" s="8" t="s">
        <v>624</v>
      </c>
      <c r="E447" s="6">
        <v>45246.0</v>
      </c>
      <c r="F447" s="6">
        <v>45343.0</v>
      </c>
      <c r="G447" s="7">
        <v>5.716503787E9</v>
      </c>
      <c r="H447" s="2" t="s">
        <v>67</v>
      </c>
      <c r="I447" s="2">
        <f t="shared" ref="I447:P447" si="450">IF(ISBLANK(A447)=TRUE,0,1)</f>
        <v>1</v>
      </c>
      <c r="J447" s="2">
        <f t="shared" si="450"/>
        <v>1</v>
      </c>
      <c r="K447" s="2">
        <f t="shared" si="450"/>
        <v>1</v>
      </c>
      <c r="L447" s="2">
        <f t="shared" si="450"/>
        <v>1</v>
      </c>
      <c r="M447" s="2">
        <f t="shared" si="450"/>
        <v>1</v>
      </c>
      <c r="N447" s="2">
        <f t="shared" si="450"/>
        <v>1</v>
      </c>
      <c r="O447" s="2">
        <f t="shared" si="450"/>
        <v>1</v>
      </c>
      <c r="P447" s="2">
        <f t="shared" si="450"/>
        <v>1</v>
      </c>
      <c r="Q447" s="2">
        <f t="shared" si="3"/>
        <v>1</v>
      </c>
      <c r="R447" s="2">
        <f>IF(ISERROR(VLOOKUP(A447, 'Project Reference'!A:A, 1, FALSE)), 0, 1)</f>
        <v>1</v>
      </c>
      <c r="S447" s="2">
        <f>IFERROR(__xludf.DUMMYFUNCTION("IF(AND(REGEXMATCH(D447, B447), REGEXMATCH(D447, C447)), 1, 0)
"),1.0)</f>
        <v>1</v>
      </c>
      <c r="T447" s="2">
        <f t="shared" si="4"/>
        <v>1</v>
      </c>
      <c r="U447" s="2">
        <f t="shared" si="5"/>
        <v>1</v>
      </c>
      <c r="V447" s="2">
        <f t="shared" si="6"/>
        <v>1</v>
      </c>
    </row>
    <row r="448" ht="14.25" customHeight="1">
      <c r="A448" s="2" t="s">
        <v>497</v>
      </c>
      <c r="B448" s="2" t="s">
        <v>35</v>
      </c>
      <c r="C448" s="2" t="s">
        <v>48</v>
      </c>
      <c r="D448" s="2" t="s">
        <v>49</v>
      </c>
      <c r="E448" s="6">
        <v>45247.0</v>
      </c>
      <c r="F448" s="6">
        <v>45328.0</v>
      </c>
      <c r="G448" s="7">
        <v>5.37845909E8</v>
      </c>
      <c r="H448" s="2" t="s">
        <v>50</v>
      </c>
      <c r="I448" s="2">
        <f t="shared" ref="I448:P448" si="451">IF(ISBLANK(A448)=TRUE,0,1)</f>
        <v>1</v>
      </c>
      <c r="J448" s="2">
        <f t="shared" si="451"/>
        <v>1</v>
      </c>
      <c r="K448" s="2">
        <f t="shared" si="451"/>
        <v>1</v>
      </c>
      <c r="L448" s="2">
        <f t="shared" si="451"/>
        <v>1</v>
      </c>
      <c r="M448" s="2">
        <f t="shared" si="451"/>
        <v>1</v>
      </c>
      <c r="N448" s="2">
        <f t="shared" si="451"/>
        <v>1</v>
      </c>
      <c r="O448" s="2">
        <f t="shared" si="451"/>
        <v>1</v>
      </c>
      <c r="P448" s="2">
        <f t="shared" si="451"/>
        <v>1</v>
      </c>
      <c r="Q448" s="2">
        <f t="shared" si="3"/>
        <v>1</v>
      </c>
      <c r="R448" s="2">
        <f>IF(ISERROR(VLOOKUP(A448, 'Project Reference'!A:A, 1, FALSE)), 0, 1)</f>
        <v>1</v>
      </c>
      <c r="S448" s="2">
        <f>IFERROR(__xludf.DUMMYFUNCTION("IF(AND(REGEXMATCH(D448, B448), REGEXMATCH(D448, C448)), 1, 0)
"),1.0)</f>
        <v>1</v>
      </c>
      <c r="T448" s="2">
        <f t="shared" si="4"/>
        <v>1</v>
      </c>
      <c r="U448" s="2">
        <f t="shared" si="5"/>
        <v>1</v>
      </c>
      <c r="V448" s="2">
        <f t="shared" si="6"/>
        <v>1</v>
      </c>
    </row>
    <row r="449" ht="14.25" customHeight="1">
      <c r="A449" s="2" t="s">
        <v>498</v>
      </c>
      <c r="B449" s="2" t="s">
        <v>12</v>
      </c>
      <c r="C449" s="2" t="s">
        <v>24</v>
      </c>
      <c r="D449" s="8" t="s">
        <v>610</v>
      </c>
      <c r="E449" s="6">
        <v>45247.0</v>
      </c>
      <c r="F449" s="6">
        <v>45499.0</v>
      </c>
      <c r="G449" s="7">
        <v>8.00732653E8</v>
      </c>
      <c r="H449" s="2" t="s">
        <v>33</v>
      </c>
      <c r="I449" s="2">
        <f t="shared" ref="I449:P449" si="452">IF(ISBLANK(A449)=TRUE,0,1)</f>
        <v>1</v>
      </c>
      <c r="J449" s="2">
        <f t="shared" si="452"/>
        <v>1</v>
      </c>
      <c r="K449" s="2">
        <f t="shared" si="452"/>
        <v>1</v>
      </c>
      <c r="L449" s="2">
        <f t="shared" si="452"/>
        <v>1</v>
      </c>
      <c r="M449" s="2">
        <f t="shared" si="452"/>
        <v>1</v>
      </c>
      <c r="N449" s="2">
        <f t="shared" si="452"/>
        <v>1</v>
      </c>
      <c r="O449" s="2">
        <f t="shared" si="452"/>
        <v>1</v>
      </c>
      <c r="P449" s="2">
        <f t="shared" si="452"/>
        <v>1</v>
      </c>
      <c r="Q449" s="2">
        <f t="shared" si="3"/>
        <v>1</v>
      </c>
      <c r="R449" s="2">
        <f>IF(ISERROR(VLOOKUP(A449, 'Project Reference'!A:A, 1, FALSE)), 0, 1)</f>
        <v>1</v>
      </c>
      <c r="S449" s="2">
        <f>IFERROR(__xludf.DUMMYFUNCTION("IF(AND(REGEXMATCH(D449, B449), REGEXMATCH(D449, C449)), 1, 0)
"),1.0)</f>
        <v>1</v>
      </c>
      <c r="T449" s="2">
        <f t="shared" si="4"/>
        <v>1</v>
      </c>
      <c r="U449" s="2">
        <f t="shared" si="5"/>
        <v>1</v>
      </c>
      <c r="V449" s="2">
        <f t="shared" si="6"/>
        <v>1</v>
      </c>
    </row>
    <row r="450" ht="14.25" customHeight="1">
      <c r="A450" s="2" t="s">
        <v>499</v>
      </c>
      <c r="B450" s="2" t="s">
        <v>30</v>
      </c>
      <c r="C450" s="2" t="s">
        <v>48</v>
      </c>
      <c r="D450" s="8" t="s">
        <v>615</v>
      </c>
      <c r="E450" s="6">
        <v>45248.0</v>
      </c>
      <c r="F450" s="6">
        <v>45605.0</v>
      </c>
      <c r="G450" s="7">
        <v>6.76299944E8</v>
      </c>
      <c r="H450" s="2" t="s">
        <v>50</v>
      </c>
      <c r="I450" s="2">
        <f t="shared" ref="I450:P450" si="453">IF(ISBLANK(A450)=TRUE,0,1)</f>
        <v>1</v>
      </c>
      <c r="J450" s="2">
        <f t="shared" si="453"/>
        <v>1</v>
      </c>
      <c r="K450" s="2">
        <f t="shared" si="453"/>
        <v>1</v>
      </c>
      <c r="L450" s="2">
        <f t="shared" si="453"/>
        <v>1</v>
      </c>
      <c r="M450" s="2">
        <f t="shared" si="453"/>
        <v>1</v>
      </c>
      <c r="N450" s="2">
        <f t="shared" si="453"/>
        <v>1</v>
      </c>
      <c r="O450" s="2">
        <f t="shared" si="453"/>
        <v>1</v>
      </c>
      <c r="P450" s="2">
        <f t="shared" si="453"/>
        <v>1</v>
      </c>
      <c r="Q450" s="2">
        <f t="shared" si="3"/>
        <v>1</v>
      </c>
      <c r="R450" s="2">
        <f>IF(ISERROR(VLOOKUP(A450, 'Project Reference'!A:A, 1, FALSE)), 0, 1)</f>
        <v>1</v>
      </c>
      <c r="S450" s="2">
        <f>IFERROR(__xludf.DUMMYFUNCTION("IF(AND(REGEXMATCH(D450, B450), REGEXMATCH(D450, C450)), 1, 0)
"),1.0)</f>
        <v>1</v>
      </c>
      <c r="T450" s="2">
        <f t="shared" si="4"/>
        <v>1</v>
      </c>
      <c r="U450" s="2">
        <f t="shared" si="5"/>
        <v>1</v>
      </c>
      <c r="V450" s="2">
        <f t="shared" si="6"/>
        <v>1</v>
      </c>
    </row>
    <row r="451" ht="14.25" customHeight="1">
      <c r="A451" s="2" t="s">
        <v>500</v>
      </c>
      <c r="B451" s="2" t="s">
        <v>30</v>
      </c>
      <c r="C451" s="2" t="s">
        <v>39</v>
      </c>
      <c r="D451" s="8" t="s">
        <v>590</v>
      </c>
      <c r="E451" s="6">
        <v>45248.0</v>
      </c>
      <c r="F451" s="6">
        <v>45481.0</v>
      </c>
      <c r="G451" s="7">
        <v>5.621717823E9</v>
      </c>
      <c r="H451" s="8" t="s">
        <v>573</v>
      </c>
      <c r="I451" s="2">
        <f t="shared" ref="I451:P451" si="454">IF(ISBLANK(A451)=TRUE,0,1)</f>
        <v>1</v>
      </c>
      <c r="J451" s="2">
        <f t="shared" si="454"/>
        <v>1</v>
      </c>
      <c r="K451" s="2">
        <f t="shared" si="454"/>
        <v>1</v>
      </c>
      <c r="L451" s="2">
        <f t="shared" si="454"/>
        <v>1</v>
      </c>
      <c r="M451" s="2">
        <f t="shared" si="454"/>
        <v>1</v>
      </c>
      <c r="N451" s="2">
        <f t="shared" si="454"/>
        <v>1</v>
      </c>
      <c r="O451" s="2">
        <f t="shared" si="454"/>
        <v>1</v>
      </c>
      <c r="P451" s="2">
        <f t="shared" si="454"/>
        <v>1</v>
      </c>
      <c r="Q451" s="2">
        <f t="shared" si="3"/>
        <v>1</v>
      </c>
      <c r="R451" s="2">
        <f>IF(ISERROR(VLOOKUP(A451, 'Project Reference'!A:A, 1, FALSE)), 0, 1)</f>
        <v>1</v>
      </c>
      <c r="S451" s="2">
        <f>IFERROR(__xludf.DUMMYFUNCTION("IF(AND(REGEXMATCH(D451, B451), REGEXMATCH(D451, C451)), 1, 0)
"),1.0)</f>
        <v>1</v>
      </c>
      <c r="T451" s="2">
        <f t="shared" si="4"/>
        <v>1</v>
      </c>
      <c r="U451" s="2">
        <f t="shared" si="5"/>
        <v>1</v>
      </c>
      <c r="V451" s="2">
        <f t="shared" si="6"/>
        <v>1</v>
      </c>
    </row>
    <row r="452" ht="14.25" customHeight="1">
      <c r="A452" s="2" t="s">
        <v>501</v>
      </c>
      <c r="B452" s="2" t="s">
        <v>18</v>
      </c>
      <c r="C452" s="2" t="s">
        <v>48</v>
      </c>
      <c r="D452" s="8" t="s">
        <v>629</v>
      </c>
      <c r="E452" s="6">
        <v>45248.0</v>
      </c>
      <c r="F452" s="6">
        <v>45412.0</v>
      </c>
      <c r="G452" s="7">
        <v>1.652704535E9</v>
      </c>
      <c r="H452" s="2" t="s">
        <v>44</v>
      </c>
      <c r="I452" s="2">
        <f t="shared" ref="I452:P452" si="455">IF(ISBLANK(A452)=TRUE,0,1)</f>
        <v>1</v>
      </c>
      <c r="J452" s="2">
        <f t="shared" si="455"/>
        <v>1</v>
      </c>
      <c r="K452" s="2">
        <f t="shared" si="455"/>
        <v>1</v>
      </c>
      <c r="L452" s="2">
        <f t="shared" si="455"/>
        <v>1</v>
      </c>
      <c r="M452" s="2">
        <f t="shared" si="455"/>
        <v>1</v>
      </c>
      <c r="N452" s="2">
        <f t="shared" si="455"/>
        <v>1</v>
      </c>
      <c r="O452" s="2">
        <f t="shared" si="455"/>
        <v>1</v>
      </c>
      <c r="P452" s="2">
        <f t="shared" si="455"/>
        <v>1</v>
      </c>
      <c r="Q452" s="2">
        <f t="shared" si="3"/>
        <v>1</v>
      </c>
      <c r="R452" s="2">
        <f>IF(ISERROR(VLOOKUP(A452, 'Project Reference'!A:A, 1, FALSE)), 0, 1)</f>
        <v>1</v>
      </c>
      <c r="S452" s="2">
        <f>IFERROR(__xludf.DUMMYFUNCTION("IF(AND(REGEXMATCH(D452, B452), REGEXMATCH(D452, C452)), 1, 0)
"),1.0)</f>
        <v>1</v>
      </c>
      <c r="T452" s="2">
        <f t="shared" si="4"/>
        <v>1</v>
      </c>
      <c r="U452" s="2">
        <f t="shared" si="5"/>
        <v>1</v>
      </c>
      <c r="V452" s="2">
        <f t="shared" si="6"/>
        <v>1</v>
      </c>
    </row>
    <row r="453" ht="14.25" customHeight="1">
      <c r="A453" s="2" t="s">
        <v>502</v>
      </c>
      <c r="B453" s="2" t="s">
        <v>30</v>
      </c>
      <c r="C453" s="2" t="s">
        <v>13</v>
      </c>
      <c r="D453" s="8" t="s">
        <v>630</v>
      </c>
      <c r="E453" s="6">
        <v>45249.0</v>
      </c>
      <c r="F453" s="6">
        <v>45590.0</v>
      </c>
      <c r="G453" s="7">
        <v>2.69627612E9</v>
      </c>
      <c r="H453" s="2" t="s">
        <v>21</v>
      </c>
      <c r="I453" s="2">
        <f t="shared" ref="I453:P453" si="456">IF(ISBLANK(A453)=TRUE,0,1)</f>
        <v>1</v>
      </c>
      <c r="J453" s="2">
        <f t="shared" si="456"/>
        <v>1</v>
      </c>
      <c r="K453" s="2">
        <f t="shared" si="456"/>
        <v>1</v>
      </c>
      <c r="L453" s="2">
        <f t="shared" si="456"/>
        <v>1</v>
      </c>
      <c r="M453" s="2">
        <f t="shared" si="456"/>
        <v>1</v>
      </c>
      <c r="N453" s="2">
        <f t="shared" si="456"/>
        <v>1</v>
      </c>
      <c r="O453" s="2">
        <f t="shared" si="456"/>
        <v>1</v>
      </c>
      <c r="P453" s="2">
        <f t="shared" si="456"/>
        <v>1</v>
      </c>
      <c r="Q453" s="2">
        <f t="shared" si="3"/>
        <v>1</v>
      </c>
      <c r="R453" s="2">
        <f>IF(ISERROR(VLOOKUP(A453, 'Project Reference'!A:A, 1, FALSE)), 0, 1)</f>
        <v>1</v>
      </c>
      <c r="S453" s="2">
        <f>IFERROR(__xludf.DUMMYFUNCTION("IF(AND(REGEXMATCH(D453, B453), REGEXMATCH(D453, C453)), 1, 0)
"),1.0)</f>
        <v>1</v>
      </c>
      <c r="T453" s="2">
        <f t="shared" si="4"/>
        <v>1</v>
      </c>
      <c r="U453" s="2">
        <f t="shared" si="5"/>
        <v>1</v>
      </c>
      <c r="V453" s="2">
        <f t="shared" si="6"/>
        <v>1</v>
      </c>
    </row>
    <row r="454" ht="14.25" customHeight="1">
      <c r="A454" s="2" t="s">
        <v>503</v>
      </c>
      <c r="B454" s="2" t="s">
        <v>35</v>
      </c>
      <c r="C454" s="2" t="s">
        <v>48</v>
      </c>
      <c r="D454" s="2" t="s">
        <v>49</v>
      </c>
      <c r="E454" s="6">
        <v>45249.0</v>
      </c>
      <c r="F454" s="6">
        <v>45512.0</v>
      </c>
      <c r="G454" s="7">
        <v>3.44399927E8</v>
      </c>
      <c r="H454" s="8" t="s">
        <v>573</v>
      </c>
      <c r="I454" s="2">
        <f t="shared" ref="I454:P454" si="457">IF(ISBLANK(A454)=TRUE,0,1)</f>
        <v>1</v>
      </c>
      <c r="J454" s="2">
        <f t="shared" si="457"/>
        <v>1</v>
      </c>
      <c r="K454" s="2">
        <f t="shared" si="457"/>
        <v>1</v>
      </c>
      <c r="L454" s="2">
        <f t="shared" si="457"/>
        <v>1</v>
      </c>
      <c r="M454" s="2">
        <f t="shared" si="457"/>
        <v>1</v>
      </c>
      <c r="N454" s="2">
        <f t="shared" si="457"/>
        <v>1</v>
      </c>
      <c r="O454" s="2">
        <f t="shared" si="457"/>
        <v>1</v>
      </c>
      <c r="P454" s="2">
        <f t="shared" si="457"/>
        <v>1</v>
      </c>
      <c r="Q454" s="2">
        <f t="shared" si="3"/>
        <v>1</v>
      </c>
      <c r="R454" s="2">
        <f>IF(ISERROR(VLOOKUP(A454, 'Project Reference'!A:A, 1, FALSE)), 0, 1)</f>
        <v>1</v>
      </c>
      <c r="S454" s="2">
        <f>IFERROR(__xludf.DUMMYFUNCTION("IF(AND(REGEXMATCH(D454, B454), REGEXMATCH(D454, C454)), 1, 0)
"),1.0)</f>
        <v>1</v>
      </c>
      <c r="T454" s="2">
        <f t="shared" si="4"/>
        <v>1</v>
      </c>
      <c r="U454" s="2">
        <f t="shared" si="5"/>
        <v>1</v>
      </c>
      <c r="V454" s="2">
        <f t="shared" si="6"/>
        <v>1</v>
      </c>
    </row>
    <row r="455" ht="14.25" customHeight="1">
      <c r="A455" s="2" t="s">
        <v>504</v>
      </c>
      <c r="B455" s="2" t="s">
        <v>35</v>
      </c>
      <c r="C455" s="2" t="s">
        <v>24</v>
      </c>
      <c r="D455" s="2" t="s">
        <v>133</v>
      </c>
      <c r="E455" s="6">
        <v>45249.0</v>
      </c>
      <c r="F455" s="6">
        <v>45478.0</v>
      </c>
      <c r="G455" s="7">
        <v>6.24334418E8</v>
      </c>
      <c r="H455" s="2" t="s">
        <v>50</v>
      </c>
      <c r="I455" s="2">
        <f t="shared" ref="I455:P455" si="458">IF(ISBLANK(A455)=TRUE,0,1)</f>
        <v>1</v>
      </c>
      <c r="J455" s="2">
        <f t="shared" si="458"/>
        <v>1</v>
      </c>
      <c r="K455" s="2">
        <f t="shared" si="458"/>
        <v>1</v>
      </c>
      <c r="L455" s="2">
        <f t="shared" si="458"/>
        <v>1</v>
      </c>
      <c r="M455" s="2">
        <f t="shared" si="458"/>
        <v>1</v>
      </c>
      <c r="N455" s="2">
        <f t="shared" si="458"/>
        <v>1</v>
      </c>
      <c r="O455" s="2">
        <f t="shared" si="458"/>
        <v>1</v>
      </c>
      <c r="P455" s="2">
        <f t="shared" si="458"/>
        <v>1</v>
      </c>
      <c r="Q455" s="2">
        <f t="shared" si="3"/>
        <v>1</v>
      </c>
      <c r="R455" s="2">
        <f>IF(ISERROR(VLOOKUP(A455, 'Project Reference'!A:A, 1, FALSE)), 0, 1)</f>
        <v>1</v>
      </c>
      <c r="S455" s="2">
        <f>IFERROR(__xludf.DUMMYFUNCTION("IF(AND(REGEXMATCH(D455, B455), REGEXMATCH(D455, C455)), 1, 0)
"),1.0)</f>
        <v>1</v>
      </c>
      <c r="T455" s="2">
        <f t="shared" si="4"/>
        <v>1</v>
      </c>
      <c r="U455" s="2">
        <f t="shared" si="5"/>
        <v>1</v>
      </c>
      <c r="V455" s="2">
        <f t="shared" si="6"/>
        <v>1</v>
      </c>
    </row>
    <row r="456" ht="14.25" customHeight="1">
      <c r="A456" s="2" t="s">
        <v>505</v>
      </c>
      <c r="B456" s="2" t="s">
        <v>30</v>
      </c>
      <c r="C456" s="2" t="s">
        <v>36</v>
      </c>
      <c r="D456" s="8" t="s">
        <v>614</v>
      </c>
      <c r="E456" s="6">
        <v>45252.0</v>
      </c>
      <c r="F456" s="6">
        <v>45467.0</v>
      </c>
      <c r="G456" s="7">
        <v>7.036506058E9</v>
      </c>
      <c r="H456" s="2" t="s">
        <v>50</v>
      </c>
      <c r="I456" s="2">
        <f t="shared" ref="I456:P456" si="459">IF(ISBLANK(A456)=TRUE,0,1)</f>
        <v>1</v>
      </c>
      <c r="J456" s="2">
        <f t="shared" si="459"/>
        <v>1</v>
      </c>
      <c r="K456" s="2">
        <f t="shared" si="459"/>
        <v>1</v>
      </c>
      <c r="L456" s="2">
        <f t="shared" si="459"/>
        <v>1</v>
      </c>
      <c r="M456" s="2">
        <f t="shared" si="459"/>
        <v>1</v>
      </c>
      <c r="N456" s="2">
        <f t="shared" si="459"/>
        <v>1</v>
      </c>
      <c r="O456" s="2">
        <f t="shared" si="459"/>
        <v>1</v>
      </c>
      <c r="P456" s="2">
        <f t="shared" si="459"/>
        <v>1</v>
      </c>
      <c r="Q456" s="2">
        <f t="shared" si="3"/>
        <v>1</v>
      </c>
      <c r="R456" s="2">
        <f>IF(ISERROR(VLOOKUP(A456, 'Project Reference'!A:A, 1, FALSE)), 0, 1)</f>
        <v>1</v>
      </c>
      <c r="S456" s="2">
        <f>IFERROR(__xludf.DUMMYFUNCTION("IF(AND(REGEXMATCH(D456, B456), REGEXMATCH(D456, C456)), 1, 0)
"),1.0)</f>
        <v>1</v>
      </c>
      <c r="T456" s="2">
        <f t="shared" si="4"/>
        <v>1</v>
      </c>
      <c r="U456" s="2">
        <f t="shared" si="5"/>
        <v>1</v>
      </c>
      <c r="V456" s="2">
        <f t="shared" si="6"/>
        <v>1</v>
      </c>
    </row>
    <row r="457" ht="14.25" customHeight="1">
      <c r="A457" s="2" t="s">
        <v>506</v>
      </c>
      <c r="B457" s="2" t="s">
        <v>18</v>
      </c>
      <c r="C457" s="2" t="s">
        <v>48</v>
      </c>
      <c r="D457" s="8" t="s">
        <v>629</v>
      </c>
      <c r="E457" s="6">
        <v>45253.0</v>
      </c>
      <c r="F457" s="6">
        <v>45512.0</v>
      </c>
      <c r="G457" s="7">
        <v>4.458001292E9</v>
      </c>
      <c r="H457" s="22"/>
      <c r="I457" s="2">
        <f t="shared" ref="I457:P457" si="460">IF(ISBLANK(A457)=TRUE,0,1)</f>
        <v>1</v>
      </c>
      <c r="J457" s="2">
        <f t="shared" si="460"/>
        <v>1</v>
      </c>
      <c r="K457" s="2">
        <f t="shared" si="460"/>
        <v>1</v>
      </c>
      <c r="L457" s="2">
        <f t="shared" si="460"/>
        <v>1</v>
      </c>
      <c r="M457" s="2">
        <f t="shared" si="460"/>
        <v>1</v>
      </c>
      <c r="N457" s="2">
        <f t="shared" si="460"/>
        <v>1</v>
      </c>
      <c r="O457" s="2">
        <f t="shared" si="460"/>
        <v>1</v>
      </c>
      <c r="P457" s="2">
        <f t="shared" si="460"/>
        <v>0</v>
      </c>
      <c r="Q457" s="2">
        <f t="shared" si="3"/>
        <v>1</v>
      </c>
      <c r="R457" s="2">
        <f>IF(ISERROR(VLOOKUP(A457, 'Project Reference'!A:A, 1, FALSE)), 0, 1)</f>
        <v>1</v>
      </c>
      <c r="S457" s="2">
        <f>IFERROR(__xludf.DUMMYFUNCTION("IF(AND(REGEXMATCH(D457, B457), REGEXMATCH(D457, C457)), 1, 0)
"),1.0)</f>
        <v>1</v>
      </c>
      <c r="T457" s="2">
        <f t="shared" si="4"/>
        <v>1</v>
      </c>
      <c r="U457" s="2">
        <f t="shared" si="5"/>
        <v>1</v>
      </c>
      <c r="V457" s="2">
        <f t="shared" si="6"/>
        <v>1</v>
      </c>
    </row>
    <row r="458" ht="14.25" customHeight="1">
      <c r="A458" s="2" t="s">
        <v>507</v>
      </c>
      <c r="B458" s="2" t="s">
        <v>30</v>
      </c>
      <c r="C458" s="2" t="s">
        <v>19</v>
      </c>
      <c r="D458" s="8" t="s">
        <v>624</v>
      </c>
      <c r="E458" s="6">
        <v>45254.0</v>
      </c>
      <c r="F458" s="6">
        <v>45331.0</v>
      </c>
      <c r="G458" s="7">
        <v>6.553637483E9</v>
      </c>
      <c r="H458" s="22"/>
      <c r="I458" s="2">
        <f t="shared" ref="I458:P458" si="461">IF(ISBLANK(A458)=TRUE,0,1)</f>
        <v>1</v>
      </c>
      <c r="J458" s="2">
        <f t="shared" si="461"/>
        <v>1</v>
      </c>
      <c r="K458" s="2">
        <f t="shared" si="461"/>
        <v>1</v>
      </c>
      <c r="L458" s="2">
        <f t="shared" si="461"/>
        <v>1</v>
      </c>
      <c r="M458" s="2">
        <f t="shared" si="461"/>
        <v>1</v>
      </c>
      <c r="N458" s="2">
        <f t="shared" si="461"/>
        <v>1</v>
      </c>
      <c r="O458" s="2">
        <f t="shared" si="461"/>
        <v>1</v>
      </c>
      <c r="P458" s="2">
        <f t="shared" si="461"/>
        <v>0</v>
      </c>
      <c r="Q458" s="2">
        <f t="shared" si="3"/>
        <v>1</v>
      </c>
      <c r="R458" s="2">
        <f>IF(ISERROR(VLOOKUP(A458, 'Project Reference'!A:A, 1, FALSE)), 0, 1)</f>
        <v>1</v>
      </c>
      <c r="S458" s="2">
        <f>IFERROR(__xludf.DUMMYFUNCTION("IF(AND(REGEXMATCH(D458, B458), REGEXMATCH(D458, C458)), 1, 0)
"),1.0)</f>
        <v>1</v>
      </c>
      <c r="T458" s="2">
        <f t="shared" si="4"/>
        <v>1</v>
      </c>
      <c r="U458" s="2">
        <f t="shared" si="5"/>
        <v>1</v>
      </c>
      <c r="V458" s="2">
        <f t="shared" si="6"/>
        <v>1</v>
      </c>
    </row>
    <row r="459" ht="14.25" customHeight="1">
      <c r="A459" s="2" t="s">
        <v>508</v>
      </c>
      <c r="B459" s="2" t="s">
        <v>30</v>
      </c>
      <c r="C459" s="2" t="s">
        <v>24</v>
      </c>
      <c r="D459" s="8" t="s">
        <v>637</v>
      </c>
      <c r="E459" s="6">
        <v>45254.0</v>
      </c>
      <c r="F459" s="6">
        <v>45547.0</v>
      </c>
      <c r="G459" s="7">
        <v>5.694242987E9</v>
      </c>
      <c r="H459" s="8" t="s">
        <v>581</v>
      </c>
      <c r="I459" s="2">
        <f t="shared" ref="I459:P459" si="462">IF(ISBLANK(A459)=TRUE,0,1)</f>
        <v>1</v>
      </c>
      <c r="J459" s="2">
        <f t="shared" si="462"/>
        <v>1</v>
      </c>
      <c r="K459" s="2">
        <f t="shared" si="462"/>
        <v>1</v>
      </c>
      <c r="L459" s="2">
        <f t="shared" si="462"/>
        <v>1</v>
      </c>
      <c r="M459" s="2">
        <f t="shared" si="462"/>
        <v>1</v>
      </c>
      <c r="N459" s="2">
        <f t="shared" si="462"/>
        <v>1</v>
      </c>
      <c r="O459" s="2">
        <f t="shared" si="462"/>
        <v>1</v>
      </c>
      <c r="P459" s="2">
        <f t="shared" si="462"/>
        <v>1</v>
      </c>
      <c r="Q459" s="2">
        <f t="shared" si="3"/>
        <v>1</v>
      </c>
      <c r="R459" s="2">
        <f>IF(ISERROR(VLOOKUP(A459, 'Project Reference'!A:A, 1, FALSE)), 0, 1)</f>
        <v>1</v>
      </c>
      <c r="S459" s="2">
        <f>IFERROR(__xludf.DUMMYFUNCTION("IF(AND(REGEXMATCH(D459, B459), REGEXMATCH(D459, C459)), 1, 0)
"),1.0)</f>
        <v>1</v>
      </c>
      <c r="T459" s="2">
        <f t="shared" si="4"/>
        <v>1</v>
      </c>
      <c r="U459" s="2">
        <f t="shared" si="5"/>
        <v>1</v>
      </c>
      <c r="V459" s="2">
        <f t="shared" si="6"/>
        <v>1</v>
      </c>
    </row>
    <row r="460" ht="14.25" customHeight="1">
      <c r="A460" s="2" t="s">
        <v>509</v>
      </c>
      <c r="B460" s="2" t="s">
        <v>30</v>
      </c>
      <c r="C460" s="2" t="s">
        <v>19</v>
      </c>
      <c r="D460" s="8" t="s">
        <v>624</v>
      </c>
      <c r="E460" s="6">
        <v>45255.0</v>
      </c>
      <c r="F460" s="6">
        <v>45461.0</v>
      </c>
      <c r="G460" s="7">
        <v>2.266697296E9</v>
      </c>
      <c r="H460" s="22"/>
      <c r="I460" s="2">
        <f t="shared" ref="I460:P460" si="463">IF(ISBLANK(A460)=TRUE,0,1)</f>
        <v>1</v>
      </c>
      <c r="J460" s="2">
        <f t="shared" si="463"/>
        <v>1</v>
      </c>
      <c r="K460" s="2">
        <f t="shared" si="463"/>
        <v>1</v>
      </c>
      <c r="L460" s="2">
        <f t="shared" si="463"/>
        <v>1</v>
      </c>
      <c r="M460" s="2">
        <f t="shared" si="463"/>
        <v>1</v>
      </c>
      <c r="N460" s="2">
        <f t="shared" si="463"/>
        <v>1</v>
      </c>
      <c r="O460" s="2">
        <f t="shared" si="463"/>
        <v>1</v>
      </c>
      <c r="P460" s="2">
        <f t="shared" si="463"/>
        <v>0</v>
      </c>
      <c r="Q460" s="2">
        <f t="shared" si="3"/>
        <v>1</v>
      </c>
      <c r="R460" s="2">
        <f>IF(ISERROR(VLOOKUP(A460, 'Project Reference'!A:A, 1, FALSE)), 0, 1)</f>
        <v>1</v>
      </c>
      <c r="S460" s="2">
        <f>IFERROR(__xludf.DUMMYFUNCTION("IF(AND(REGEXMATCH(D460, B460), REGEXMATCH(D460, C460)), 1, 0)
"),1.0)</f>
        <v>1</v>
      </c>
      <c r="T460" s="2">
        <f t="shared" si="4"/>
        <v>1</v>
      </c>
      <c r="U460" s="2">
        <f t="shared" si="5"/>
        <v>1</v>
      </c>
      <c r="V460" s="2">
        <f t="shared" si="6"/>
        <v>1</v>
      </c>
    </row>
    <row r="461" ht="14.25" customHeight="1">
      <c r="A461" s="2" t="s">
        <v>510</v>
      </c>
      <c r="B461" s="2" t="s">
        <v>35</v>
      </c>
      <c r="C461" s="2" t="s">
        <v>13</v>
      </c>
      <c r="D461" s="2" t="s">
        <v>78</v>
      </c>
      <c r="E461" s="6">
        <v>45258.0</v>
      </c>
      <c r="F461" s="6">
        <v>45497.0</v>
      </c>
      <c r="G461" s="7">
        <v>4.49824902E8</v>
      </c>
      <c r="H461" s="2" t="s">
        <v>50</v>
      </c>
      <c r="I461" s="2">
        <f t="shared" ref="I461:P461" si="464">IF(ISBLANK(A461)=TRUE,0,1)</f>
        <v>1</v>
      </c>
      <c r="J461" s="2">
        <f t="shared" si="464"/>
        <v>1</v>
      </c>
      <c r="K461" s="2">
        <f t="shared" si="464"/>
        <v>1</v>
      </c>
      <c r="L461" s="2">
        <f t="shared" si="464"/>
        <v>1</v>
      </c>
      <c r="M461" s="2">
        <f t="shared" si="464"/>
        <v>1</v>
      </c>
      <c r="N461" s="2">
        <f t="shared" si="464"/>
        <v>1</v>
      </c>
      <c r="O461" s="2">
        <f t="shared" si="464"/>
        <v>1</v>
      </c>
      <c r="P461" s="2">
        <f t="shared" si="464"/>
        <v>1</v>
      </c>
      <c r="Q461" s="2">
        <f t="shared" si="3"/>
        <v>1</v>
      </c>
      <c r="R461" s="2">
        <f>IF(ISERROR(VLOOKUP(A461, 'Project Reference'!A:A, 1, FALSE)), 0, 1)</f>
        <v>1</v>
      </c>
      <c r="S461" s="2">
        <f>IFERROR(__xludf.DUMMYFUNCTION("IF(AND(REGEXMATCH(D461, B461), REGEXMATCH(D461, C461)), 1, 0)
"),1.0)</f>
        <v>1</v>
      </c>
      <c r="T461" s="2">
        <f t="shared" si="4"/>
        <v>1</v>
      </c>
      <c r="U461" s="2">
        <f t="shared" si="5"/>
        <v>1</v>
      </c>
      <c r="V461" s="2">
        <f t="shared" si="6"/>
        <v>1</v>
      </c>
    </row>
    <row r="462" ht="14.25" customHeight="1">
      <c r="A462" s="2" t="s">
        <v>511</v>
      </c>
      <c r="B462" s="2" t="s">
        <v>12</v>
      </c>
      <c r="C462" s="2" t="s">
        <v>36</v>
      </c>
      <c r="D462" s="8" t="s">
        <v>578</v>
      </c>
      <c r="E462" s="6">
        <v>45259.0</v>
      </c>
      <c r="F462" s="6">
        <v>45579.0</v>
      </c>
      <c r="G462" s="7">
        <v>6.87256096E8</v>
      </c>
      <c r="H462" s="2" t="s">
        <v>21</v>
      </c>
      <c r="I462" s="2">
        <f t="shared" ref="I462:P462" si="465">IF(ISBLANK(A462)=TRUE,0,1)</f>
        <v>1</v>
      </c>
      <c r="J462" s="2">
        <f t="shared" si="465"/>
        <v>1</v>
      </c>
      <c r="K462" s="2">
        <f t="shared" si="465"/>
        <v>1</v>
      </c>
      <c r="L462" s="2">
        <f t="shared" si="465"/>
        <v>1</v>
      </c>
      <c r="M462" s="2">
        <f t="shared" si="465"/>
        <v>1</v>
      </c>
      <c r="N462" s="2">
        <f t="shared" si="465"/>
        <v>1</v>
      </c>
      <c r="O462" s="2">
        <f t="shared" si="465"/>
        <v>1</v>
      </c>
      <c r="P462" s="2">
        <f t="shared" si="465"/>
        <v>1</v>
      </c>
      <c r="Q462" s="2">
        <f t="shared" si="3"/>
        <v>1</v>
      </c>
      <c r="R462" s="2">
        <f>IF(ISERROR(VLOOKUP(A462, 'Project Reference'!A:A, 1, FALSE)), 0, 1)</f>
        <v>1</v>
      </c>
      <c r="S462" s="2">
        <f>IFERROR(__xludf.DUMMYFUNCTION("IF(AND(REGEXMATCH(D462, B462), REGEXMATCH(D462, C462)), 1, 0)
"),1.0)</f>
        <v>1</v>
      </c>
      <c r="T462" s="2">
        <f t="shared" si="4"/>
        <v>1</v>
      </c>
      <c r="U462" s="2">
        <f t="shared" si="5"/>
        <v>1</v>
      </c>
      <c r="V462" s="2">
        <f t="shared" si="6"/>
        <v>1</v>
      </c>
    </row>
    <row r="463" ht="14.25" customHeight="1">
      <c r="A463" s="2" t="s">
        <v>512</v>
      </c>
      <c r="B463" s="2" t="s">
        <v>12</v>
      </c>
      <c r="C463" s="2" t="s">
        <v>24</v>
      </c>
      <c r="D463" s="8" t="s">
        <v>610</v>
      </c>
      <c r="E463" s="6">
        <v>45259.0</v>
      </c>
      <c r="F463" s="6">
        <v>45542.0</v>
      </c>
      <c r="G463" s="7">
        <v>5.29398283E8</v>
      </c>
      <c r="H463" s="2" t="s">
        <v>67</v>
      </c>
      <c r="I463" s="2">
        <f t="shared" ref="I463:P463" si="466">IF(ISBLANK(A463)=TRUE,0,1)</f>
        <v>1</v>
      </c>
      <c r="J463" s="2">
        <f t="shared" si="466"/>
        <v>1</v>
      </c>
      <c r="K463" s="2">
        <f t="shared" si="466"/>
        <v>1</v>
      </c>
      <c r="L463" s="2">
        <f t="shared" si="466"/>
        <v>1</v>
      </c>
      <c r="M463" s="2">
        <f t="shared" si="466"/>
        <v>1</v>
      </c>
      <c r="N463" s="2">
        <f t="shared" si="466"/>
        <v>1</v>
      </c>
      <c r="O463" s="2">
        <f t="shared" si="466"/>
        <v>1</v>
      </c>
      <c r="P463" s="2">
        <f t="shared" si="466"/>
        <v>1</v>
      </c>
      <c r="Q463" s="2">
        <f t="shared" si="3"/>
        <v>1</v>
      </c>
      <c r="R463" s="2">
        <f>IF(ISERROR(VLOOKUP(A463, 'Project Reference'!A:A, 1, FALSE)), 0, 1)</f>
        <v>1</v>
      </c>
      <c r="S463" s="2">
        <f>IFERROR(__xludf.DUMMYFUNCTION("IF(AND(REGEXMATCH(D463, B463), REGEXMATCH(D463, C463)), 1, 0)
"),1.0)</f>
        <v>1</v>
      </c>
      <c r="T463" s="2">
        <f t="shared" si="4"/>
        <v>1</v>
      </c>
      <c r="U463" s="2">
        <f t="shared" si="5"/>
        <v>1</v>
      </c>
      <c r="V463" s="2">
        <f t="shared" si="6"/>
        <v>1</v>
      </c>
    </row>
    <row r="464" ht="14.25" customHeight="1">
      <c r="A464" s="2" t="s">
        <v>513</v>
      </c>
      <c r="B464" s="2" t="s">
        <v>18</v>
      </c>
      <c r="C464" s="2" t="s">
        <v>48</v>
      </c>
      <c r="D464" s="8" t="s">
        <v>629</v>
      </c>
      <c r="E464" s="6">
        <v>45259.0</v>
      </c>
      <c r="F464" s="6">
        <v>45457.0</v>
      </c>
      <c r="G464" s="7">
        <v>4.710182773E9</v>
      </c>
      <c r="H464" s="8" t="s">
        <v>581</v>
      </c>
      <c r="I464" s="2">
        <f t="shared" ref="I464:P464" si="467">IF(ISBLANK(A464)=TRUE,0,1)</f>
        <v>1</v>
      </c>
      <c r="J464" s="2">
        <f t="shared" si="467"/>
        <v>1</v>
      </c>
      <c r="K464" s="2">
        <f t="shared" si="467"/>
        <v>1</v>
      </c>
      <c r="L464" s="2">
        <f t="shared" si="467"/>
        <v>1</v>
      </c>
      <c r="M464" s="2">
        <f t="shared" si="467"/>
        <v>1</v>
      </c>
      <c r="N464" s="2">
        <f t="shared" si="467"/>
        <v>1</v>
      </c>
      <c r="O464" s="2">
        <f t="shared" si="467"/>
        <v>1</v>
      </c>
      <c r="P464" s="2">
        <f t="shared" si="467"/>
        <v>1</v>
      </c>
      <c r="Q464" s="2">
        <f t="shared" si="3"/>
        <v>1</v>
      </c>
      <c r="R464" s="2">
        <f>IF(ISERROR(VLOOKUP(A464, 'Project Reference'!A:A, 1, FALSE)), 0, 1)</f>
        <v>1</v>
      </c>
      <c r="S464" s="2">
        <f>IFERROR(__xludf.DUMMYFUNCTION("IF(AND(REGEXMATCH(D464, B464), REGEXMATCH(D464, C464)), 1, 0)
"),1.0)</f>
        <v>1</v>
      </c>
      <c r="T464" s="2">
        <f t="shared" si="4"/>
        <v>1</v>
      </c>
      <c r="U464" s="2">
        <f t="shared" si="5"/>
        <v>1</v>
      </c>
      <c r="V464" s="2">
        <f t="shared" si="6"/>
        <v>1</v>
      </c>
    </row>
    <row r="465" ht="14.25" customHeight="1">
      <c r="A465" s="2" t="s">
        <v>514</v>
      </c>
      <c r="B465" s="2" t="s">
        <v>12</v>
      </c>
      <c r="C465" s="2" t="s">
        <v>42</v>
      </c>
      <c r="D465" s="8" t="s">
        <v>603</v>
      </c>
      <c r="E465" s="6">
        <v>45260.0</v>
      </c>
      <c r="F465" s="6">
        <v>45376.0</v>
      </c>
      <c r="G465" s="7">
        <v>7.44960204E8</v>
      </c>
      <c r="H465" s="2" t="s">
        <v>44</v>
      </c>
      <c r="I465" s="2">
        <f t="shared" ref="I465:P465" si="468">IF(ISBLANK(A465)=TRUE,0,1)</f>
        <v>1</v>
      </c>
      <c r="J465" s="2">
        <f t="shared" si="468"/>
        <v>1</v>
      </c>
      <c r="K465" s="2">
        <f t="shared" si="468"/>
        <v>1</v>
      </c>
      <c r="L465" s="2">
        <f t="shared" si="468"/>
        <v>1</v>
      </c>
      <c r="M465" s="2">
        <f t="shared" si="468"/>
        <v>1</v>
      </c>
      <c r="N465" s="2">
        <f t="shared" si="468"/>
        <v>1</v>
      </c>
      <c r="O465" s="2">
        <f t="shared" si="468"/>
        <v>1</v>
      </c>
      <c r="P465" s="2">
        <f t="shared" si="468"/>
        <v>1</v>
      </c>
      <c r="Q465" s="2">
        <f t="shared" si="3"/>
        <v>1</v>
      </c>
      <c r="R465" s="2">
        <f>IF(ISERROR(VLOOKUP(A465, 'Project Reference'!A:A, 1, FALSE)), 0, 1)</f>
        <v>1</v>
      </c>
      <c r="S465" s="2">
        <f>IFERROR(__xludf.DUMMYFUNCTION("IF(AND(REGEXMATCH(D465, B465), REGEXMATCH(D465, C465)), 1, 0)
"),1.0)</f>
        <v>1</v>
      </c>
      <c r="T465" s="2">
        <f t="shared" si="4"/>
        <v>1</v>
      </c>
      <c r="U465" s="2">
        <f t="shared" si="5"/>
        <v>1</v>
      </c>
      <c r="V465" s="2">
        <f t="shared" si="6"/>
        <v>1</v>
      </c>
    </row>
    <row r="466" ht="14.25" customHeight="1">
      <c r="A466" s="2" t="s">
        <v>515</v>
      </c>
      <c r="B466" s="2" t="s">
        <v>18</v>
      </c>
      <c r="C466" s="2" t="s">
        <v>48</v>
      </c>
      <c r="D466" s="8" t="s">
        <v>629</v>
      </c>
      <c r="E466" s="6">
        <v>45260.0</v>
      </c>
      <c r="F466" s="6">
        <v>45384.0</v>
      </c>
      <c r="G466" s="7">
        <v>3.580995628E9</v>
      </c>
      <c r="H466" s="22"/>
      <c r="I466" s="2">
        <f t="shared" ref="I466:P466" si="469">IF(ISBLANK(A466)=TRUE,0,1)</f>
        <v>1</v>
      </c>
      <c r="J466" s="2">
        <f t="shared" si="469"/>
        <v>1</v>
      </c>
      <c r="K466" s="2">
        <f t="shared" si="469"/>
        <v>1</v>
      </c>
      <c r="L466" s="2">
        <f t="shared" si="469"/>
        <v>1</v>
      </c>
      <c r="M466" s="2">
        <f t="shared" si="469"/>
        <v>1</v>
      </c>
      <c r="N466" s="2">
        <f t="shared" si="469"/>
        <v>1</v>
      </c>
      <c r="O466" s="2">
        <f t="shared" si="469"/>
        <v>1</v>
      </c>
      <c r="P466" s="2">
        <f t="shared" si="469"/>
        <v>0</v>
      </c>
      <c r="Q466" s="2">
        <f t="shared" si="3"/>
        <v>1</v>
      </c>
      <c r="R466" s="2">
        <f>IF(ISERROR(VLOOKUP(A466, 'Project Reference'!A:A, 1, FALSE)), 0, 1)</f>
        <v>1</v>
      </c>
      <c r="S466" s="2">
        <f>IFERROR(__xludf.DUMMYFUNCTION("IF(AND(REGEXMATCH(D466, B466), REGEXMATCH(D466, C466)), 1, 0)
"),1.0)</f>
        <v>1</v>
      </c>
      <c r="T466" s="2">
        <f t="shared" si="4"/>
        <v>1</v>
      </c>
      <c r="U466" s="2">
        <f t="shared" si="5"/>
        <v>1</v>
      </c>
      <c r="V466" s="2">
        <f t="shared" si="6"/>
        <v>1</v>
      </c>
    </row>
    <row r="467" ht="14.25" customHeight="1">
      <c r="A467" s="2" t="s">
        <v>516</v>
      </c>
      <c r="B467" s="2" t="s">
        <v>60</v>
      </c>
      <c r="C467" s="2" t="s">
        <v>39</v>
      </c>
      <c r="D467" s="8" t="s">
        <v>626</v>
      </c>
      <c r="E467" s="6">
        <v>45261.0</v>
      </c>
      <c r="F467" s="6">
        <v>45492.0</v>
      </c>
      <c r="G467" s="7">
        <v>3.57450773E9</v>
      </c>
      <c r="H467" s="2" t="s">
        <v>67</v>
      </c>
      <c r="I467" s="2">
        <f t="shared" ref="I467:P467" si="470">IF(ISBLANK(A467)=TRUE,0,1)</f>
        <v>1</v>
      </c>
      <c r="J467" s="2">
        <f t="shared" si="470"/>
        <v>1</v>
      </c>
      <c r="K467" s="2">
        <f t="shared" si="470"/>
        <v>1</v>
      </c>
      <c r="L467" s="2">
        <f t="shared" si="470"/>
        <v>1</v>
      </c>
      <c r="M467" s="2">
        <f t="shared" si="470"/>
        <v>1</v>
      </c>
      <c r="N467" s="2">
        <f t="shared" si="470"/>
        <v>1</v>
      </c>
      <c r="O467" s="2">
        <f t="shared" si="470"/>
        <v>1</v>
      </c>
      <c r="P467" s="2">
        <f t="shared" si="470"/>
        <v>1</v>
      </c>
      <c r="Q467" s="2">
        <f t="shared" si="3"/>
        <v>1</v>
      </c>
      <c r="R467" s="2">
        <f>IF(ISERROR(VLOOKUP(A467, 'Project Reference'!A:A, 1, FALSE)), 0, 1)</f>
        <v>1</v>
      </c>
      <c r="S467" s="2">
        <f>IFERROR(__xludf.DUMMYFUNCTION("IF(AND(REGEXMATCH(D467, B467), REGEXMATCH(D467, C467)), 1, 0)
"),1.0)</f>
        <v>1</v>
      </c>
      <c r="T467" s="2">
        <f t="shared" si="4"/>
        <v>1</v>
      </c>
      <c r="U467" s="2">
        <f t="shared" si="5"/>
        <v>1</v>
      </c>
      <c r="V467" s="2">
        <f t="shared" si="6"/>
        <v>1</v>
      </c>
    </row>
    <row r="468" ht="14.25" customHeight="1">
      <c r="A468" s="2" t="s">
        <v>517</v>
      </c>
      <c r="B468" s="2" t="s">
        <v>60</v>
      </c>
      <c r="C468" s="2" t="s">
        <v>24</v>
      </c>
      <c r="D468" s="8" t="s">
        <v>575</v>
      </c>
      <c r="E468" s="6">
        <v>45261.0</v>
      </c>
      <c r="F468" s="6">
        <v>45525.0</v>
      </c>
      <c r="G468" s="7">
        <v>2.640159197E9</v>
      </c>
      <c r="H468" s="2" t="s">
        <v>50</v>
      </c>
      <c r="I468" s="2">
        <f t="shared" ref="I468:P468" si="471">IF(ISBLANK(A468)=TRUE,0,1)</f>
        <v>1</v>
      </c>
      <c r="J468" s="2">
        <f t="shared" si="471"/>
        <v>1</v>
      </c>
      <c r="K468" s="2">
        <f t="shared" si="471"/>
        <v>1</v>
      </c>
      <c r="L468" s="2">
        <f t="shared" si="471"/>
        <v>1</v>
      </c>
      <c r="M468" s="2">
        <f t="shared" si="471"/>
        <v>1</v>
      </c>
      <c r="N468" s="2">
        <f t="shared" si="471"/>
        <v>1</v>
      </c>
      <c r="O468" s="2">
        <f t="shared" si="471"/>
        <v>1</v>
      </c>
      <c r="P468" s="2">
        <f t="shared" si="471"/>
        <v>1</v>
      </c>
      <c r="Q468" s="2">
        <f t="shared" si="3"/>
        <v>1</v>
      </c>
      <c r="R468" s="2">
        <f>IF(ISERROR(VLOOKUP(A468, 'Project Reference'!A:A, 1, FALSE)), 0, 1)</f>
        <v>1</v>
      </c>
      <c r="S468" s="2">
        <f>IFERROR(__xludf.DUMMYFUNCTION("IF(AND(REGEXMATCH(D468, B468), REGEXMATCH(D468, C468)), 1, 0)
"),1.0)</f>
        <v>1</v>
      </c>
      <c r="T468" s="2">
        <f t="shared" si="4"/>
        <v>1</v>
      </c>
      <c r="U468" s="2">
        <f t="shared" si="5"/>
        <v>1</v>
      </c>
      <c r="V468" s="2">
        <f t="shared" si="6"/>
        <v>1</v>
      </c>
    </row>
    <row r="469" ht="14.25" customHeight="1">
      <c r="A469" s="2" t="s">
        <v>518</v>
      </c>
      <c r="B469" s="2" t="s">
        <v>30</v>
      </c>
      <c r="C469" s="2" t="s">
        <v>39</v>
      </c>
      <c r="D469" s="8" t="s">
        <v>638</v>
      </c>
      <c r="E469" s="6">
        <v>45262.0</v>
      </c>
      <c r="F469" s="6">
        <v>45476.0</v>
      </c>
      <c r="G469" s="7">
        <v>8.57010798E8</v>
      </c>
      <c r="H469" s="8" t="s">
        <v>581</v>
      </c>
      <c r="I469" s="2">
        <f t="shared" ref="I469:P469" si="472">IF(ISBLANK(A469)=TRUE,0,1)</f>
        <v>1</v>
      </c>
      <c r="J469" s="2">
        <f t="shared" si="472"/>
        <v>1</v>
      </c>
      <c r="K469" s="2">
        <f t="shared" si="472"/>
        <v>1</v>
      </c>
      <c r="L469" s="2">
        <f t="shared" si="472"/>
        <v>1</v>
      </c>
      <c r="M469" s="2">
        <f t="shared" si="472"/>
        <v>1</v>
      </c>
      <c r="N469" s="2">
        <f t="shared" si="472"/>
        <v>1</v>
      </c>
      <c r="O469" s="2">
        <f t="shared" si="472"/>
        <v>1</v>
      </c>
      <c r="P469" s="2">
        <f t="shared" si="472"/>
        <v>1</v>
      </c>
      <c r="Q469" s="2">
        <f t="shared" si="3"/>
        <v>1</v>
      </c>
      <c r="R469" s="2">
        <f>IF(ISERROR(VLOOKUP(A469, 'Project Reference'!A:A, 1, FALSE)), 0, 1)</f>
        <v>1</v>
      </c>
      <c r="S469" s="2">
        <f>IFERROR(__xludf.DUMMYFUNCTION("IF(AND(REGEXMATCH(D469, B469), REGEXMATCH(D469, C469)), 1, 0)
"),1.0)</f>
        <v>1</v>
      </c>
      <c r="T469" s="2">
        <f t="shared" si="4"/>
        <v>1</v>
      </c>
      <c r="U469" s="2">
        <f t="shared" si="5"/>
        <v>1</v>
      </c>
      <c r="V469" s="2">
        <f t="shared" si="6"/>
        <v>1</v>
      </c>
    </row>
    <row r="470" ht="14.25" customHeight="1">
      <c r="A470" s="2" t="s">
        <v>519</v>
      </c>
      <c r="B470" s="2" t="s">
        <v>60</v>
      </c>
      <c r="C470" s="2" t="s">
        <v>19</v>
      </c>
      <c r="D470" s="8" t="s">
        <v>616</v>
      </c>
      <c r="E470" s="6">
        <v>45262.0</v>
      </c>
      <c r="F470" s="6">
        <v>45620.0</v>
      </c>
      <c r="G470" s="7">
        <v>3.902836313E9</v>
      </c>
      <c r="H470" s="8" t="s">
        <v>581</v>
      </c>
      <c r="I470" s="2">
        <f t="shared" ref="I470:P470" si="473">IF(ISBLANK(A470)=TRUE,0,1)</f>
        <v>1</v>
      </c>
      <c r="J470" s="2">
        <f t="shared" si="473"/>
        <v>1</v>
      </c>
      <c r="K470" s="2">
        <f t="shared" si="473"/>
        <v>1</v>
      </c>
      <c r="L470" s="2">
        <f t="shared" si="473"/>
        <v>1</v>
      </c>
      <c r="M470" s="2">
        <f t="shared" si="473"/>
        <v>1</v>
      </c>
      <c r="N470" s="2">
        <f t="shared" si="473"/>
        <v>1</v>
      </c>
      <c r="O470" s="2">
        <f t="shared" si="473"/>
        <v>1</v>
      </c>
      <c r="P470" s="2">
        <f t="shared" si="473"/>
        <v>1</v>
      </c>
      <c r="Q470" s="2">
        <f t="shared" si="3"/>
        <v>1</v>
      </c>
      <c r="R470" s="2">
        <f>IF(ISERROR(VLOOKUP(A470, 'Project Reference'!A:A, 1, FALSE)), 0, 1)</f>
        <v>1</v>
      </c>
      <c r="S470" s="2">
        <f>IFERROR(__xludf.DUMMYFUNCTION("IF(AND(REGEXMATCH(D470, B470), REGEXMATCH(D470, C470)), 1, 0)
"),1.0)</f>
        <v>1</v>
      </c>
      <c r="T470" s="2">
        <f t="shared" si="4"/>
        <v>1</v>
      </c>
      <c r="U470" s="2">
        <f t="shared" si="5"/>
        <v>1</v>
      </c>
      <c r="V470" s="2">
        <f t="shared" si="6"/>
        <v>1</v>
      </c>
    </row>
    <row r="471" ht="14.25" customHeight="1">
      <c r="A471" s="2" t="s">
        <v>520</v>
      </c>
      <c r="B471" s="2" t="s">
        <v>12</v>
      </c>
      <c r="C471" s="2" t="s">
        <v>19</v>
      </c>
      <c r="D471" s="8" t="s">
        <v>631</v>
      </c>
      <c r="E471" s="6">
        <v>45263.0</v>
      </c>
      <c r="F471" s="6">
        <v>45413.0</v>
      </c>
      <c r="G471" s="7">
        <v>3.13061138E8</v>
      </c>
      <c r="H471" s="2" t="s">
        <v>21</v>
      </c>
      <c r="I471" s="2">
        <f t="shared" ref="I471:P471" si="474">IF(ISBLANK(A471)=TRUE,0,1)</f>
        <v>1</v>
      </c>
      <c r="J471" s="2">
        <f t="shared" si="474"/>
        <v>1</v>
      </c>
      <c r="K471" s="2">
        <f t="shared" si="474"/>
        <v>1</v>
      </c>
      <c r="L471" s="2">
        <f t="shared" si="474"/>
        <v>1</v>
      </c>
      <c r="M471" s="2">
        <f t="shared" si="474"/>
        <v>1</v>
      </c>
      <c r="N471" s="2">
        <f t="shared" si="474"/>
        <v>1</v>
      </c>
      <c r="O471" s="2">
        <f t="shared" si="474"/>
        <v>1</v>
      </c>
      <c r="P471" s="2">
        <f t="shared" si="474"/>
        <v>1</v>
      </c>
      <c r="Q471" s="2">
        <f t="shared" si="3"/>
        <v>1</v>
      </c>
      <c r="R471" s="2">
        <f>IF(ISERROR(VLOOKUP(A471, 'Project Reference'!A:A, 1, FALSE)), 0, 1)</f>
        <v>1</v>
      </c>
      <c r="S471" s="2">
        <f>IFERROR(__xludf.DUMMYFUNCTION("IF(AND(REGEXMATCH(D471, B471), REGEXMATCH(D471, C471)), 1, 0)
"),1.0)</f>
        <v>1</v>
      </c>
      <c r="T471" s="2">
        <f t="shared" si="4"/>
        <v>1</v>
      </c>
      <c r="U471" s="2">
        <f t="shared" si="5"/>
        <v>1</v>
      </c>
      <c r="V471" s="2">
        <f t="shared" si="6"/>
        <v>1</v>
      </c>
    </row>
    <row r="472" ht="14.25" customHeight="1">
      <c r="A472" s="2" t="s">
        <v>521</v>
      </c>
      <c r="B472" s="2" t="s">
        <v>60</v>
      </c>
      <c r="C472" s="2" t="s">
        <v>39</v>
      </c>
      <c r="D472" s="8" t="s">
        <v>626</v>
      </c>
      <c r="E472" s="6">
        <v>45263.0</v>
      </c>
      <c r="F472" s="6">
        <v>45473.0</v>
      </c>
      <c r="G472" s="7">
        <v>3.704994376E9</v>
      </c>
      <c r="H472" s="2" t="s">
        <v>50</v>
      </c>
      <c r="I472" s="2">
        <f t="shared" ref="I472:P472" si="475">IF(ISBLANK(A472)=TRUE,0,1)</f>
        <v>1</v>
      </c>
      <c r="J472" s="2">
        <f t="shared" si="475"/>
        <v>1</v>
      </c>
      <c r="K472" s="2">
        <f t="shared" si="475"/>
        <v>1</v>
      </c>
      <c r="L472" s="2">
        <f t="shared" si="475"/>
        <v>1</v>
      </c>
      <c r="M472" s="2">
        <f t="shared" si="475"/>
        <v>1</v>
      </c>
      <c r="N472" s="2">
        <f t="shared" si="475"/>
        <v>1</v>
      </c>
      <c r="O472" s="2">
        <f t="shared" si="475"/>
        <v>1</v>
      </c>
      <c r="P472" s="2">
        <f t="shared" si="475"/>
        <v>1</v>
      </c>
      <c r="Q472" s="2">
        <f t="shared" si="3"/>
        <v>1</v>
      </c>
      <c r="R472" s="2">
        <f>IF(ISERROR(VLOOKUP(A472, 'Project Reference'!A:A, 1, FALSE)), 0, 1)</f>
        <v>1</v>
      </c>
      <c r="S472" s="2">
        <f>IFERROR(__xludf.DUMMYFUNCTION("IF(AND(REGEXMATCH(D472, B472), REGEXMATCH(D472, C472)), 1, 0)
"),1.0)</f>
        <v>1</v>
      </c>
      <c r="T472" s="2">
        <f t="shared" si="4"/>
        <v>1</v>
      </c>
      <c r="U472" s="2">
        <f t="shared" si="5"/>
        <v>1</v>
      </c>
      <c r="V472" s="2">
        <f t="shared" si="6"/>
        <v>1</v>
      </c>
    </row>
    <row r="473" ht="14.25" customHeight="1">
      <c r="A473" s="2" t="s">
        <v>522</v>
      </c>
      <c r="B473" s="2" t="s">
        <v>30</v>
      </c>
      <c r="C473" s="2" t="s">
        <v>36</v>
      </c>
      <c r="D473" s="8" t="s">
        <v>639</v>
      </c>
      <c r="E473" s="6">
        <v>45263.0</v>
      </c>
      <c r="F473" s="6">
        <v>45306.0</v>
      </c>
      <c r="G473" s="7">
        <v>6.935528254E9</v>
      </c>
      <c r="H473" s="2" t="s">
        <v>44</v>
      </c>
      <c r="I473" s="2">
        <f t="shared" ref="I473:P473" si="476">IF(ISBLANK(A473)=TRUE,0,1)</f>
        <v>1</v>
      </c>
      <c r="J473" s="2">
        <f t="shared" si="476"/>
        <v>1</v>
      </c>
      <c r="K473" s="2">
        <f t="shared" si="476"/>
        <v>1</v>
      </c>
      <c r="L473" s="2">
        <f t="shared" si="476"/>
        <v>1</v>
      </c>
      <c r="M473" s="2">
        <f t="shared" si="476"/>
        <v>1</v>
      </c>
      <c r="N473" s="2">
        <f t="shared" si="476"/>
        <v>1</v>
      </c>
      <c r="O473" s="2">
        <f t="shared" si="476"/>
        <v>1</v>
      </c>
      <c r="P473" s="2">
        <f t="shared" si="476"/>
        <v>1</v>
      </c>
      <c r="Q473" s="2">
        <f t="shared" si="3"/>
        <v>1</v>
      </c>
      <c r="R473" s="2">
        <f>IF(ISERROR(VLOOKUP(A473, 'Project Reference'!A:A, 1, FALSE)), 0, 1)</f>
        <v>1</v>
      </c>
      <c r="S473" s="2">
        <f>IFERROR(__xludf.DUMMYFUNCTION("IF(AND(REGEXMATCH(D473, B473), REGEXMATCH(D473, C473)), 1, 0)
"),1.0)</f>
        <v>1</v>
      </c>
      <c r="T473" s="2">
        <f t="shared" si="4"/>
        <v>1</v>
      </c>
      <c r="U473" s="2">
        <f t="shared" si="5"/>
        <v>1</v>
      </c>
      <c r="V473" s="2">
        <f t="shared" si="6"/>
        <v>1</v>
      </c>
    </row>
    <row r="474" ht="14.25" customHeight="1">
      <c r="A474" s="2" t="s">
        <v>523</v>
      </c>
      <c r="B474" s="2" t="s">
        <v>18</v>
      </c>
      <c r="C474" s="2" t="s">
        <v>19</v>
      </c>
      <c r="D474" s="8" t="s">
        <v>633</v>
      </c>
      <c r="E474" s="6">
        <v>45265.0</v>
      </c>
      <c r="F474" s="6">
        <v>45562.0</v>
      </c>
      <c r="G474" s="7">
        <v>1.827330534E9</v>
      </c>
      <c r="H474" s="2" t="s">
        <v>33</v>
      </c>
      <c r="I474" s="2">
        <f t="shared" ref="I474:P474" si="477">IF(ISBLANK(A474)=TRUE,0,1)</f>
        <v>1</v>
      </c>
      <c r="J474" s="2">
        <f t="shared" si="477"/>
        <v>1</v>
      </c>
      <c r="K474" s="2">
        <f t="shared" si="477"/>
        <v>1</v>
      </c>
      <c r="L474" s="2">
        <f t="shared" si="477"/>
        <v>1</v>
      </c>
      <c r="M474" s="2">
        <f t="shared" si="477"/>
        <v>1</v>
      </c>
      <c r="N474" s="2">
        <f t="shared" si="477"/>
        <v>1</v>
      </c>
      <c r="O474" s="2">
        <f t="shared" si="477"/>
        <v>1</v>
      </c>
      <c r="P474" s="2">
        <f t="shared" si="477"/>
        <v>1</v>
      </c>
      <c r="Q474" s="2">
        <f t="shared" si="3"/>
        <v>1</v>
      </c>
      <c r="R474" s="2">
        <f>IF(ISERROR(VLOOKUP(A474, 'Project Reference'!A:A, 1, FALSE)), 0, 1)</f>
        <v>1</v>
      </c>
      <c r="S474" s="2">
        <f>IFERROR(__xludf.DUMMYFUNCTION("IF(AND(REGEXMATCH(D474, B474), REGEXMATCH(D474, C474)), 1, 0)
"),1.0)</f>
        <v>1</v>
      </c>
      <c r="T474" s="2">
        <f t="shared" si="4"/>
        <v>1</v>
      </c>
      <c r="U474" s="2">
        <f t="shared" si="5"/>
        <v>1</v>
      </c>
      <c r="V474" s="2">
        <f t="shared" si="6"/>
        <v>1</v>
      </c>
    </row>
    <row r="475" ht="14.25" customHeight="1">
      <c r="A475" s="2" t="s">
        <v>524</v>
      </c>
      <c r="B475" s="2" t="s">
        <v>12</v>
      </c>
      <c r="C475" s="2" t="s">
        <v>48</v>
      </c>
      <c r="D475" s="8" t="s">
        <v>602</v>
      </c>
      <c r="E475" s="6">
        <v>45266.0</v>
      </c>
      <c r="F475" s="6">
        <v>45425.0</v>
      </c>
      <c r="G475" s="7">
        <v>6.43095755E8</v>
      </c>
      <c r="H475" s="2" t="s">
        <v>67</v>
      </c>
      <c r="I475" s="2">
        <f t="shared" ref="I475:P475" si="478">IF(ISBLANK(A475)=TRUE,0,1)</f>
        <v>1</v>
      </c>
      <c r="J475" s="2">
        <f t="shared" si="478"/>
        <v>1</v>
      </c>
      <c r="K475" s="2">
        <f t="shared" si="478"/>
        <v>1</v>
      </c>
      <c r="L475" s="2">
        <f t="shared" si="478"/>
        <v>1</v>
      </c>
      <c r="M475" s="2">
        <f t="shared" si="478"/>
        <v>1</v>
      </c>
      <c r="N475" s="2">
        <f t="shared" si="478"/>
        <v>1</v>
      </c>
      <c r="O475" s="2">
        <f t="shared" si="478"/>
        <v>1</v>
      </c>
      <c r="P475" s="2">
        <f t="shared" si="478"/>
        <v>1</v>
      </c>
      <c r="Q475" s="2">
        <f t="shared" si="3"/>
        <v>1</v>
      </c>
      <c r="R475" s="2">
        <f>IF(ISERROR(VLOOKUP(A475, 'Project Reference'!A:A, 1, FALSE)), 0, 1)</f>
        <v>1</v>
      </c>
      <c r="S475" s="2">
        <f>IFERROR(__xludf.DUMMYFUNCTION("IF(AND(REGEXMATCH(D475, B475), REGEXMATCH(D475, C475)), 1, 0)
"),1.0)</f>
        <v>1</v>
      </c>
      <c r="T475" s="2">
        <f t="shared" si="4"/>
        <v>1</v>
      </c>
      <c r="U475" s="2">
        <f t="shared" si="5"/>
        <v>1</v>
      </c>
      <c r="V475" s="2">
        <f t="shared" si="6"/>
        <v>1</v>
      </c>
    </row>
    <row r="476" ht="14.25" customHeight="1">
      <c r="A476" s="2" t="s">
        <v>525</v>
      </c>
      <c r="B476" s="2" t="s">
        <v>12</v>
      </c>
      <c r="C476" s="2" t="s">
        <v>19</v>
      </c>
      <c r="D476" s="8" t="s">
        <v>631</v>
      </c>
      <c r="E476" s="6">
        <v>45268.0</v>
      </c>
      <c r="F476" s="6">
        <v>45476.0</v>
      </c>
      <c r="G476" s="7">
        <v>1.95287277E8</v>
      </c>
      <c r="H476" s="2" t="s">
        <v>67</v>
      </c>
      <c r="I476" s="2">
        <f t="shared" ref="I476:P476" si="479">IF(ISBLANK(A476)=TRUE,0,1)</f>
        <v>1</v>
      </c>
      <c r="J476" s="2">
        <f t="shared" si="479"/>
        <v>1</v>
      </c>
      <c r="K476" s="2">
        <f t="shared" si="479"/>
        <v>1</v>
      </c>
      <c r="L476" s="2">
        <f t="shared" si="479"/>
        <v>1</v>
      </c>
      <c r="M476" s="2">
        <f t="shared" si="479"/>
        <v>1</v>
      </c>
      <c r="N476" s="2">
        <f t="shared" si="479"/>
        <v>1</v>
      </c>
      <c r="O476" s="2">
        <f t="shared" si="479"/>
        <v>1</v>
      </c>
      <c r="P476" s="2">
        <f t="shared" si="479"/>
        <v>1</v>
      </c>
      <c r="Q476" s="2">
        <f t="shared" si="3"/>
        <v>1</v>
      </c>
      <c r="R476" s="2">
        <f>IF(ISERROR(VLOOKUP(A476, 'Project Reference'!A:A, 1, FALSE)), 0, 1)</f>
        <v>1</v>
      </c>
      <c r="S476" s="2">
        <f>IFERROR(__xludf.DUMMYFUNCTION("IF(AND(REGEXMATCH(D476, B476), REGEXMATCH(D476, C476)), 1, 0)
"),1.0)</f>
        <v>1</v>
      </c>
      <c r="T476" s="2">
        <f t="shared" si="4"/>
        <v>1</v>
      </c>
      <c r="U476" s="2">
        <f t="shared" si="5"/>
        <v>1</v>
      </c>
      <c r="V476" s="2">
        <f t="shared" si="6"/>
        <v>1</v>
      </c>
    </row>
    <row r="477" ht="14.25" customHeight="1">
      <c r="A477" s="2" t="s">
        <v>526</v>
      </c>
      <c r="B477" s="2" t="s">
        <v>18</v>
      </c>
      <c r="C477" s="2" t="s">
        <v>13</v>
      </c>
      <c r="D477" s="8" t="s">
        <v>580</v>
      </c>
      <c r="E477" s="6">
        <v>45268.0</v>
      </c>
      <c r="F477" s="6">
        <v>45413.0</v>
      </c>
      <c r="G477" s="7">
        <v>6.786324237E9</v>
      </c>
      <c r="H477" s="8" t="s">
        <v>581</v>
      </c>
      <c r="I477" s="2">
        <f t="shared" ref="I477:P477" si="480">IF(ISBLANK(A477)=TRUE,0,1)</f>
        <v>1</v>
      </c>
      <c r="J477" s="2">
        <f t="shared" si="480"/>
        <v>1</v>
      </c>
      <c r="K477" s="2">
        <f t="shared" si="480"/>
        <v>1</v>
      </c>
      <c r="L477" s="2">
        <f t="shared" si="480"/>
        <v>1</v>
      </c>
      <c r="M477" s="2">
        <f t="shared" si="480"/>
        <v>1</v>
      </c>
      <c r="N477" s="2">
        <f t="shared" si="480"/>
        <v>1</v>
      </c>
      <c r="O477" s="2">
        <f t="shared" si="480"/>
        <v>1</v>
      </c>
      <c r="P477" s="2">
        <f t="shared" si="480"/>
        <v>1</v>
      </c>
      <c r="Q477" s="2">
        <f t="shared" si="3"/>
        <v>1</v>
      </c>
      <c r="R477" s="2">
        <f>IF(ISERROR(VLOOKUP(A477, 'Project Reference'!A:A, 1, FALSE)), 0, 1)</f>
        <v>1</v>
      </c>
      <c r="S477" s="2">
        <f>IFERROR(__xludf.DUMMYFUNCTION("IF(AND(REGEXMATCH(D477, B477), REGEXMATCH(D477, C477)), 1, 0)
"),1.0)</f>
        <v>1</v>
      </c>
      <c r="T477" s="2">
        <f t="shared" si="4"/>
        <v>1</v>
      </c>
      <c r="U477" s="2">
        <f t="shared" si="5"/>
        <v>1</v>
      </c>
      <c r="V477" s="2">
        <f t="shared" si="6"/>
        <v>1</v>
      </c>
    </row>
    <row r="478" ht="14.25" customHeight="1">
      <c r="A478" s="2" t="s">
        <v>527</v>
      </c>
      <c r="B478" s="2" t="s">
        <v>35</v>
      </c>
      <c r="C478" s="2" t="s">
        <v>36</v>
      </c>
      <c r="D478" s="2" t="s">
        <v>37</v>
      </c>
      <c r="E478" s="6">
        <v>45269.0</v>
      </c>
      <c r="F478" s="6">
        <v>45594.0</v>
      </c>
      <c r="G478" s="7">
        <v>4.99105719E8</v>
      </c>
      <c r="H478" s="2" t="s">
        <v>44</v>
      </c>
      <c r="I478" s="2">
        <f t="shared" ref="I478:P478" si="481">IF(ISBLANK(A478)=TRUE,0,1)</f>
        <v>1</v>
      </c>
      <c r="J478" s="2">
        <f t="shared" si="481"/>
        <v>1</v>
      </c>
      <c r="K478" s="2">
        <f t="shared" si="481"/>
        <v>1</v>
      </c>
      <c r="L478" s="2">
        <f t="shared" si="481"/>
        <v>1</v>
      </c>
      <c r="M478" s="2">
        <f t="shared" si="481"/>
        <v>1</v>
      </c>
      <c r="N478" s="2">
        <f t="shared" si="481"/>
        <v>1</v>
      </c>
      <c r="O478" s="2">
        <f t="shared" si="481"/>
        <v>1</v>
      </c>
      <c r="P478" s="2">
        <f t="shared" si="481"/>
        <v>1</v>
      </c>
      <c r="Q478" s="2">
        <f t="shared" si="3"/>
        <v>1</v>
      </c>
      <c r="R478" s="2">
        <f>IF(ISERROR(VLOOKUP(A478, 'Project Reference'!A:A, 1, FALSE)), 0, 1)</f>
        <v>1</v>
      </c>
      <c r="S478" s="2">
        <f>IFERROR(__xludf.DUMMYFUNCTION("IF(AND(REGEXMATCH(D478, B478), REGEXMATCH(D478, C478)), 1, 0)
"),1.0)</f>
        <v>1</v>
      </c>
      <c r="T478" s="2">
        <f t="shared" si="4"/>
        <v>1</v>
      </c>
      <c r="U478" s="2">
        <f t="shared" si="5"/>
        <v>1</v>
      </c>
      <c r="V478" s="2">
        <f t="shared" si="6"/>
        <v>1</v>
      </c>
    </row>
    <row r="479" ht="14.25" customHeight="1">
      <c r="A479" s="2" t="s">
        <v>528</v>
      </c>
      <c r="B479" s="2" t="s">
        <v>35</v>
      </c>
      <c r="C479" s="2" t="s">
        <v>13</v>
      </c>
      <c r="D479" s="2" t="s">
        <v>78</v>
      </c>
      <c r="E479" s="6">
        <v>45271.0</v>
      </c>
      <c r="F479" s="6">
        <v>45311.0</v>
      </c>
      <c r="G479" s="7">
        <v>4.61111964E8</v>
      </c>
      <c r="H479" s="2" t="s">
        <v>44</v>
      </c>
      <c r="I479" s="2">
        <f t="shared" ref="I479:P479" si="482">IF(ISBLANK(A479)=TRUE,0,1)</f>
        <v>1</v>
      </c>
      <c r="J479" s="2">
        <f t="shared" si="482"/>
        <v>1</v>
      </c>
      <c r="K479" s="2">
        <f t="shared" si="482"/>
        <v>1</v>
      </c>
      <c r="L479" s="2">
        <f t="shared" si="482"/>
        <v>1</v>
      </c>
      <c r="M479" s="2">
        <f t="shared" si="482"/>
        <v>1</v>
      </c>
      <c r="N479" s="2">
        <f t="shared" si="482"/>
        <v>1</v>
      </c>
      <c r="O479" s="2">
        <f t="shared" si="482"/>
        <v>1</v>
      </c>
      <c r="P479" s="2">
        <f t="shared" si="482"/>
        <v>1</v>
      </c>
      <c r="Q479" s="2">
        <f t="shared" si="3"/>
        <v>1</v>
      </c>
      <c r="R479" s="2">
        <f>IF(ISERROR(VLOOKUP(A479, 'Project Reference'!A:A, 1, FALSE)), 0, 1)</f>
        <v>1</v>
      </c>
      <c r="S479" s="2">
        <f>IFERROR(__xludf.DUMMYFUNCTION("IF(AND(REGEXMATCH(D479, B479), REGEXMATCH(D479, C479)), 1, 0)
"),1.0)</f>
        <v>1</v>
      </c>
      <c r="T479" s="2">
        <f t="shared" si="4"/>
        <v>1</v>
      </c>
      <c r="U479" s="2">
        <f t="shared" si="5"/>
        <v>1</v>
      </c>
      <c r="V479" s="2">
        <f t="shared" si="6"/>
        <v>1</v>
      </c>
    </row>
    <row r="480" ht="14.25" customHeight="1">
      <c r="A480" s="2" t="s">
        <v>529</v>
      </c>
      <c r="B480" s="2" t="s">
        <v>60</v>
      </c>
      <c r="C480" s="2" t="s">
        <v>13</v>
      </c>
      <c r="D480" s="8" t="s">
        <v>619</v>
      </c>
      <c r="E480" s="6">
        <v>45272.0</v>
      </c>
      <c r="F480" s="6">
        <v>45481.0</v>
      </c>
      <c r="G480" s="7">
        <v>3.310535255E9</v>
      </c>
      <c r="H480" s="8" t="s">
        <v>573</v>
      </c>
      <c r="I480" s="2">
        <f t="shared" ref="I480:P480" si="483">IF(ISBLANK(A480)=TRUE,0,1)</f>
        <v>1</v>
      </c>
      <c r="J480" s="2">
        <f t="shared" si="483"/>
        <v>1</v>
      </c>
      <c r="K480" s="2">
        <f t="shared" si="483"/>
        <v>1</v>
      </c>
      <c r="L480" s="2">
        <f t="shared" si="483"/>
        <v>1</v>
      </c>
      <c r="M480" s="2">
        <f t="shared" si="483"/>
        <v>1</v>
      </c>
      <c r="N480" s="2">
        <f t="shared" si="483"/>
        <v>1</v>
      </c>
      <c r="O480" s="2">
        <f t="shared" si="483"/>
        <v>1</v>
      </c>
      <c r="P480" s="2">
        <f t="shared" si="483"/>
        <v>1</v>
      </c>
      <c r="Q480" s="2">
        <f t="shared" si="3"/>
        <v>1</v>
      </c>
      <c r="R480" s="2">
        <f>IF(ISERROR(VLOOKUP(A480, 'Project Reference'!A:A, 1, FALSE)), 0, 1)</f>
        <v>1</v>
      </c>
      <c r="S480" s="2">
        <f>IFERROR(__xludf.DUMMYFUNCTION("IF(AND(REGEXMATCH(D480, B480), REGEXMATCH(D480, C480)), 1, 0)
"),1.0)</f>
        <v>1</v>
      </c>
      <c r="T480" s="2">
        <f t="shared" si="4"/>
        <v>1</v>
      </c>
      <c r="U480" s="2">
        <f t="shared" si="5"/>
        <v>1</v>
      </c>
      <c r="V480" s="2">
        <f t="shared" si="6"/>
        <v>1</v>
      </c>
    </row>
    <row r="481" ht="14.25" customHeight="1">
      <c r="A481" s="2" t="s">
        <v>530</v>
      </c>
      <c r="B481" s="2" t="s">
        <v>18</v>
      </c>
      <c r="C481" s="2" t="s">
        <v>19</v>
      </c>
      <c r="D481" s="23" t="s">
        <v>633</v>
      </c>
      <c r="E481" s="6">
        <v>45272.0</v>
      </c>
      <c r="F481" s="6">
        <v>45553.0</v>
      </c>
      <c r="G481" s="24">
        <v>1.639451183E9</v>
      </c>
      <c r="H481" s="2" t="s">
        <v>50</v>
      </c>
      <c r="I481" s="2">
        <f t="shared" ref="I481:P481" si="484">IF(ISBLANK(A481)=TRUE,0,1)</f>
        <v>1</v>
      </c>
      <c r="J481" s="2">
        <f t="shared" si="484"/>
        <v>1</v>
      </c>
      <c r="K481" s="2">
        <f t="shared" si="484"/>
        <v>1</v>
      </c>
      <c r="L481" s="2">
        <f t="shared" si="484"/>
        <v>1</v>
      </c>
      <c r="M481" s="2">
        <f t="shared" si="484"/>
        <v>1</v>
      </c>
      <c r="N481" s="2">
        <f t="shared" si="484"/>
        <v>1</v>
      </c>
      <c r="O481" s="2">
        <f t="shared" si="484"/>
        <v>1</v>
      </c>
      <c r="P481" s="2">
        <f t="shared" si="484"/>
        <v>1</v>
      </c>
      <c r="Q481" s="2">
        <f t="shared" si="3"/>
        <v>1</v>
      </c>
      <c r="R481" s="2">
        <f>IF(ISERROR(VLOOKUP(A481, 'Project Reference'!A:A, 1, FALSE)), 0, 1)</f>
        <v>1</v>
      </c>
      <c r="S481" s="2">
        <f>IFERROR(__xludf.DUMMYFUNCTION("IF(AND(REGEXMATCH(D481, B481), REGEXMATCH(D481, C481)), 1, 0)
"),1.0)</f>
        <v>1</v>
      </c>
      <c r="T481" s="2">
        <f t="shared" si="4"/>
        <v>1</v>
      </c>
      <c r="U481" s="2">
        <f t="shared" si="5"/>
        <v>1</v>
      </c>
      <c r="V481" s="2">
        <f t="shared" si="6"/>
        <v>1</v>
      </c>
    </row>
    <row r="482" ht="14.25" customHeight="1">
      <c r="A482" s="2" t="s">
        <v>531</v>
      </c>
      <c r="B482" s="2" t="s">
        <v>18</v>
      </c>
      <c r="C482" s="2" t="s">
        <v>19</v>
      </c>
      <c r="D482" s="8" t="s">
        <v>633</v>
      </c>
      <c r="E482" s="6">
        <v>45273.0</v>
      </c>
      <c r="F482" s="6">
        <v>45590.0</v>
      </c>
      <c r="G482" s="7">
        <v>2.042593058E9</v>
      </c>
      <c r="H482" s="8" t="s">
        <v>573</v>
      </c>
      <c r="I482" s="2">
        <f t="shared" ref="I482:P482" si="485">IF(ISBLANK(A482)=TRUE,0,1)</f>
        <v>1</v>
      </c>
      <c r="J482" s="2">
        <f t="shared" si="485"/>
        <v>1</v>
      </c>
      <c r="K482" s="2">
        <f t="shared" si="485"/>
        <v>1</v>
      </c>
      <c r="L482" s="2">
        <f t="shared" si="485"/>
        <v>1</v>
      </c>
      <c r="M482" s="2">
        <f t="shared" si="485"/>
        <v>1</v>
      </c>
      <c r="N482" s="2">
        <f t="shared" si="485"/>
        <v>1</v>
      </c>
      <c r="O482" s="2">
        <f t="shared" si="485"/>
        <v>1</v>
      </c>
      <c r="P482" s="2">
        <f t="shared" si="485"/>
        <v>1</v>
      </c>
      <c r="Q482" s="2">
        <f t="shared" si="3"/>
        <v>1</v>
      </c>
      <c r="R482" s="2">
        <f>IF(ISERROR(VLOOKUP(A482, 'Project Reference'!A:A, 1, FALSE)), 0, 1)</f>
        <v>1</v>
      </c>
      <c r="S482" s="2">
        <f>IFERROR(__xludf.DUMMYFUNCTION("IF(AND(REGEXMATCH(D482, B482), REGEXMATCH(D482, C482)), 1, 0)
"),1.0)</f>
        <v>1</v>
      </c>
      <c r="T482" s="2">
        <f t="shared" si="4"/>
        <v>1</v>
      </c>
      <c r="U482" s="2">
        <f t="shared" si="5"/>
        <v>1</v>
      </c>
      <c r="V482" s="2">
        <f t="shared" si="6"/>
        <v>1</v>
      </c>
    </row>
    <row r="483" ht="14.25" customHeight="1">
      <c r="A483" s="2" t="s">
        <v>532</v>
      </c>
      <c r="B483" s="2" t="s">
        <v>60</v>
      </c>
      <c r="C483" s="2" t="s">
        <v>48</v>
      </c>
      <c r="D483" s="8" t="s">
        <v>625</v>
      </c>
      <c r="E483" s="6">
        <v>45273.0</v>
      </c>
      <c r="F483" s="6">
        <v>45394.0</v>
      </c>
      <c r="G483" s="7">
        <v>2.4382268E9</v>
      </c>
      <c r="H483" s="2" t="s">
        <v>50</v>
      </c>
      <c r="I483" s="2">
        <f t="shared" ref="I483:P483" si="486">IF(ISBLANK(A483)=TRUE,0,1)</f>
        <v>1</v>
      </c>
      <c r="J483" s="2">
        <f t="shared" si="486"/>
        <v>1</v>
      </c>
      <c r="K483" s="2">
        <f t="shared" si="486"/>
        <v>1</v>
      </c>
      <c r="L483" s="2">
        <f t="shared" si="486"/>
        <v>1</v>
      </c>
      <c r="M483" s="2">
        <f t="shared" si="486"/>
        <v>1</v>
      </c>
      <c r="N483" s="2">
        <f t="shared" si="486"/>
        <v>1</v>
      </c>
      <c r="O483" s="2">
        <f t="shared" si="486"/>
        <v>1</v>
      </c>
      <c r="P483" s="2">
        <f t="shared" si="486"/>
        <v>1</v>
      </c>
      <c r="Q483" s="2">
        <f t="shared" si="3"/>
        <v>1</v>
      </c>
      <c r="R483" s="2">
        <f>IF(ISERROR(VLOOKUP(A483, 'Project Reference'!A:A, 1, FALSE)), 0, 1)</f>
        <v>1</v>
      </c>
      <c r="S483" s="2">
        <f>IFERROR(__xludf.DUMMYFUNCTION("IF(AND(REGEXMATCH(D483, B483), REGEXMATCH(D483, C483)), 1, 0)
"),1.0)</f>
        <v>1</v>
      </c>
      <c r="T483" s="2">
        <f t="shared" si="4"/>
        <v>1</v>
      </c>
      <c r="U483" s="2">
        <f t="shared" si="5"/>
        <v>1</v>
      </c>
      <c r="V483" s="2">
        <f t="shared" si="6"/>
        <v>1</v>
      </c>
    </row>
    <row r="484" ht="14.25" customHeight="1">
      <c r="A484" s="2" t="s">
        <v>533</v>
      </c>
      <c r="B484" s="2" t="s">
        <v>35</v>
      </c>
      <c r="C484" s="2" t="s">
        <v>39</v>
      </c>
      <c r="D484" s="2" t="s">
        <v>145</v>
      </c>
      <c r="E484" s="6">
        <v>45273.0</v>
      </c>
      <c r="F484" s="6">
        <v>45524.0</v>
      </c>
      <c r="G484" s="7">
        <v>7.40887892E8</v>
      </c>
      <c r="H484" s="22"/>
      <c r="I484" s="2">
        <f t="shared" ref="I484:P484" si="487">IF(ISBLANK(A484)=TRUE,0,1)</f>
        <v>1</v>
      </c>
      <c r="J484" s="2">
        <f t="shared" si="487"/>
        <v>1</v>
      </c>
      <c r="K484" s="2">
        <f t="shared" si="487"/>
        <v>1</v>
      </c>
      <c r="L484" s="2">
        <f t="shared" si="487"/>
        <v>1</v>
      </c>
      <c r="M484" s="2">
        <f t="shared" si="487"/>
        <v>1</v>
      </c>
      <c r="N484" s="2">
        <f t="shared" si="487"/>
        <v>1</v>
      </c>
      <c r="O484" s="2">
        <f t="shared" si="487"/>
        <v>1</v>
      </c>
      <c r="P484" s="2">
        <f t="shared" si="487"/>
        <v>0</v>
      </c>
      <c r="Q484" s="2">
        <f t="shared" si="3"/>
        <v>1</v>
      </c>
      <c r="R484" s="2">
        <f>IF(ISERROR(VLOOKUP(A484, 'Project Reference'!A:A, 1, FALSE)), 0, 1)</f>
        <v>1</v>
      </c>
      <c r="S484" s="2">
        <f>IFERROR(__xludf.DUMMYFUNCTION("IF(AND(REGEXMATCH(D484, B484), REGEXMATCH(D484, C484)), 1, 0)
"),1.0)</f>
        <v>1</v>
      </c>
      <c r="T484" s="2">
        <f t="shared" si="4"/>
        <v>1</v>
      </c>
      <c r="U484" s="2">
        <f t="shared" si="5"/>
        <v>1</v>
      </c>
      <c r="V484" s="2">
        <f t="shared" si="6"/>
        <v>1</v>
      </c>
    </row>
    <row r="485" ht="14.25" customHeight="1">
      <c r="A485" s="2" t="s">
        <v>534</v>
      </c>
      <c r="B485" s="2" t="s">
        <v>60</v>
      </c>
      <c r="C485" s="2" t="s">
        <v>24</v>
      </c>
      <c r="D485" s="8" t="s">
        <v>575</v>
      </c>
      <c r="E485" s="6">
        <v>45278.0</v>
      </c>
      <c r="F485" s="6">
        <v>45634.0</v>
      </c>
      <c r="G485" s="7">
        <v>3.502390822E9</v>
      </c>
      <c r="H485" s="22"/>
      <c r="I485" s="2">
        <f t="shared" ref="I485:P485" si="488">IF(ISBLANK(A485)=TRUE,0,1)</f>
        <v>1</v>
      </c>
      <c r="J485" s="2">
        <f t="shared" si="488"/>
        <v>1</v>
      </c>
      <c r="K485" s="2">
        <f t="shared" si="488"/>
        <v>1</v>
      </c>
      <c r="L485" s="2">
        <f t="shared" si="488"/>
        <v>1</v>
      </c>
      <c r="M485" s="2">
        <f t="shared" si="488"/>
        <v>1</v>
      </c>
      <c r="N485" s="2">
        <f t="shared" si="488"/>
        <v>1</v>
      </c>
      <c r="O485" s="2">
        <f t="shared" si="488"/>
        <v>1</v>
      </c>
      <c r="P485" s="2">
        <f t="shared" si="488"/>
        <v>0</v>
      </c>
      <c r="Q485" s="2">
        <f t="shared" si="3"/>
        <v>1</v>
      </c>
      <c r="R485" s="2">
        <f>IF(ISERROR(VLOOKUP(A485, 'Project Reference'!A:A, 1, FALSE)), 0, 1)</f>
        <v>1</v>
      </c>
      <c r="S485" s="2">
        <f>IFERROR(__xludf.DUMMYFUNCTION("IF(AND(REGEXMATCH(D485, B485), REGEXMATCH(D485, C485)), 1, 0)
"),1.0)</f>
        <v>1</v>
      </c>
      <c r="T485" s="2">
        <f t="shared" si="4"/>
        <v>1</v>
      </c>
      <c r="U485" s="2">
        <f t="shared" si="5"/>
        <v>1</v>
      </c>
      <c r="V485" s="2">
        <f t="shared" si="6"/>
        <v>1</v>
      </c>
    </row>
    <row r="486" ht="14.25" customHeight="1">
      <c r="A486" s="2" t="s">
        <v>535</v>
      </c>
      <c r="B486" s="2" t="s">
        <v>35</v>
      </c>
      <c r="C486" s="2" t="s">
        <v>48</v>
      </c>
      <c r="D486" s="2" t="s">
        <v>49</v>
      </c>
      <c r="E486" s="6">
        <v>45281.0</v>
      </c>
      <c r="F486" s="6">
        <v>45467.0</v>
      </c>
      <c r="G486" s="7">
        <v>6.3329943E8</v>
      </c>
      <c r="H486" s="8" t="s">
        <v>581</v>
      </c>
      <c r="I486" s="2">
        <f t="shared" ref="I486:P486" si="489">IF(ISBLANK(A486)=TRUE,0,1)</f>
        <v>1</v>
      </c>
      <c r="J486" s="2">
        <f t="shared" si="489"/>
        <v>1</v>
      </c>
      <c r="K486" s="2">
        <f t="shared" si="489"/>
        <v>1</v>
      </c>
      <c r="L486" s="2">
        <f t="shared" si="489"/>
        <v>1</v>
      </c>
      <c r="M486" s="2">
        <f t="shared" si="489"/>
        <v>1</v>
      </c>
      <c r="N486" s="2">
        <f t="shared" si="489"/>
        <v>1</v>
      </c>
      <c r="O486" s="2">
        <f t="shared" si="489"/>
        <v>1</v>
      </c>
      <c r="P486" s="2">
        <f t="shared" si="489"/>
        <v>1</v>
      </c>
      <c r="Q486" s="2">
        <f t="shared" si="3"/>
        <v>1</v>
      </c>
      <c r="R486" s="2">
        <f>IF(ISERROR(VLOOKUP(A486, 'Project Reference'!A:A, 1, FALSE)), 0, 1)</f>
        <v>1</v>
      </c>
      <c r="S486" s="2">
        <f>IFERROR(__xludf.DUMMYFUNCTION("IF(AND(REGEXMATCH(D486, B486), REGEXMATCH(D486, C486)), 1, 0)
"),1.0)</f>
        <v>1</v>
      </c>
      <c r="T486" s="2">
        <f t="shared" si="4"/>
        <v>1</v>
      </c>
      <c r="U486" s="2">
        <f t="shared" si="5"/>
        <v>1</v>
      </c>
      <c r="V486" s="2">
        <f t="shared" si="6"/>
        <v>1</v>
      </c>
    </row>
    <row r="487" ht="14.25" customHeight="1">
      <c r="A487" s="2" t="s">
        <v>536</v>
      </c>
      <c r="B487" s="2" t="s">
        <v>35</v>
      </c>
      <c r="C487" s="2" t="s">
        <v>24</v>
      </c>
      <c r="D487" s="2" t="s">
        <v>133</v>
      </c>
      <c r="E487" s="6">
        <v>45282.0</v>
      </c>
      <c r="F487" s="6">
        <v>45595.0</v>
      </c>
      <c r="G487" s="7">
        <v>5.18578528E8</v>
      </c>
      <c r="H487" s="8" t="s">
        <v>581</v>
      </c>
      <c r="I487" s="2">
        <f t="shared" ref="I487:P487" si="490">IF(ISBLANK(A487)=TRUE,0,1)</f>
        <v>1</v>
      </c>
      <c r="J487" s="2">
        <f t="shared" si="490"/>
        <v>1</v>
      </c>
      <c r="K487" s="2">
        <f t="shared" si="490"/>
        <v>1</v>
      </c>
      <c r="L487" s="2">
        <f t="shared" si="490"/>
        <v>1</v>
      </c>
      <c r="M487" s="2">
        <f t="shared" si="490"/>
        <v>1</v>
      </c>
      <c r="N487" s="2">
        <f t="shared" si="490"/>
        <v>1</v>
      </c>
      <c r="O487" s="2">
        <f t="shared" si="490"/>
        <v>1</v>
      </c>
      <c r="P487" s="2">
        <f t="shared" si="490"/>
        <v>1</v>
      </c>
      <c r="Q487" s="2">
        <f t="shared" si="3"/>
        <v>1</v>
      </c>
      <c r="R487" s="2">
        <f>IF(ISERROR(VLOOKUP(A487, 'Project Reference'!A:A, 1, FALSE)), 0, 1)</f>
        <v>1</v>
      </c>
      <c r="S487" s="2">
        <f>IFERROR(__xludf.DUMMYFUNCTION("IF(AND(REGEXMATCH(D487, B487), REGEXMATCH(D487, C487)), 1, 0)
"),1.0)</f>
        <v>1</v>
      </c>
      <c r="T487" s="2">
        <f t="shared" si="4"/>
        <v>1</v>
      </c>
      <c r="U487" s="2">
        <f t="shared" si="5"/>
        <v>1</v>
      </c>
      <c r="V487" s="2">
        <f t="shared" si="6"/>
        <v>1</v>
      </c>
    </row>
    <row r="488" ht="14.25" customHeight="1">
      <c r="A488" s="2" t="s">
        <v>537</v>
      </c>
      <c r="B488" s="2" t="s">
        <v>60</v>
      </c>
      <c r="C488" s="2" t="s">
        <v>19</v>
      </c>
      <c r="D488" s="8" t="s">
        <v>616</v>
      </c>
      <c r="E488" s="6">
        <v>45283.0</v>
      </c>
      <c r="F488" s="6">
        <v>45588.0</v>
      </c>
      <c r="G488" s="7">
        <v>2.716743578E9</v>
      </c>
      <c r="H488" s="8" t="s">
        <v>573</v>
      </c>
      <c r="I488" s="2">
        <f t="shared" ref="I488:P488" si="491">IF(ISBLANK(A488)=TRUE,0,1)</f>
        <v>1</v>
      </c>
      <c r="J488" s="2">
        <f t="shared" si="491"/>
        <v>1</v>
      </c>
      <c r="K488" s="2">
        <f t="shared" si="491"/>
        <v>1</v>
      </c>
      <c r="L488" s="2">
        <f t="shared" si="491"/>
        <v>1</v>
      </c>
      <c r="M488" s="2">
        <f t="shared" si="491"/>
        <v>1</v>
      </c>
      <c r="N488" s="2">
        <f t="shared" si="491"/>
        <v>1</v>
      </c>
      <c r="O488" s="2">
        <f t="shared" si="491"/>
        <v>1</v>
      </c>
      <c r="P488" s="2">
        <f t="shared" si="491"/>
        <v>1</v>
      </c>
      <c r="Q488" s="2">
        <f t="shared" si="3"/>
        <v>1</v>
      </c>
      <c r="R488" s="2">
        <f>IF(ISERROR(VLOOKUP(A488, 'Project Reference'!A:A, 1, FALSE)), 0, 1)</f>
        <v>1</v>
      </c>
      <c r="S488" s="2">
        <f>IFERROR(__xludf.DUMMYFUNCTION("IF(AND(REGEXMATCH(D488, B488), REGEXMATCH(D488, C488)), 1, 0)
"),1.0)</f>
        <v>1</v>
      </c>
      <c r="T488" s="2">
        <f t="shared" si="4"/>
        <v>1</v>
      </c>
      <c r="U488" s="2">
        <f t="shared" si="5"/>
        <v>1</v>
      </c>
      <c r="V488" s="2">
        <f t="shared" si="6"/>
        <v>1</v>
      </c>
    </row>
    <row r="489" ht="14.25" customHeight="1">
      <c r="A489" s="2" t="s">
        <v>538</v>
      </c>
      <c r="B489" s="2" t="s">
        <v>18</v>
      </c>
      <c r="C489" s="2" t="s">
        <v>36</v>
      </c>
      <c r="D489" s="8" t="s">
        <v>634</v>
      </c>
      <c r="E489" s="6">
        <v>45284.0</v>
      </c>
      <c r="F489" s="6">
        <v>45579.0</v>
      </c>
      <c r="G489" s="7">
        <v>3.55836617E9</v>
      </c>
      <c r="H489" s="2" t="s">
        <v>67</v>
      </c>
      <c r="I489" s="2">
        <f t="shared" ref="I489:P489" si="492">IF(ISBLANK(A489)=TRUE,0,1)</f>
        <v>1</v>
      </c>
      <c r="J489" s="2">
        <f t="shared" si="492"/>
        <v>1</v>
      </c>
      <c r="K489" s="2">
        <f t="shared" si="492"/>
        <v>1</v>
      </c>
      <c r="L489" s="2">
        <f t="shared" si="492"/>
        <v>1</v>
      </c>
      <c r="M489" s="2">
        <f t="shared" si="492"/>
        <v>1</v>
      </c>
      <c r="N489" s="2">
        <f t="shared" si="492"/>
        <v>1</v>
      </c>
      <c r="O489" s="2">
        <f t="shared" si="492"/>
        <v>1</v>
      </c>
      <c r="P489" s="2">
        <f t="shared" si="492"/>
        <v>1</v>
      </c>
      <c r="Q489" s="2">
        <f t="shared" si="3"/>
        <v>1</v>
      </c>
      <c r="R489" s="2">
        <f>IF(ISERROR(VLOOKUP(A489, 'Project Reference'!A:A, 1, FALSE)), 0, 1)</f>
        <v>1</v>
      </c>
      <c r="S489" s="2">
        <f>IFERROR(__xludf.DUMMYFUNCTION("IF(AND(REGEXMATCH(D489, B489), REGEXMATCH(D489, C489)), 1, 0)
"),1.0)</f>
        <v>1</v>
      </c>
      <c r="T489" s="2">
        <f t="shared" si="4"/>
        <v>1</v>
      </c>
      <c r="U489" s="2">
        <f t="shared" si="5"/>
        <v>1</v>
      </c>
      <c r="V489" s="2">
        <f t="shared" si="6"/>
        <v>1</v>
      </c>
    </row>
    <row r="490" ht="14.25" customHeight="1">
      <c r="A490" s="2" t="s">
        <v>539</v>
      </c>
      <c r="B490" s="2" t="s">
        <v>60</v>
      </c>
      <c r="C490" s="2" t="s">
        <v>48</v>
      </c>
      <c r="D490" s="8" t="s">
        <v>625</v>
      </c>
      <c r="E490" s="6">
        <v>45284.0</v>
      </c>
      <c r="F490" s="6">
        <v>45473.0</v>
      </c>
      <c r="G490" s="7">
        <v>3.504700319E9</v>
      </c>
      <c r="H490" s="2" t="s">
        <v>21</v>
      </c>
      <c r="I490" s="2">
        <f t="shared" ref="I490:P490" si="493">IF(ISBLANK(A490)=TRUE,0,1)</f>
        <v>1</v>
      </c>
      <c r="J490" s="2">
        <f t="shared" si="493"/>
        <v>1</v>
      </c>
      <c r="K490" s="2">
        <f t="shared" si="493"/>
        <v>1</v>
      </c>
      <c r="L490" s="2">
        <f t="shared" si="493"/>
        <v>1</v>
      </c>
      <c r="M490" s="2">
        <f t="shared" si="493"/>
        <v>1</v>
      </c>
      <c r="N490" s="2">
        <f t="shared" si="493"/>
        <v>1</v>
      </c>
      <c r="O490" s="2">
        <f t="shared" si="493"/>
        <v>1</v>
      </c>
      <c r="P490" s="2">
        <f t="shared" si="493"/>
        <v>1</v>
      </c>
      <c r="Q490" s="2">
        <f t="shared" si="3"/>
        <v>1</v>
      </c>
      <c r="R490" s="2">
        <f>IF(ISERROR(VLOOKUP(A490, 'Project Reference'!A:A, 1, FALSE)), 0, 1)</f>
        <v>1</v>
      </c>
      <c r="S490" s="2">
        <f>IFERROR(__xludf.DUMMYFUNCTION("IF(AND(REGEXMATCH(D490, B490), REGEXMATCH(D490, C490)), 1, 0)
"),1.0)</f>
        <v>1</v>
      </c>
      <c r="T490" s="2">
        <f t="shared" si="4"/>
        <v>1</v>
      </c>
      <c r="U490" s="2">
        <f t="shared" si="5"/>
        <v>1</v>
      </c>
      <c r="V490" s="2">
        <f t="shared" si="6"/>
        <v>1</v>
      </c>
    </row>
    <row r="491" ht="14.25" customHeight="1">
      <c r="A491" s="2" t="s">
        <v>540</v>
      </c>
      <c r="B491" s="2" t="s">
        <v>18</v>
      </c>
      <c r="C491" s="2" t="s">
        <v>36</v>
      </c>
      <c r="D491" s="8" t="s">
        <v>634</v>
      </c>
      <c r="E491" s="6">
        <v>45284.0</v>
      </c>
      <c r="F491" s="6">
        <v>45536.0</v>
      </c>
      <c r="G491" s="7">
        <v>8.473123375E9</v>
      </c>
      <c r="H491" s="8" t="s">
        <v>573</v>
      </c>
      <c r="I491" s="2">
        <f t="shared" ref="I491:P491" si="494">IF(ISBLANK(A491)=TRUE,0,1)</f>
        <v>1</v>
      </c>
      <c r="J491" s="2">
        <f t="shared" si="494"/>
        <v>1</v>
      </c>
      <c r="K491" s="2">
        <f t="shared" si="494"/>
        <v>1</v>
      </c>
      <c r="L491" s="2">
        <f t="shared" si="494"/>
        <v>1</v>
      </c>
      <c r="M491" s="2">
        <f t="shared" si="494"/>
        <v>1</v>
      </c>
      <c r="N491" s="2">
        <f t="shared" si="494"/>
        <v>1</v>
      </c>
      <c r="O491" s="2">
        <f t="shared" si="494"/>
        <v>1</v>
      </c>
      <c r="P491" s="2">
        <f t="shared" si="494"/>
        <v>1</v>
      </c>
      <c r="Q491" s="2">
        <f t="shared" si="3"/>
        <v>1</v>
      </c>
      <c r="R491" s="2">
        <f>IF(ISERROR(VLOOKUP(A491, 'Project Reference'!A:A, 1, FALSE)), 0, 1)</f>
        <v>1</v>
      </c>
      <c r="S491" s="2">
        <f>IFERROR(__xludf.DUMMYFUNCTION("IF(AND(REGEXMATCH(D491, B491), REGEXMATCH(D491, C491)), 1, 0)
"),1.0)</f>
        <v>1</v>
      </c>
      <c r="T491" s="2">
        <f t="shared" si="4"/>
        <v>1</v>
      </c>
      <c r="U491" s="2">
        <f t="shared" si="5"/>
        <v>1</v>
      </c>
      <c r="V491" s="2">
        <f t="shared" si="6"/>
        <v>1</v>
      </c>
    </row>
    <row r="492" ht="14.25" customHeight="1">
      <c r="A492" s="2" t="s">
        <v>541</v>
      </c>
      <c r="B492" s="2" t="s">
        <v>12</v>
      </c>
      <c r="C492" s="2" t="s">
        <v>48</v>
      </c>
      <c r="D492" s="8" t="s">
        <v>602</v>
      </c>
      <c r="E492" s="6">
        <v>45285.0</v>
      </c>
      <c r="F492" s="6">
        <v>45318.0</v>
      </c>
      <c r="G492" s="7">
        <v>4.07605972E8</v>
      </c>
      <c r="H492" s="22"/>
      <c r="I492" s="2">
        <f t="shared" ref="I492:P492" si="495">IF(ISBLANK(A492)=TRUE,0,1)</f>
        <v>1</v>
      </c>
      <c r="J492" s="2">
        <f t="shared" si="495"/>
        <v>1</v>
      </c>
      <c r="K492" s="2">
        <f t="shared" si="495"/>
        <v>1</v>
      </c>
      <c r="L492" s="2">
        <f t="shared" si="495"/>
        <v>1</v>
      </c>
      <c r="M492" s="2">
        <f t="shared" si="495"/>
        <v>1</v>
      </c>
      <c r="N492" s="2">
        <f t="shared" si="495"/>
        <v>1</v>
      </c>
      <c r="O492" s="2">
        <f t="shared" si="495"/>
        <v>1</v>
      </c>
      <c r="P492" s="2">
        <f t="shared" si="495"/>
        <v>0</v>
      </c>
      <c r="Q492" s="2">
        <f t="shared" si="3"/>
        <v>1</v>
      </c>
      <c r="R492" s="2">
        <f>IF(ISERROR(VLOOKUP(A492, 'Project Reference'!A:A, 1, FALSE)), 0, 1)</f>
        <v>1</v>
      </c>
      <c r="S492" s="2">
        <f>IFERROR(__xludf.DUMMYFUNCTION("IF(AND(REGEXMATCH(D492, B492), REGEXMATCH(D492, C492)), 1, 0)
"),1.0)</f>
        <v>1</v>
      </c>
      <c r="T492" s="2">
        <f t="shared" si="4"/>
        <v>1</v>
      </c>
      <c r="U492" s="2">
        <f t="shared" si="5"/>
        <v>1</v>
      </c>
      <c r="V492" s="2">
        <f t="shared" si="6"/>
        <v>1</v>
      </c>
    </row>
    <row r="493" ht="14.25" customHeight="1">
      <c r="A493" s="2" t="s">
        <v>542</v>
      </c>
      <c r="B493" s="2" t="s">
        <v>60</v>
      </c>
      <c r="C493" s="2" t="s">
        <v>19</v>
      </c>
      <c r="D493" s="8" t="s">
        <v>635</v>
      </c>
      <c r="E493" s="6">
        <v>45285.0</v>
      </c>
      <c r="F493" s="6">
        <v>45567.0</v>
      </c>
      <c r="G493" s="7">
        <v>3.697961455E9</v>
      </c>
      <c r="H493" s="2" t="s">
        <v>50</v>
      </c>
      <c r="I493" s="2">
        <f t="shared" ref="I493:P493" si="496">IF(ISBLANK(A493)=TRUE,0,1)</f>
        <v>1</v>
      </c>
      <c r="J493" s="2">
        <f t="shared" si="496"/>
        <v>1</v>
      </c>
      <c r="K493" s="2">
        <f t="shared" si="496"/>
        <v>1</v>
      </c>
      <c r="L493" s="2">
        <f t="shared" si="496"/>
        <v>1</v>
      </c>
      <c r="M493" s="2">
        <f t="shared" si="496"/>
        <v>1</v>
      </c>
      <c r="N493" s="2">
        <f t="shared" si="496"/>
        <v>1</v>
      </c>
      <c r="O493" s="2">
        <f t="shared" si="496"/>
        <v>1</v>
      </c>
      <c r="P493" s="2">
        <f t="shared" si="496"/>
        <v>1</v>
      </c>
      <c r="Q493" s="2">
        <f t="shared" si="3"/>
        <v>1</v>
      </c>
      <c r="R493" s="2">
        <f>IF(ISERROR(VLOOKUP(A493, 'Project Reference'!A:A, 1, FALSE)), 0, 1)</f>
        <v>1</v>
      </c>
      <c r="S493" s="2">
        <f>IFERROR(__xludf.DUMMYFUNCTION("IF(AND(REGEXMATCH(D493, B493), REGEXMATCH(D493, C493)), 1, 0)
"),1.0)</f>
        <v>1</v>
      </c>
      <c r="T493" s="2">
        <f t="shared" si="4"/>
        <v>1</v>
      </c>
      <c r="U493" s="2">
        <f t="shared" si="5"/>
        <v>1</v>
      </c>
      <c r="V493" s="2">
        <f t="shared" si="6"/>
        <v>1</v>
      </c>
    </row>
    <row r="494" ht="14.25" customHeight="1">
      <c r="A494" s="2" t="s">
        <v>543</v>
      </c>
      <c r="B494" s="2" t="s">
        <v>18</v>
      </c>
      <c r="C494" s="2" t="s">
        <v>42</v>
      </c>
      <c r="D494" s="8" t="s">
        <v>621</v>
      </c>
      <c r="E494" s="6">
        <v>45286.0</v>
      </c>
      <c r="F494" s="6">
        <v>45368.0</v>
      </c>
      <c r="G494" s="7">
        <v>9.185210892E9</v>
      </c>
      <c r="H494" s="8" t="s">
        <v>581</v>
      </c>
      <c r="I494" s="2">
        <f t="shared" ref="I494:P494" si="497">IF(ISBLANK(A494)=TRUE,0,1)</f>
        <v>1</v>
      </c>
      <c r="J494" s="2">
        <f t="shared" si="497"/>
        <v>1</v>
      </c>
      <c r="K494" s="2">
        <f t="shared" si="497"/>
        <v>1</v>
      </c>
      <c r="L494" s="2">
        <f t="shared" si="497"/>
        <v>1</v>
      </c>
      <c r="M494" s="2">
        <f t="shared" si="497"/>
        <v>1</v>
      </c>
      <c r="N494" s="2">
        <f t="shared" si="497"/>
        <v>1</v>
      </c>
      <c r="O494" s="2">
        <f t="shared" si="497"/>
        <v>1</v>
      </c>
      <c r="P494" s="2">
        <f t="shared" si="497"/>
        <v>1</v>
      </c>
      <c r="Q494" s="2">
        <f t="shared" si="3"/>
        <v>1</v>
      </c>
      <c r="R494" s="2">
        <f>IF(ISERROR(VLOOKUP(A494, 'Project Reference'!A:A, 1, FALSE)), 0, 1)</f>
        <v>1</v>
      </c>
      <c r="S494" s="2">
        <f>IFERROR(__xludf.DUMMYFUNCTION("IF(AND(REGEXMATCH(D494, B494), REGEXMATCH(D494, C494)), 1, 0)
"),1.0)</f>
        <v>1</v>
      </c>
      <c r="T494" s="2">
        <f t="shared" si="4"/>
        <v>1</v>
      </c>
      <c r="U494" s="2">
        <f t="shared" si="5"/>
        <v>1</v>
      </c>
      <c r="V494" s="2">
        <f t="shared" si="6"/>
        <v>1</v>
      </c>
    </row>
    <row r="495" ht="14.25" customHeight="1">
      <c r="A495" s="2" t="s">
        <v>544</v>
      </c>
      <c r="B495" s="2" t="s">
        <v>35</v>
      </c>
      <c r="C495" s="2" t="s">
        <v>13</v>
      </c>
      <c r="D495" s="2" t="s">
        <v>78</v>
      </c>
      <c r="E495" s="6">
        <v>45286.0</v>
      </c>
      <c r="F495" s="6">
        <v>45570.0</v>
      </c>
      <c r="G495" s="7">
        <v>5.7743407E8</v>
      </c>
      <c r="H495" s="2" t="s">
        <v>50</v>
      </c>
      <c r="I495" s="2">
        <f t="shared" ref="I495:P495" si="498">IF(ISBLANK(A495)=TRUE,0,1)</f>
        <v>1</v>
      </c>
      <c r="J495" s="2">
        <f t="shared" si="498"/>
        <v>1</v>
      </c>
      <c r="K495" s="2">
        <f t="shared" si="498"/>
        <v>1</v>
      </c>
      <c r="L495" s="2">
        <f t="shared" si="498"/>
        <v>1</v>
      </c>
      <c r="M495" s="2">
        <f t="shared" si="498"/>
        <v>1</v>
      </c>
      <c r="N495" s="2">
        <f t="shared" si="498"/>
        <v>1</v>
      </c>
      <c r="O495" s="2">
        <f t="shared" si="498"/>
        <v>1</v>
      </c>
      <c r="P495" s="2">
        <f t="shared" si="498"/>
        <v>1</v>
      </c>
      <c r="Q495" s="2">
        <f t="shared" si="3"/>
        <v>1</v>
      </c>
      <c r="R495" s="2">
        <f>IF(ISERROR(VLOOKUP(A495, 'Project Reference'!A:A, 1, FALSE)), 0, 1)</f>
        <v>1</v>
      </c>
      <c r="S495" s="2">
        <f>IFERROR(__xludf.DUMMYFUNCTION("IF(AND(REGEXMATCH(D495, B495), REGEXMATCH(D495, C495)), 1, 0)
"),1.0)</f>
        <v>1</v>
      </c>
      <c r="T495" s="2">
        <f t="shared" si="4"/>
        <v>1</v>
      </c>
      <c r="U495" s="2">
        <f t="shared" si="5"/>
        <v>1</v>
      </c>
      <c r="V495" s="2">
        <f t="shared" si="6"/>
        <v>1</v>
      </c>
    </row>
    <row r="496" ht="14.25" customHeight="1">
      <c r="A496" s="2" t="s">
        <v>546</v>
      </c>
      <c r="B496" s="2" t="s">
        <v>60</v>
      </c>
      <c r="C496" s="2" t="s">
        <v>31</v>
      </c>
      <c r="D496" s="8" t="s">
        <v>599</v>
      </c>
      <c r="E496" s="6">
        <v>45287.0</v>
      </c>
      <c r="F496" s="6">
        <v>45624.0</v>
      </c>
      <c r="G496" s="7">
        <v>4.616485762E9</v>
      </c>
      <c r="H496" s="2" t="s">
        <v>44</v>
      </c>
      <c r="I496" s="2">
        <f t="shared" ref="I496:P496" si="499">IF(ISBLANK(A496)=TRUE,0,1)</f>
        <v>1</v>
      </c>
      <c r="J496" s="2">
        <f t="shared" si="499"/>
        <v>1</v>
      </c>
      <c r="K496" s="2">
        <f t="shared" si="499"/>
        <v>1</v>
      </c>
      <c r="L496" s="2">
        <f t="shared" si="499"/>
        <v>1</v>
      </c>
      <c r="M496" s="2">
        <f t="shared" si="499"/>
        <v>1</v>
      </c>
      <c r="N496" s="2">
        <f t="shared" si="499"/>
        <v>1</v>
      </c>
      <c r="O496" s="2">
        <f t="shared" si="499"/>
        <v>1</v>
      </c>
      <c r="P496" s="2">
        <f t="shared" si="499"/>
        <v>1</v>
      </c>
      <c r="Q496" s="2">
        <f t="shared" si="3"/>
        <v>1</v>
      </c>
      <c r="R496" s="2">
        <f>IF(ISERROR(VLOOKUP(A496, 'Project Reference'!A:A, 1, FALSE)), 0, 1)</f>
        <v>1</v>
      </c>
      <c r="S496" s="2">
        <f>IFERROR(__xludf.DUMMYFUNCTION("IF(AND(REGEXMATCH(D496, B496), REGEXMATCH(D496, C496)), 1, 0)
"),1.0)</f>
        <v>1</v>
      </c>
      <c r="T496" s="2">
        <f t="shared" si="4"/>
        <v>1</v>
      </c>
      <c r="U496" s="2">
        <f t="shared" si="5"/>
        <v>1</v>
      </c>
      <c r="V496" s="2">
        <f t="shared" si="6"/>
        <v>1</v>
      </c>
    </row>
    <row r="497" ht="14.25" customHeight="1">
      <c r="A497" s="2" t="s">
        <v>547</v>
      </c>
      <c r="B497" s="2" t="s">
        <v>18</v>
      </c>
      <c r="C497" s="2" t="s">
        <v>24</v>
      </c>
      <c r="D497" s="8" t="s">
        <v>618</v>
      </c>
      <c r="E497" s="6">
        <v>45287.0</v>
      </c>
      <c r="F497" s="6">
        <v>45343.0</v>
      </c>
      <c r="G497" s="7">
        <v>4.101514487E9</v>
      </c>
      <c r="H497" s="22"/>
      <c r="I497" s="2">
        <f t="shared" ref="I497:P497" si="500">IF(ISBLANK(A497)=TRUE,0,1)</f>
        <v>1</v>
      </c>
      <c r="J497" s="2">
        <f t="shared" si="500"/>
        <v>1</v>
      </c>
      <c r="K497" s="2">
        <f t="shared" si="500"/>
        <v>1</v>
      </c>
      <c r="L497" s="2">
        <f t="shared" si="500"/>
        <v>1</v>
      </c>
      <c r="M497" s="2">
        <f t="shared" si="500"/>
        <v>1</v>
      </c>
      <c r="N497" s="2">
        <f t="shared" si="500"/>
        <v>1</v>
      </c>
      <c r="O497" s="2">
        <f t="shared" si="500"/>
        <v>1</v>
      </c>
      <c r="P497" s="2">
        <f t="shared" si="500"/>
        <v>0</v>
      </c>
      <c r="Q497" s="2">
        <f t="shared" si="3"/>
        <v>1</v>
      </c>
      <c r="R497" s="2">
        <f>IF(ISERROR(VLOOKUP(A497, 'Project Reference'!A:A, 1, FALSE)), 0, 1)</f>
        <v>1</v>
      </c>
      <c r="S497" s="2">
        <f>IFERROR(__xludf.DUMMYFUNCTION("IF(AND(REGEXMATCH(D497, B497), REGEXMATCH(D497, C497)), 1, 0)
"),1.0)</f>
        <v>1</v>
      </c>
      <c r="T497" s="2">
        <f t="shared" si="4"/>
        <v>1</v>
      </c>
      <c r="U497" s="2">
        <f t="shared" si="5"/>
        <v>1</v>
      </c>
      <c r="V497" s="2">
        <f t="shared" si="6"/>
        <v>1</v>
      </c>
    </row>
    <row r="498" ht="14.25" customHeight="1">
      <c r="A498" s="2" t="s">
        <v>548</v>
      </c>
      <c r="B498" s="2" t="s">
        <v>35</v>
      </c>
      <c r="C498" s="2" t="s">
        <v>39</v>
      </c>
      <c r="D498" s="2" t="s">
        <v>145</v>
      </c>
      <c r="E498" s="6">
        <v>45289.0</v>
      </c>
      <c r="F498" s="6">
        <v>45611.0</v>
      </c>
      <c r="G498" s="7">
        <v>4.19613481E8</v>
      </c>
      <c r="H498" s="2" t="s">
        <v>50</v>
      </c>
      <c r="I498" s="2">
        <f t="shared" ref="I498:P498" si="501">IF(ISBLANK(A498)=TRUE,0,1)</f>
        <v>1</v>
      </c>
      <c r="J498" s="2">
        <f t="shared" si="501"/>
        <v>1</v>
      </c>
      <c r="K498" s="2">
        <f t="shared" si="501"/>
        <v>1</v>
      </c>
      <c r="L498" s="2">
        <f t="shared" si="501"/>
        <v>1</v>
      </c>
      <c r="M498" s="2">
        <f t="shared" si="501"/>
        <v>1</v>
      </c>
      <c r="N498" s="2">
        <f t="shared" si="501"/>
        <v>1</v>
      </c>
      <c r="O498" s="2">
        <f t="shared" si="501"/>
        <v>1</v>
      </c>
      <c r="P498" s="2">
        <f t="shared" si="501"/>
        <v>1</v>
      </c>
      <c r="Q498" s="2">
        <f t="shared" si="3"/>
        <v>1</v>
      </c>
      <c r="R498" s="2">
        <f>IF(ISERROR(VLOOKUP(A498, 'Project Reference'!A:A, 1, FALSE)), 0, 1)</f>
        <v>1</v>
      </c>
      <c r="S498" s="2">
        <f>IFERROR(__xludf.DUMMYFUNCTION("IF(AND(REGEXMATCH(D498, B498), REGEXMATCH(D498, C498)), 1, 0)
"),1.0)</f>
        <v>1</v>
      </c>
      <c r="T498" s="2">
        <f t="shared" si="4"/>
        <v>1</v>
      </c>
      <c r="U498" s="2">
        <f t="shared" si="5"/>
        <v>1</v>
      </c>
      <c r="V498" s="2">
        <f t="shared" si="6"/>
        <v>1</v>
      </c>
    </row>
    <row r="499" ht="14.25" customHeight="1">
      <c r="A499" s="2" t="s">
        <v>549</v>
      </c>
      <c r="B499" s="2" t="s">
        <v>35</v>
      </c>
      <c r="C499" s="2" t="s">
        <v>36</v>
      </c>
      <c r="D499" s="2" t="s">
        <v>37</v>
      </c>
      <c r="E499" s="6">
        <v>45289.0</v>
      </c>
      <c r="F499" s="6">
        <v>45346.0</v>
      </c>
      <c r="G499" s="7">
        <v>2.71658499E8</v>
      </c>
      <c r="H499" s="2" t="s">
        <v>21</v>
      </c>
      <c r="I499" s="2">
        <f t="shared" ref="I499:P499" si="502">IF(ISBLANK(A499)=TRUE,0,1)</f>
        <v>1</v>
      </c>
      <c r="J499" s="2">
        <f t="shared" si="502"/>
        <v>1</v>
      </c>
      <c r="K499" s="2">
        <f t="shared" si="502"/>
        <v>1</v>
      </c>
      <c r="L499" s="2">
        <f t="shared" si="502"/>
        <v>1</v>
      </c>
      <c r="M499" s="2">
        <f t="shared" si="502"/>
        <v>1</v>
      </c>
      <c r="N499" s="2">
        <f t="shared" si="502"/>
        <v>1</v>
      </c>
      <c r="O499" s="2">
        <f t="shared" si="502"/>
        <v>1</v>
      </c>
      <c r="P499" s="2">
        <f t="shared" si="502"/>
        <v>1</v>
      </c>
      <c r="Q499" s="2">
        <f t="shared" si="3"/>
        <v>1</v>
      </c>
      <c r="R499" s="2">
        <f>IF(ISERROR(VLOOKUP(A499, 'Project Reference'!A:A, 1, FALSE)), 0, 1)</f>
        <v>1</v>
      </c>
      <c r="S499" s="2">
        <f>IFERROR(__xludf.DUMMYFUNCTION("IF(AND(REGEXMATCH(D499, B499), REGEXMATCH(D499, C499)), 1, 0)
"),1.0)</f>
        <v>1</v>
      </c>
      <c r="T499" s="2">
        <f t="shared" si="4"/>
        <v>1</v>
      </c>
      <c r="U499" s="2">
        <f t="shared" si="5"/>
        <v>1</v>
      </c>
      <c r="V499" s="2">
        <f t="shared" si="6"/>
        <v>1</v>
      </c>
    </row>
    <row r="500" ht="14.25" customHeight="1">
      <c r="A500" s="2" t="s">
        <v>550</v>
      </c>
      <c r="B500" s="2" t="s">
        <v>60</v>
      </c>
      <c r="C500" s="2" t="s">
        <v>19</v>
      </c>
      <c r="D500" s="8" t="s">
        <v>616</v>
      </c>
      <c r="E500" s="6">
        <v>45290.0</v>
      </c>
      <c r="F500" s="6">
        <v>45461.0</v>
      </c>
      <c r="G500" s="7">
        <v>3.282339654E9</v>
      </c>
      <c r="H500" s="2" t="s">
        <v>67</v>
      </c>
      <c r="I500" s="2">
        <f t="shared" ref="I500:P500" si="503">IF(ISBLANK(A500)=TRUE,0,1)</f>
        <v>1</v>
      </c>
      <c r="J500" s="2">
        <f t="shared" si="503"/>
        <v>1</v>
      </c>
      <c r="K500" s="2">
        <f t="shared" si="503"/>
        <v>1</v>
      </c>
      <c r="L500" s="2">
        <f t="shared" si="503"/>
        <v>1</v>
      </c>
      <c r="M500" s="2">
        <f t="shared" si="503"/>
        <v>1</v>
      </c>
      <c r="N500" s="2">
        <f t="shared" si="503"/>
        <v>1</v>
      </c>
      <c r="O500" s="2">
        <f t="shared" si="503"/>
        <v>1</v>
      </c>
      <c r="P500" s="2">
        <f t="shared" si="503"/>
        <v>1</v>
      </c>
      <c r="Q500" s="2">
        <f t="shared" si="3"/>
        <v>1</v>
      </c>
      <c r="R500" s="2">
        <f>IF(ISERROR(VLOOKUP(A500, 'Project Reference'!A:A, 1, FALSE)), 0, 1)</f>
        <v>1</v>
      </c>
      <c r="S500" s="2">
        <f>IFERROR(__xludf.DUMMYFUNCTION("IF(AND(REGEXMATCH(D500, B500), REGEXMATCH(D500, C500)), 1, 0)
"),1.0)</f>
        <v>1</v>
      </c>
      <c r="T500" s="2">
        <f t="shared" si="4"/>
        <v>1</v>
      </c>
      <c r="U500" s="2">
        <f t="shared" si="5"/>
        <v>1</v>
      </c>
      <c r="V500" s="2">
        <f t="shared" si="6"/>
        <v>1</v>
      </c>
    </row>
    <row r="501" ht="14.25" customHeight="1">
      <c r="A501" s="2" t="s">
        <v>551</v>
      </c>
      <c r="B501" s="2" t="s">
        <v>18</v>
      </c>
      <c r="C501" s="2" t="s">
        <v>48</v>
      </c>
      <c r="D501" s="8" t="s">
        <v>629</v>
      </c>
      <c r="E501" s="6">
        <v>45291.0</v>
      </c>
      <c r="F501" s="6">
        <v>45563.0</v>
      </c>
      <c r="G501" s="7">
        <v>2.974669932E9</v>
      </c>
      <c r="H501" s="2" t="s">
        <v>67</v>
      </c>
      <c r="I501" s="2">
        <f t="shared" ref="I501:P501" si="504">IF(ISBLANK(A501)=TRUE,0,1)</f>
        <v>1</v>
      </c>
      <c r="J501" s="2">
        <f t="shared" si="504"/>
        <v>1</v>
      </c>
      <c r="K501" s="2">
        <f t="shared" si="504"/>
        <v>1</v>
      </c>
      <c r="L501" s="2">
        <f t="shared" si="504"/>
        <v>1</v>
      </c>
      <c r="M501" s="2">
        <f t="shared" si="504"/>
        <v>1</v>
      </c>
      <c r="N501" s="2">
        <f t="shared" si="504"/>
        <v>1</v>
      </c>
      <c r="O501" s="2">
        <f t="shared" si="504"/>
        <v>1</v>
      </c>
      <c r="P501" s="2">
        <f t="shared" si="504"/>
        <v>1</v>
      </c>
      <c r="Q501" s="2">
        <f t="shared" si="3"/>
        <v>1</v>
      </c>
      <c r="R501" s="2">
        <f>IF(ISERROR(VLOOKUP(A501, 'Project Reference'!A:A, 1, FALSE)), 0, 1)</f>
        <v>1</v>
      </c>
      <c r="S501" s="2">
        <f>IFERROR(__xludf.DUMMYFUNCTION("IF(AND(REGEXMATCH(D501, B501), REGEXMATCH(D501, C501)), 1, 0)
"),1.0)</f>
        <v>1</v>
      </c>
      <c r="T501" s="2">
        <f t="shared" si="4"/>
        <v>1</v>
      </c>
      <c r="U501" s="2">
        <f t="shared" si="5"/>
        <v>1</v>
      </c>
      <c r="V501" s="2">
        <f t="shared" si="6"/>
        <v>1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V$501">
    <sortState ref="A1:V501">
      <sortCondition ref="V1:V501"/>
      <sortCondition ref="U1:U501"/>
      <sortCondition ref="A1:A501"/>
      <sortCondition ref="Q1:Q501"/>
      <sortCondition ref="L1:L501"/>
      <sortCondition ref="I1:I501"/>
      <sortCondition ref="E1:E501"/>
      <sortCondition ref="H1:H501"/>
      <sortCondition descending="1" ref="G1:G501"/>
      <sortCondition ref="S1:S501"/>
      <sortCondition descending="1" ref="D1:D501"/>
    </sortState>
  </autoFilter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1.86"/>
    <col customWidth="1" min="3" max="3" width="26.43"/>
    <col customWidth="1" min="4" max="4" width="51.14"/>
  </cols>
  <sheetData>
    <row r="1">
      <c r="A1" s="25" t="s">
        <v>646</v>
      </c>
      <c r="B1" s="25" t="s">
        <v>686</v>
      </c>
      <c r="C1" s="25" t="s">
        <v>687</v>
      </c>
      <c r="D1" s="25" t="s">
        <v>688</v>
      </c>
    </row>
    <row r="2">
      <c r="A2" s="26" t="s">
        <v>689</v>
      </c>
      <c r="B2" s="26" t="s">
        <v>3</v>
      </c>
      <c r="C2" s="26" t="s">
        <v>690</v>
      </c>
      <c r="D2" s="26" t="s">
        <v>691</v>
      </c>
    </row>
    <row r="3">
      <c r="B3" s="26" t="s">
        <v>1</v>
      </c>
      <c r="C3" s="26" t="s">
        <v>690</v>
      </c>
      <c r="D3" s="26" t="s">
        <v>692</v>
      </c>
    </row>
    <row r="4">
      <c r="B4" s="26" t="s">
        <v>2</v>
      </c>
      <c r="C4" s="26" t="s">
        <v>690</v>
      </c>
      <c r="D4" s="26" t="s">
        <v>692</v>
      </c>
    </row>
    <row r="5">
      <c r="B5" s="26" t="s">
        <v>9</v>
      </c>
      <c r="C5" s="26" t="s">
        <v>693</v>
      </c>
      <c r="D5" s="26" t="s">
        <v>694</v>
      </c>
    </row>
    <row r="6">
      <c r="A6" s="26" t="s">
        <v>695</v>
      </c>
      <c r="B6" s="26" t="s">
        <v>0</v>
      </c>
      <c r="C6" s="26" t="s">
        <v>696</v>
      </c>
      <c r="D6" s="26" t="s">
        <v>697</v>
      </c>
    </row>
    <row r="7">
      <c r="A7" s="26" t="s">
        <v>698</v>
      </c>
      <c r="B7" s="26" t="s">
        <v>0</v>
      </c>
      <c r="C7" s="26" t="s">
        <v>696</v>
      </c>
      <c r="D7" s="26" t="s">
        <v>699</v>
      </c>
    </row>
    <row r="8">
      <c r="A8" s="26" t="s">
        <v>700</v>
      </c>
      <c r="B8" s="26" t="s">
        <v>3</v>
      </c>
      <c r="C8" s="26" t="s">
        <v>701</v>
      </c>
      <c r="D8" s="26" t="s">
        <v>702</v>
      </c>
    </row>
    <row r="9">
      <c r="A9" s="26" t="s">
        <v>703</v>
      </c>
      <c r="B9" s="26" t="s">
        <v>6</v>
      </c>
      <c r="C9" s="26" t="s">
        <v>701</v>
      </c>
      <c r="D9" s="26" t="s">
        <v>702</v>
      </c>
    </row>
    <row r="10">
      <c r="B10" s="26" t="s">
        <v>8</v>
      </c>
      <c r="C10" s="26" t="s">
        <v>704</v>
      </c>
      <c r="D10" s="26" t="s">
        <v>705</v>
      </c>
    </row>
  </sheetData>
  <mergeCells count="2">
    <mergeCell ref="A2:A5"/>
    <mergeCell ref="A9:A10"/>
  </mergeCells>
  <drawing r:id="rId1"/>
</worksheet>
</file>